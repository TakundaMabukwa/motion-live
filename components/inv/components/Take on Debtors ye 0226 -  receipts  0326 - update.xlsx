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2f0dc4305edf4f/Documents/Soltrack/Solflo software/"/>
    </mc:Choice>
  </mc:AlternateContent>
  <xr:revisionPtr revIDLastSave="573" documentId="8_{93A11741-8234-4112-A5E6-5D87CC3D35F4}" xr6:coauthVersionLast="47" xr6:coauthVersionMax="47" xr10:uidLastSave="{505166C8-EC47-43E5-9985-132C4DDC6AAB}"/>
  <bookViews>
    <workbookView xWindow="-120" yWindow="-120" windowWidth="29040" windowHeight="15720" activeTab="7" xr2:uid="{F8FD0567-498D-42A9-9842-FE5C18D8E5C3}"/>
  </bookViews>
  <sheets>
    <sheet name="nedbank receipts" sheetId="4" r:id="rId1"/>
    <sheet name="Claud capture" sheetId="7" r:id="rId2"/>
    <sheet name="Sheet4" sheetId="11" r:id="rId3"/>
    <sheet name="Sheet1" sheetId="1" r:id="rId4"/>
    <sheet name="Sheet2" sheetId="2" r:id="rId5"/>
    <sheet name="working doc " sheetId="3" r:id="rId6"/>
    <sheet name="Sheet3" sheetId="5" r:id="rId7"/>
    <sheet name="CREATE" sheetId="12" r:id="rId8"/>
    <sheet name="Amended Debtors age anal" sheetId="9" r:id="rId9"/>
    <sheet name="March Receipts" sheetId="10" r:id="rId10"/>
  </sheets>
  <externalReferences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96" i="12" l="1"/>
  <c r="AH191" i="12"/>
  <c r="AL191" i="12" s="1"/>
  <c r="AQ190" i="12"/>
  <c r="AM190" i="12"/>
  <c r="AN190" i="12" s="1"/>
  <c r="AO190" i="12" s="1"/>
  <c r="AL190" i="12"/>
  <c r="AH189" i="12"/>
  <c r="AL189" i="12" s="1"/>
  <c r="AQ189" i="12" s="1"/>
  <c r="AL182" i="12"/>
  <c r="AQ182" i="12" s="1"/>
  <c r="AL145" i="12"/>
  <c r="AM145" i="12" s="1"/>
  <c r="AL144" i="12"/>
  <c r="AQ144" i="12" s="1"/>
  <c r="AL143" i="12"/>
  <c r="AM143" i="12" s="1"/>
  <c r="AN143" i="12" s="1"/>
  <c r="AO143" i="12" s="1"/>
  <c r="AL142" i="12"/>
  <c r="AQ142" i="12" s="1"/>
  <c r="AL141" i="12"/>
  <c r="AQ141" i="12" s="1"/>
  <c r="AL140" i="12"/>
  <c r="AQ140" i="12" s="1"/>
  <c r="AL139" i="12"/>
  <c r="AL138" i="12"/>
  <c r="AQ138" i="12" s="1"/>
  <c r="AL129" i="12"/>
  <c r="AM129" i="12" s="1"/>
  <c r="AN129" i="12" s="1"/>
  <c r="AO129" i="12" s="1"/>
  <c r="AL27" i="12"/>
  <c r="AQ27" i="12" s="1"/>
  <c r="AL188" i="12"/>
  <c r="AM188" i="12" s="1"/>
  <c r="AG187" i="12"/>
  <c r="AL187" i="12" s="1"/>
  <c r="AL186" i="12"/>
  <c r="AM186" i="12" s="1"/>
  <c r="AO186" i="12" s="1"/>
  <c r="AI186" i="12"/>
  <c r="AH34" i="12"/>
  <c r="AL34" i="12" s="1"/>
  <c r="AL185" i="12"/>
  <c r="AQ185" i="12" s="1"/>
  <c r="AG184" i="12"/>
  <c r="AL184" i="12" s="1"/>
  <c r="AG161" i="12"/>
  <c r="AL161" i="12" s="1"/>
  <c r="AQ161" i="12" s="1"/>
  <c r="AL177" i="12"/>
  <c r="AQ177" i="12" s="1"/>
  <c r="AL179" i="12"/>
  <c r="AQ179" i="12" s="1"/>
  <c r="AL178" i="12"/>
  <c r="AQ178" i="12" s="1"/>
  <c r="AL176" i="12"/>
  <c r="AQ176" i="12" s="1"/>
  <c r="AG175" i="12"/>
  <c r="AL175" i="12" s="1"/>
  <c r="AM175" i="12" s="1"/>
  <c r="AO175" i="12" s="1"/>
  <c r="AL68" i="12"/>
  <c r="AQ68" i="12" s="1"/>
  <c r="AL69" i="12"/>
  <c r="AQ69" i="12" s="1"/>
  <c r="AH170" i="12"/>
  <c r="AL170" i="12" s="1"/>
  <c r="AL174" i="12"/>
  <c r="AH173" i="12"/>
  <c r="AL173" i="12" s="1"/>
  <c r="AL172" i="12"/>
  <c r="AQ172" i="12" s="1"/>
  <c r="AG171" i="12"/>
  <c r="AL171" i="12" s="1"/>
  <c r="AQ171" i="12" s="1"/>
  <c r="AL169" i="12"/>
  <c r="AQ169" i="12" s="1"/>
  <c r="AH168" i="12"/>
  <c r="AL168" i="12" s="1"/>
  <c r="AQ168" i="12" s="1"/>
  <c r="AG167" i="12"/>
  <c r="AL167" i="12" s="1"/>
  <c r="AL33" i="12"/>
  <c r="AQ33" i="12" s="1"/>
  <c r="AL166" i="12"/>
  <c r="AQ166" i="12" s="1"/>
  <c r="AQ118" i="12"/>
  <c r="AL118" i="12"/>
  <c r="AM118" i="12" s="1"/>
  <c r="AN118" i="12" s="1"/>
  <c r="AO118" i="12" s="1"/>
  <c r="AL165" i="12"/>
  <c r="AQ165" i="12" s="1"/>
  <c r="AH163" i="12"/>
  <c r="AL163" i="12" s="1"/>
  <c r="AL181" i="12"/>
  <c r="AQ181" i="12" s="1"/>
  <c r="AG162" i="12"/>
  <c r="AL162" i="12" s="1"/>
  <c r="AM162" i="12" s="1"/>
  <c r="AL32" i="12"/>
  <c r="AQ32" i="12" s="1"/>
  <c r="AL180" i="12"/>
  <c r="AQ180" i="12" s="1"/>
  <c r="AL31" i="12"/>
  <c r="AQ31" i="12" s="1"/>
  <c r="AL160" i="12"/>
  <c r="AQ160" i="12" s="1"/>
  <c r="AH158" i="12"/>
  <c r="AL158" i="12" s="1"/>
  <c r="AQ159" i="12"/>
  <c r="AL159" i="12"/>
  <c r="AM159" i="12" s="1"/>
  <c r="AN159" i="12" s="1"/>
  <c r="AO159" i="12" s="1"/>
  <c r="AL80" i="12"/>
  <c r="AQ80" i="12" s="1"/>
  <c r="AL157" i="12"/>
  <c r="AQ157" i="12" s="1"/>
  <c r="AL73" i="12"/>
  <c r="AO30" i="12"/>
  <c r="AL30" i="12"/>
  <c r="AQ30" i="12" s="1"/>
  <c r="AG67" i="12"/>
  <c r="AL67" i="12" s="1"/>
  <c r="AM67" i="12" s="1"/>
  <c r="AO67" i="12" s="1"/>
  <c r="AG156" i="12"/>
  <c r="AL156" i="12" s="1"/>
  <c r="AQ156" i="12" s="1"/>
  <c r="AG155" i="12"/>
  <c r="AL155" i="12" s="1"/>
  <c r="AQ195" i="12"/>
  <c r="AH149" i="12"/>
  <c r="AG149" i="12"/>
  <c r="AL149" i="12" s="1"/>
  <c r="AG154" i="12"/>
  <c r="AL154" i="12" s="1"/>
  <c r="AM154" i="12" s="1"/>
  <c r="AN154" i="12" s="1"/>
  <c r="AO154" i="12" s="1"/>
  <c r="AH66" i="12"/>
  <c r="AL66" i="12" s="1"/>
  <c r="AL65" i="12"/>
  <c r="AQ65" i="12" s="1"/>
  <c r="AG64" i="12"/>
  <c r="AL64" i="12" s="1"/>
  <c r="AG153" i="12"/>
  <c r="AL153" i="12" s="1"/>
  <c r="AL63" i="12"/>
  <c r="AQ63" i="12" s="1"/>
  <c r="AG152" i="12"/>
  <c r="AL152" i="12" s="1"/>
  <c r="AH194" i="12"/>
  <c r="AL194" i="12" s="1"/>
  <c r="AL74" i="12"/>
  <c r="AQ74" i="12" s="1"/>
  <c r="AL62" i="12"/>
  <c r="AQ62" i="12" s="1"/>
  <c r="AB62" i="12"/>
  <c r="AG151" i="12"/>
  <c r="AL151" i="12" s="1"/>
  <c r="AQ151" i="12" s="1"/>
  <c r="AQ150" i="12"/>
  <c r="AL150" i="12"/>
  <c r="AM150" i="12" s="1"/>
  <c r="AN150" i="12" s="1"/>
  <c r="AO150" i="12" s="1"/>
  <c r="AL61" i="12"/>
  <c r="AI148" i="12"/>
  <c r="AL148" i="12" s="1"/>
  <c r="Y148" i="12"/>
  <c r="AB148" i="12" s="1"/>
  <c r="AL60" i="12"/>
  <c r="AQ60" i="12" s="1"/>
  <c r="AM59" i="12"/>
  <c r="AN59" i="12" s="1"/>
  <c r="AL59" i="12"/>
  <c r="AQ59" i="12" s="1"/>
  <c r="AL146" i="12"/>
  <c r="AM146" i="12" s="1"/>
  <c r="AN146" i="12" s="1"/>
  <c r="AO146" i="12" s="1"/>
  <c r="AL147" i="12"/>
  <c r="AQ147" i="12" s="1"/>
  <c r="AG116" i="12"/>
  <c r="AL116" i="12" s="1"/>
  <c r="AM116" i="12" s="1"/>
  <c r="AL134" i="12"/>
  <c r="AQ134" i="12" s="1"/>
  <c r="AL137" i="12"/>
  <c r="AQ137" i="12" s="1"/>
  <c r="AL58" i="12"/>
  <c r="AQ58" i="12" s="1"/>
  <c r="AL136" i="12"/>
  <c r="AQ136" i="12" s="1"/>
  <c r="AQ135" i="12"/>
  <c r="AM135" i="12"/>
  <c r="AN135" i="12" s="1"/>
  <c r="AO135" i="12" s="1"/>
  <c r="AL135" i="12"/>
  <c r="AL133" i="12"/>
  <c r="AQ133" i="12" s="1"/>
  <c r="AL132" i="12"/>
  <c r="AQ132" i="12" s="1"/>
  <c r="AL131" i="12"/>
  <c r="AL57" i="12"/>
  <c r="AM57" i="12" s="1"/>
  <c r="AQ130" i="12"/>
  <c r="AL130" i="12"/>
  <c r="AM130" i="12" s="1"/>
  <c r="AN130" i="12" s="1"/>
  <c r="AO130" i="12" s="1"/>
  <c r="AL128" i="12"/>
  <c r="AQ128" i="12" s="1"/>
  <c r="AQ127" i="12"/>
  <c r="AL127" i="12"/>
  <c r="AM127" i="12" s="1"/>
  <c r="AN127" i="12" s="1"/>
  <c r="AL126" i="12"/>
  <c r="AQ126" i="12" s="1"/>
  <c r="AL125" i="12"/>
  <c r="AM125" i="12" s="1"/>
  <c r="AN125" i="12" s="1"/>
  <c r="AO125" i="12" s="1"/>
  <c r="AL124" i="12"/>
  <c r="AQ124" i="12" s="1"/>
  <c r="AG123" i="12"/>
  <c r="AL123" i="12" s="1"/>
  <c r="AM123" i="12" s="1"/>
  <c r="AG121" i="12"/>
  <c r="AL121" i="12" s="1"/>
  <c r="AG122" i="12"/>
  <c r="AL122" i="12" s="1"/>
  <c r="AQ122" i="12" s="1"/>
  <c r="AG56" i="12"/>
  <c r="AL56" i="12" s="1"/>
  <c r="AL120" i="12"/>
  <c r="AQ120" i="12" s="1"/>
  <c r="AQ119" i="12"/>
  <c r="AM119" i="12"/>
  <c r="AN119" i="12" s="1"/>
  <c r="AO119" i="12" s="1"/>
  <c r="AL119" i="12"/>
  <c r="AL55" i="12"/>
  <c r="AQ55" i="12" s="1"/>
  <c r="AL115" i="12"/>
  <c r="AM115" i="12" s="1"/>
  <c r="AO115" i="12" s="1"/>
  <c r="AG114" i="12"/>
  <c r="AL114" i="12" s="1"/>
  <c r="AG113" i="12"/>
  <c r="AL113" i="12" s="1"/>
  <c r="AQ113" i="12" s="1"/>
  <c r="AQ112" i="12"/>
  <c r="AL112" i="12"/>
  <c r="AM112" i="12" s="1"/>
  <c r="AN112" i="12" s="1"/>
  <c r="AO112" i="12" s="1"/>
  <c r="AG112" i="12"/>
  <c r="AG111" i="12"/>
  <c r="AL111" i="12" s="1"/>
  <c r="AQ111" i="12" s="1"/>
  <c r="AL29" i="12"/>
  <c r="AM29" i="12" s="1"/>
  <c r="AO29" i="12" s="1"/>
  <c r="AL110" i="12"/>
  <c r="AI110" i="12"/>
  <c r="AL109" i="12"/>
  <c r="AM109" i="12" s="1"/>
  <c r="AH108" i="12"/>
  <c r="AL108" i="12" s="1"/>
  <c r="AH107" i="12"/>
  <c r="AL107" i="12" s="1"/>
  <c r="AG103" i="12"/>
  <c r="AL103" i="12" s="1"/>
  <c r="AQ193" i="12"/>
  <c r="AI106" i="12"/>
  <c r="AH106" i="12" s="1"/>
  <c r="AL106" i="12" s="1"/>
  <c r="AL105" i="12"/>
  <c r="AM105" i="12" s="1"/>
  <c r="AO105" i="12" s="1"/>
  <c r="AB105" i="12"/>
  <c r="X105" i="12"/>
  <c r="AH104" i="12"/>
  <c r="AL104" i="12" s="1"/>
  <c r="AL54" i="12"/>
  <c r="AM54" i="12" s="1"/>
  <c r="AN54" i="12" s="1"/>
  <c r="AL101" i="12"/>
  <c r="AQ101" i="12" s="1"/>
  <c r="AL102" i="12"/>
  <c r="AQ102" i="12" s="1"/>
  <c r="AH100" i="12"/>
  <c r="AL100" i="12" s="1"/>
  <c r="AG99" i="12"/>
  <c r="AL99" i="12" s="1"/>
  <c r="AH98" i="12"/>
  <c r="AL98" i="12" s="1"/>
  <c r="AL97" i="12"/>
  <c r="AQ97" i="12" s="1"/>
  <c r="AG96" i="12"/>
  <c r="AL96" i="12" s="1"/>
  <c r="AM96" i="12" s="1"/>
  <c r="AN96" i="12" s="1"/>
  <c r="AO96" i="12" s="1"/>
  <c r="AL53" i="12"/>
  <c r="AQ53" i="12" s="1"/>
  <c r="AL95" i="12"/>
  <c r="AM95" i="12" s="1"/>
  <c r="AL94" i="12"/>
  <c r="AM94" i="12" s="1"/>
  <c r="AO94" i="12" s="1"/>
  <c r="AK93" i="12"/>
  <c r="AK196" i="12" s="1"/>
  <c r="AG91" i="12"/>
  <c r="AL91" i="12" s="1"/>
  <c r="AQ91" i="12" s="1"/>
  <c r="AL92" i="12"/>
  <c r="AQ92" i="12" s="1"/>
  <c r="AM52" i="12"/>
  <c r="AO52" i="12" s="1"/>
  <c r="AL52" i="12"/>
  <c r="AQ52" i="12" s="1"/>
  <c r="AQ51" i="12"/>
  <c r="AM51" i="12"/>
  <c r="AN51" i="12" s="1"/>
  <c r="AO51" i="12" s="1"/>
  <c r="AL51" i="12"/>
  <c r="AQ117" i="12"/>
  <c r="AL117" i="12"/>
  <c r="AM117" i="12" s="1"/>
  <c r="AN117" i="12" s="1"/>
  <c r="AO117" i="12" s="1"/>
  <c r="AL90" i="12"/>
  <c r="AM90" i="12" s="1"/>
  <c r="AL17" i="12"/>
  <c r="AQ17" i="12" s="1"/>
  <c r="AL89" i="12"/>
  <c r="AQ89" i="12" s="1"/>
  <c r="AH88" i="12"/>
  <c r="AL88" i="12" s="1"/>
  <c r="AG87" i="12"/>
  <c r="AL87" i="12" s="1"/>
  <c r="AL86" i="12"/>
  <c r="AQ86" i="12" s="1"/>
  <c r="AM50" i="12"/>
  <c r="AO50" i="12" s="1"/>
  <c r="AL50" i="12"/>
  <c r="AQ50" i="12" s="1"/>
  <c r="AG85" i="12"/>
  <c r="AL85" i="12" s="1"/>
  <c r="AQ85" i="12" s="1"/>
  <c r="AH84" i="12"/>
  <c r="AL84" i="12" s="1"/>
  <c r="AL83" i="12"/>
  <c r="AM83" i="12" s="1"/>
  <c r="AL49" i="12"/>
  <c r="AG82" i="12"/>
  <c r="AL82" i="12" s="1"/>
  <c r="AQ82" i="12" s="1"/>
  <c r="AQ48" i="12"/>
  <c r="AM48" i="12"/>
  <c r="AO48" i="12" s="1"/>
  <c r="AL48" i="12"/>
  <c r="AG81" i="12"/>
  <c r="AL81" i="12" s="1"/>
  <c r="AQ81" i="12" s="1"/>
  <c r="AB81" i="12"/>
  <c r="AL183" i="12"/>
  <c r="AM183" i="12" s="1"/>
  <c r="AO183" i="12" s="1"/>
  <c r="AG79" i="12"/>
  <c r="AL79" i="12" s="1"/>
  <c r="AQ79" i="12" s="1"/>
  <c r="AG78" i="12"/>
  <c r="AL78" i="12" s="1"/>
  <c r="AQ78" i="12" s="1"/>
  <c r="AH77" i="12"/>
  <c r="AL77" i="12" s="1"/>
  <c r="AM77" i="12" s="1"/>
  <c r="AO77" i="12" s="1"/>
  <c r="AJ76" i="12"/>
  <c r="AH76" i="12" s="1"/>
  <c r="AL76" i="12" s="1"/>
  <c r="AB76" i="12"/>
  <c r="AL75" i="12"/>
  <c r="AQ75" i="12" s="1"/>
  <c r="AG72" i="12"/>
  <c r="AL72" i="12" s="1"/>
  <c r="AH47" i="12"/>
  <c r="AL47" i="12" s="1"/>
  <c r="AL46" i="12"/>
  <c r="AQ46" i="12" s="1"/>
  <c r="AM71" i="12"/>
  <c r="AN71" i="12" s="1"/>
  <c r="AL71" i="12"/>
  <c r="AQ71" i="12" s="1"/>
  <c r="AG164" i="12"/>
  <c r="AL164" i="12" s="1"/>
  <c r="AL45" i="12"/>
  <c r="AM45" i="12" s="1"/>
  <c r="AN45" i="12" s="1"/>
  <c r="AG70" i="12"/>
  <c r="AL70" i="12" s="1"/>
  <c r="AG36" i="12"/>
  <c r="AL36" i="12" s="1"/>
  <c r="AQ36" i="12" s="1"/>
  <c r="AH35" i="12"/>
  <c r="AL35" i="12" s="1"/>
  <c r="AM35" i="12" s="1"/>
  <c r="AO35" i="12" s="1"/>
  <c r="AH28" i="12"/>
  <c r="AL28" i="12" s="1"/>
  <c r="AB28" i="12"/>
  <c r="AM25" i="12"/>
  <c r="AL25" i="12"/>
  <c r="AQ25" i="12" s="1"/>
  <c r="AG26" i="12"/>
  <c r="AL26" i="12" s="1"/>
  <c r="AQ26" i="12" s="1"/>
  <c r="AL44" i="12"/>
  <c r="AG23" i="12"/>
  <c r="AL23" i="12" s="1"/>
  <c r="AQ23" i="12" s="1"/>
  <c r="AL24" i="12"/>
  <c r="AQ24" i="12" s="1"/>
  <c r="AL43" i="12"/>
  <c r="AQ43" i="12" s="1"/>
  <c r="AG43" i="12"/>
  <c r="AQ42" i="12"/>
  <c r="AM42" i="12"/>
  <c r="AN42" i="12" s="1"/>
  <c r="AL42" i="12"/>
  <c r="AG22" i="12"/>
  <c r="AL22" i="12" s="1"/>
  <c r="AG21" i="12"/>
  <c r="AL21" i="12" s="1"/>
  <c r="AM21" i="12" s="1"/>
  <c r="AL41" i="12"/>
  <c r="AQ41" i="12" s="1"/>
  <c r="AQ192" i="12"/>
  <c r="AH20" i="12"/>
  <c r="AG20" i="12"/>
  <c r="AG40" i="12"/>
  <c r="AL40" i="12" s="1"/>
  <c r="D40" i="12"/>
  <c r="AL19" i="12"/>
  <c r="AM19" i="12" s="1"/>
  <c r="AN19" i="12" s="1"/>
  <c r="AO19" i="12" s="1"/>
  <c r="AL18" i="12"/>
  <c r="AQ18" i="12" s="1"/>
  <c r="AL39" i="12"/>
  <c r="AM39" i="12" s="1"/>
  <c r="AL16" i="12"/>
  <c r="AM16" i="12" s="1"/>
  <c r="AO16" i="12" s="1"/>
  <c r="AH15" i="12"/>
  <c r="AL15" i="12" s="1"/>
  <c r="AH14" i="12"/>
  <c r="AL14" i="12" s="1"/>
  <c r="AM14" i="12" s="1"/>
  <c r="AO14" i="12" s="1"/>
  <c r="AG13" i="12"/>
  <c r="AL13" i="12" s="1"/>
  <c r="AL12" i="12"/>
  <c r="AQ12" i="12" s="1"/>
  <c r="AG11" i="12"/>
  <c r="AL11" i="12" s="1"/>
  <c r="AG9" i="12"/>
  <c r="AL8" i="12"/>
  <c r="AM8" i="12" s="1"/>
  <c r="AO8" i="12" s="1"/>
  <c r="AL38" i="12"/>
  <c r="AM38" i="12" s="1"/>
  <c r="AO38" i="12" s="1"/>
  <c r="AL10" i="12"/>
  <c r="AM10" i="12" s="1"/>
  <c r="AO10" i="12" s="1"/>
  <c r="AQ37" i="12"/>
  <c r="AL37" i="12"/>
  <c r="AM37" i="12" s="1"/>
  <c r="AO37" i="12" s="1"/>
  <c r="AO90" i="12" l="1"/>
  <c r="AQ143" i="12"/>
  <c r="AM137" i="12"/>
  <c r="AQ188" i="12"/>
  <c r="AQ145" i="12"/>
  <c r="AN90" i="12"/>
  <c r="AQ83" i="12"/>
  <c r="AM132" i="12"/>
  <c r="AN132" i="12" s="1"/>
  <c r="AO132" i="12" s="1"/>
  <c r="AQ129" i="12"/>
  <c r="AQ90" i="12"/>
  <c r="AQ154" i="12"/>
  <c r="AM161" i="12"/>
  <c r="AN161" i="12" s="1"/>
  <c r="AM177" i="12"/>
  <c r="AN177" i="12" s="1"/>
  <c r="AO177" i="12" s="1"/>
  <c r="AQ94" i="12"/>
  <c r="AQ109" i="12"/>
  <c r="AM126" i="12"/>
  <c r="AM81" i="12"/>
  <c r="AQ105" i="12"/>
  <c r="AQ16" i="12"/>
  <c r="AM31" i="12"/>
  <c r="AL20" i="12"/>
  <c r="AM20" i="12" s="1"/>
  <c r="AO20" i="12" s="1"/>
  <c r="AQ29" i="12"/>
  <c r="AQ8" i="12"/>
  <c r="AM13" i="12"/>
  <c r="AQ13" i="12"/>
  <c r="AM114" i="12"/>
  <c r="AO114" i="12" s="1"/>
  <c r="AQ114" i="12"/>
  <c r="AQ104" i="12"/>
  <c r="AM104" i="12"/>
  <c r="AO104" i="12" s="1"/>
  <c r="AQ163" i="12"/>
  <c r="AM163" i="12"/>
  <c r="AO163" i="12" s="1"/>
  <c r="AN145" i="12"/>
  <c r="AO145" i="12"/>
  <c r="AM28" i="12"/>
  <c r="AQ28" i="12"/>
  <c r="AQ98" i="12"/>
  <c r="AM98" i="12"/>
  <c r="AO98" i="12" s="1"/>
  <c r="AN83" i="12"/>
  <c r="AO83" i="12" s="1"/>
  <c r="AQ70" i="12"/>
  <c r="AM70" i="12"/>
  <c r="AN70" i="12" s="1"/>
  <c r="AM155" i="12"/>
  <c r="AO155" i="12" s="1"/>
  <c r="AQ155" i="12"/>
  <c r="AM170" i="12"/>
  <c r="AO170" i="12" s="1"/>
  <c r="AQ170" i="12"/>
  <c r="AQ153" i="12"/>
  <c r="AM153" i="12"/>
  <c r="AN153" i="12" s="1"/>
  <c r="AO153" i="12" s="1"/>
  <c r="AN109" i="12"/>
  <c r="AO109" i="12" s="1"/>
  <c r="AQ72" i="12"/>
  <c r="AM72" i="12"/>
  <c r="AM11" i="12"/>
  <c r="AO11" i="12" s="1"/>
  <c r="AQ11" i="12"/>
  <c r="AM103" i="12"/>
  <c r="AO103" i="12" s="1"/>
  <c r="AQ103" i="12"/>
  <c r="AQ167" i="12"/>
  <c r="AM167" i="12"/>
  <c r="AO167" i="12" s="1"/>
  <c r="AM12" i="12"/>
  <c r="AO12" i="12" s="1"/>
  <c r="AM86" i="12"/>
  <c r="AN86" i="12" s="1"/>
  <c r="AO86" i="12" s="1"/>
  <c r="AM102" i="12"/>
  <c r="AN102" i="12" s="1"/>
  <c r="AM142" i="12"/>
  <c r="AL93" i="12"/>
  <c r="AQ96" i="12"/>
  <c r="AM120" i="12"/>
  <c r="AN120" i="12" s="1"/>
  <c r="AO120" i="12" s="1"/>
  <c r="AQ125" i="12"/>
  <c r="AQ146" i="12"/>
  <c r="AM68" i="12"/>
  <c r="AN68" i="12" s="1"/>
  <c r="AO68" i="12" s="1"/>
  <c r="AM138" i="12"/>
  <c r="AN138" i="12" s="1"/>
  <c r="AO138" i="12" s="1"/>
  <c r="AM182" i="12"/>
  <c r="AO182" i="12" s="1"/>
  <c r="AM172" i="12"/>
  <c r="AN172" i="12" s="1"/>
  <c r="AO172" i="12" s="1"/>
  <c r="AQ186" i="12"/>
  <c r="AQ10" i="12"/>
  <c r="AM171" i="12"/>
  <c r="AM97" i="12"/>
  <c r="AN97" i="12" s="1"/>
  <c r="AO97" i="12" s="1"/>
  <c r="AM26" i="12"/>
  <c r="AQ54" i="12"/>
  <c r="AM157" i="12"/>
  <c r="AN31" i="12"/>
  <c r="AO31" i="12" s="1"/>
  <c r="AM89" i="12"/>
  <c r="AN89" i="12" s="1"/>
  <c r="AO89" i="12" s="1"/>
  <c r="AM134" i="12"/>
  <c r="AN134" i="12" s="1"/>
  <c r="AM62" i="12"/>
  <c r="AO62" i="12" s="1"/>
  <c r="AM24" i="12"/>
  <c r="AN24" i="12" s="1"/>
  <c r="AO24" i="12" s="1"/>
  <c r="AM75" i="12"/>
  <c r="AN75" i="12" s="1"/>
  <c r="AO75" i="12" s="1"/>
  <c r="AM128" i="12"/>
  <c r="AN128" i="12" s="1"/>
  <c r="AO128" i="12" s="1"/>
  <c r="AM65" i="12"/>
  <c r="AN65" i="12" s="1"/>
  <c r="AO65" i="12" s="1"/>
  <c r="AM165" i="12"/>
  <c r="AN165" i="12" s="1"/>
  <c r="AO165" i="12" s="1"/>
  <c r="AM178" i="12"/>
  <c r="AO178" i="12" s="1"/>
  <c r="AM27" i="12"/>
  <c r="AN27" i="12" s="1"/>
  <c r="AO27" i="12" s="1"/>
  <c r="AM185" i="12"/>
  <c r="AN185" i="12" s="1"/>
  <c r="AO185" i="12" s="1"/>
  <c r="AM140" i="12"/>
  <c r="AM41" i="12"/>
  <c r="AQ45" i="12"/>
  <c r="AQ95" i="12"/>
  <c r="AM133" i="12"/>
  <c r="AN133" i="12" s="1"/>
  <c r="AO133" i="12" s="1"/>
  <c r="AM32" i="12"/>
  <c r="AO32" i="12" s="1"/>
  <c r="AM169" i="12"/>
  <c r="AN169" i="12" s="1"/>
  <c r="AO169" i="12" s="1"/>
  <c r="AO45" i="12"/>
  <c r="AM147" i="12"/>
  <c r="AN147" i="12" s="1"/>
  <c r="AM156" i="12"/>
  <c r="AN156" i="12" s="1"/>
  <c r="AO156" i="12" s="1"/>
  <c r="AJ196" i="12"/>
  <c r="AM76" i="12"/>
  <c r="AO76" i="12" s="1"/>
  <c r="AQ76" i="12"/>
  <c r="AN39" i="12"/>
  <c r="AO39" i="12"/>
  <c r="AM152" i="12"/>
  <c r="AQ152" i="12"/>
  <c r="AN162" i="12"/>
  <c r="AO162" i="12"/>
  <c r="AQ149" i="12"/>
  <c r="AM149" i="12"/>
  <c r="AO149" i="12" s="1"/>
  <c r="AN13" i="12"/>
  <c r="AO13" i="12" s="1"/>
  <c r="AQ40" i="12"/>
  <c r="AM40" i="12"/>
  <c r="AO40" i="12" s="1"/>
  <c r="AM87" i="12"/>
  <c r="AQ87" i="12"/>
  <c r="AQ187" i="12"/>
  <c r="AM187" i="12"/>
  <c r="AQ22" i="12"/>
  <c r="AM22" i="12"/>
  <c r="AQ106" i="12"/>
  <c r="AM106" i="12"/>
  <c r="AO106" i="12" s="1"/>
  <c r="AQ173" i="12"/>
  <c r="AM173" i="12"/>
  <c r="AO173" i="12" s="1"/>
  <c r="AN57" i="12"/>
  <c r="AO57" i="12" s="1"/>
  <c r="AQ158" i="12"/>
  <c r="AM158" i="12"/>
  <c r="AO158" i="12" s="1"/>
  <c r="AQ107" i="12"/>
  <c r="AM107" i="12"/>
  <c r="AO107" i="12" s="1"/>
  <c r="AQ15" i="12"/>
  <c r="AM15" i="12"/>
  <c r="AO15" i="12" s="1"/>
  <c r="AN81" i="12"/>
  <c r="AO81" i="12" s="1"/>
  <c r="AQ84" i="12"/>
  <c r="AM84" i="12"/>
  <c r="AO84" i="12" s="1"/>
  <c r="AN95" i="12"/>
  <c r="AO95" i="12" s="1"/>
  <c r="AO116" i="12"/>
  <c r="AM148" i="12"/>
  <c r="AO148" i="12" s="1"/>
  <c r="AQ148" i="12"/>
  <c r="AN28" i="12"/>
  <c r="AQ164" i="12"/>
  <c r="AM164" i="12"/>
  <c r="AQ99" i="12"/>
  <c r="AM99" i="12"/>
  <c r="AN123" i="12"/>
  <c r="AO123" i="12" s="1"/>
  <c r="AQ66" i="12"/>
  <c r="AM66" i="12"/>
  <c r="AO66" i="12" s="1"/>
  <c r="AO102" i="12"/>
  <c r="AQ110" i="12"/>
  <c r="AM110" i="12"/>
  <c r="AQ56" i="12"/>
  <c r="AM56" i="12"/>
  <c r="AQ67" i="12"/>
  <c r="AQ34" i="12"/>
  <c r="AM34" i="12"/>
  <c r="AO34" i="12" s="1"/>
  <c r="AQ139" i="12"/>
  <c r="AM139" i="12"/>
  <c r="AQ14" i="12"/>
  <c r="AQ39" i="12"/>
  <c r="AN21" i="12"/>
  <c r="AO21" i="12" s="1"/>
  <c r="AM23" i="12"/>
  <c r="AQ35" i="12"/>
  <c r="AM46" i="12"/>
  <c r="AQ77" i="12"/>
  <c r="AQ183" i="12"/>
  <c r="AM82" i="12"/>
  <c r="AM92" i="12"/>
  <c r="AQ115" i="12"/>
  <c r="AQ123" i="12"/>
  <c r="AQ57" i="12"/>
  <c r="AQ162" i="12"/>
  <c r="AQ175" i="12"/>
  <c r="AQ131" i="12"/>
  <c r="AM131" i="12"/>
  <c r="AN26" i="12"/>
  <c r="AO26" i="12" s="1"/>
  <c r="AN25" i="12"/>
  <c r="AO25" i="12" s="1"/>
  <c r="AM43" i="12"/>
  <c r="AO71" i="12"/>
  <c r="AM101" i="12"/>
  <c r="AM55" i="12"/>
  <c r="AO55" i="12" s="1"/>
  <c r="AB197" i="12"/>
  <c r="AM36" i="12"/>
  <c r="AO36" i="12" s="1"/>
  <c r="AM78" i="12"/>
  <c r="AM85" i="12"/>
  <c r="AM91" i="12"/>
  <c r="AO91" i="12" s="1"/>
  <c r="AI196" i="12"/>
  <c r="AN116" i="12"/>
  <c r="AO59" i="12"/>
  <c r="AQ73" i="12"/>
  <c r="AM73" i="12"/>
  <c r="AM180" i="12"/>
  <c r="AO180" i="12" s="1"/>
  <c r="AM69" i="12"/>
  <c r="AQ61" i="12"/>
  <c r="AM61" i="12"/>
  <c r="AQ21" i="12"/>
  <c r="AM113" i="12"/>
  <c r="AM122" i="12"/>
  <c r="AM136" i="12"/>
  <c r="AM166" i="12"/>
  <c r="AM168" i="12"/>
  <c r="AO168" i="12" s="1"/>
  <c r="AG196" i="12"/>
  <c r="AL9" i="12"/>
  <c r="AQ44" i="12"/>
  <c r="AM44" i="12"/>
  <c r="AQ47" i="12"/>
  <c r="AM47" i="12"/>
  <c r="AO47" i="12" s="1"/>
  <c r="AQ49" i="12"/>
  <c r="AM49" i="12"/>
  <c r="AM17" i="12"/>
  <c r="AO54" i="12"/>
  <c r="AQ108" i="12"/>
  <c r="AM108" i="12"/>
  <c r="AO108" i="12" s="1"/>
  <c r="AM74" i="12"/>
  <c r="AO74" i="12" s="1"/>
  <c r="AM79" i="12"/>
  <c r="AO79" i="12" s="1"/>
  <c r="AH196" i="12"/>
  <c r="AM18" i="12"/>
  <c r="AO18" i="12" s="1"/>
  <c r="AQ184" i="12"/>
  <c r="AM184" i="12"/>
  <c r="AN126" i="12"/>
  <c r="AO126" i="12"/>
  <c r="AQ116" i="12"/>
  <c r="AQ19" i="12"/>
  <c r="AM111" i="12"/>
  <c r="AO111" i="12" s="1"/>
  <c r="AQ121" i="12"/>
  <c r="AM121" i="12"/>
  <c r="AM179" i="12"/>
  <c r="AO179" i="12" s="1"/>
  <c r="AM141" i="12"/>
  <c r="AQ100" i="12"/>
  <c r="AM100" i="12"/>
  <c r="AO100" i="12" s="1"/>
  <c r="AQ194" i="12"/>
  <c r="AM194" i="12"/>
  <c r="AQ191" i="12"/>
  <c r="AM191" i="12"/>
  <c r="AO70" i="12"/>
  <c r="AN188" i="12"/>
  <c r="AO188" i="12" s="1"/>
  <c r="AQ174" i="12"/>
  <c r="AM174" i="12"/>
  <c r="AN72" i="12"/>
  <c r="AO72" i="12" s="1"/>
  <c r="AQ88" i="12"/>
  <c r="AM88" i="12"/>
  <c r="AO88" i="12" s="1"/>
  <c r="AM53" i="12"/>
  <c r="AO53" i="12" s="1"/>
  <c r="AN137" i="12"/>
  <c r="AO137" i="12" s="1"/>
  <c r="AM151" i="12"/>
  <c r="AQ64" i="12"/>
  <c r="AM64" i="12"/>
  <c r="AN171" i="12"/>
  <c r="AO171" i="12" s="1"/>
  <c r="AQ38" i="12"/>
  <c r="AO42" i="12"/>
  <c r="AO127" i="12"/>
  <c r="AM80" i="12"/>
  <c r="AM124" i="12"/>
  <c r="AM58" i="12"/>
  <c r="AM60" i="12"/>
  <c r="AO60" i="12" s="1"/>
  <c r="AM63" i="12"/>
  <c r="AM160" i="12"/>
  <c r="AM181" i="12"/>
  <c r="AO181" i="12" s="1"/>
  <c r="AM33" i="12"/>
  <c r="AO33" i="12" s="1"/>
  <c r="AM176" i="12"/>
  <c r="AM144" i="12"/>
  <c r="AN142" i="12"/>
  <c r="AO142" i="12" s="1"/>
  <c r="AM189" i="12"/>
  <c r="AO189" i="12" s="1"/>
  <c r="AO161" i="12" l="1"/>
  <c r="AQ20" i="12"/>
  <c r="AO28" i="12"/>
  <c r="AN41" i="12"/>
  <c r="AO41" i="12" s="1"/>
  <c r="AN140" i="12"/>
  <c r="AO140" i="12" s="1"/>
  <c r="AN157" i="12"/>
  <c r="AO157" i="12"/>
  <c r="AO134" i="12"/>
  <c r="AQ93" i="12"/>
  <c r="AM93" i="12"/>
  <c r="AO93" i="12" s="1"/>
  <c r="AO147" i="12"/>
  <c r="AN22" i="12"/>
  <c r="AO22" i="12" s="1"/>
  <c r="AN58" i="12"/>
  <c r="AO58" i="12" s="1"/>
  <c r="AN191" i="12"/>
  <c r="AO191" i="12" s="1"/>
  <c r="AN101" i="12"/>
  <c r="AO101" i="12"/>
  <c r="AN73" i="12"/>
  <c r="AO73" i="12" s="1"/>
  <c r="AN187" i="12"/>
  <c r="AO187" i="12"/>
  <c r="AN166" i="12"/>
  <c r="AO166" i="12" s="1"/>
  <c r="AN69" i="12"/>
  <c r="AO69" i="12" s="1"/>
  <c r="AN80" i="12"/>
  <c r="AO80" i="12" s="1"/>
  <c r="AN194" i="12"/>
  <c r="AO194" i="12" s="1"/>
  <c r="AN139" i="12"/>
  <c r="AO139" i="12" s="1"/>
  <c r="AN17" i="12"/>
  <c r="AO17" i="12" s="1"/>
  <c r="AN136" i="12"/>
  <c r="AO136" i="12" s="1"/>
  <c r="AN184" i="12"/>
  <c r="AO184" i="12" s="1"/>
  <c r="AN49" i="12"/>
  <c r="AO49" i="12"/>
  <c r="AN122" i="12"/>
  <c r="AO122" i="12" s="1"/>
  <c r="AN92" i="12"/>
  <c r="AO92" i="12" s="1"/>
  <c r="AM9" i="12"/>
  <c r="AO9" i="12" s="1"/>
  <c r="AQ9" i="12"/>
  <c r="AN124" i="12"/>
  <c r="AO124" i="12" s="1"/>
  <c r="AN144" i="12"/>
  <c r="AO144" i="12" s="1"/>
  <c r="AN113" i="12"/>
  <c r="AO113" i="12" s="1"/>
  <c r="AN43" i="12"/>
  <c r="AO43" i="12" s="1"/>
  <c r="AN82" i="12"/>
  <c r="AO82" i="12" s="1"/>
  <c r="AN87" i="12"/>
  <c r="AO87" i="12" s="1"/>
  <c r="AN152" i="12"/>
  <c r="AO152" i="12" s="1"/>
  <c r="AN176" i="12"/>
  <c r="AO176" i="12" s="1"/>
  <c r="AN174" i="12"/>
  <c r="AO174" i="12" s="1"/>
  <c r="AN99" i="12"/>
  <c r="AO99" i="12" s="1"/>
  <c r="AN151" i="12"/>
  <c r="AO151" i="12"/>
  <c r="AN141" i="12"/>
  <c r="AO141" i="12" s="1"/>
  <c r="AN61" i="12"/>
  <c r="AO61" i="12" s="1"/>
  <c r="AN85" i="12"/>
  <c r="AO85" i="12" s="1"/>
  <c r="AN56" i="12"/>
  <c r="AO56" i="12" s="1"/>
  <c r="AN44" i="12"/>
  <c r="AO44" i="12"/>
  <c r="AN78" i="12"/>
  <c r="AO78" i="12" s="1"/>
  <c r="AN46" i="12"/>
  <c r="AO46" i="12" s="1"/>
  <c r="AN164" i="12"/>
  <c r="AO164" i="12" s="1"/>
  <c r="AN160" i="12"/>
  <c r="AO160" i="12" s="1"/>
  <c r="AN64" i="12"/>
  <c r="AO64" i="12" s="1"/>
  <c r="AN121" i="12"/>
  <c r="AO121" i="12" s="1"/>
  <c r="AN131" i="12"/>
  <c r="AO131" i="12" s="1"/>
  <c r="AN110" i="12"/>
  <c r="AO110" i="12" s="1"/>
  <c r="AN63" i="12"/>
  <c r="AO63" i="12" s="1"/>
  <c r="AN23" i="12"/>
  <c r="AO23" i="12" s="1"/>
  <c r="C88" i="11" l="1"/>
  <c r="Y124" i="5"/>
  <c r="AB124" i="5" s="1"/>
  <c r="AB197" i="5" s="1"/>
  <c r="Y124" i="9"/>
  <c r="AB124" i="9" s="1"/>
  <c r="AF196" i="10"/>
  <c r="AH195" i="10"/>
  <c r="AH193" i="10"/>
  <c r="AG180" i="10"/>
  <c r="AI179" i="10"/>
  <c r="AH178" i="10"/>
  <c r="AG176" i="10"/>
  <c r="AG175" i="10"/>
  <c r="AG170" i="10"/>
  <c r="AH167" i="10"/>
  <c r="AH165" i="10"/>
  <c r="AG163" i="10"/>
  <c r="AH161" i="10"/>
  <c r="AG160" i="10"/>
  <c r="AH155" i="10"/>
  <c r="AG153" i="10"/>
  <c r="AH148" i="10"/>
  <c r="AG142" i="10"/>
  <c r="AG141" i="10"/>
  <c r="AG140" i="10"/>
  <c r="AH138" i="10"/>
  <c r="AG138" i="10"/>
  <c r="AG137" i="10"/>
  <c r="AH136" i="10"/>
  <c r="AG134" i="10"/>
  <c r="AG133" i="10"/>
  <c r="AG131" i="10"/>
  <c r="AH130" i="10"/>
  <c r="AB128" i="10"/>
  <c r="AG127" i="10"/>
  <c r="AH124" i="10"/>
  <c r="AG119" i="10"/>
  <c r="AG103" i="10"/>
  <c r="AG102" i="10"/>
  <c r="AG101" i="10"/>
  <c r="AG100" i="10"/>
  <c r="AG95" i="10"/>
  <c r="AG94" i="10"/>
  <c r="AG93" i="10"/>
  <c r="AG92" i="10"/>
  <c r="AI90" i="10"/>
  <c r="AH88" i="10"/>
  <c r="AH87" i="10"/>
  <c r="AG86" i="10"/>
  <c r="AI84" i="10"/>
  <c r="AI196" i="10" s="1"/>
  <c r="AH84" i="10"/>
  <c r="X83" i="10"/>
  <c r="AB83" i="10" s="1"/>
  <c r="AH82" i="10"/>
  <c r="AH78" i="10"/>
  <c r="AG77" i="10"/>
  <c r="AH76" i="10"/>
  <c r="AG74" i="10"/>
  <c r="AK70" i="10"/>
  <c r="AK196" i="10" s="1"/>
  <c r="AG69" i="10"/>
  <c r="AH61" i="10"/>
  <c r="AG60" i="10"/>
  <c r="AG57" i="10"/>
  <c r="AH56" i="10"/>
  <c r="AG53" i="10"/>
  <c r="AG51" i="10"/>
  <c r="AB51" i="10"/>
  <c r="AG49" i="10"/>
  <c r="AG48" i="10"/>
  <c r="AH47" i="10"/>
  <c r="AJ46" i="10"/>
  <c r="AJ196" i="10" s="1"/>
  <c r="AB46" i="10"/>
  <c r="AG44" i="10"/>
  <c r="AH43" i="10"/>
  <c r="AG40" i="10"/>
  <c r="AG38" i="10"/>
  <c r="AG37" i="10"/>
  <c r="AH36" i="10"/>
  <c r="AH35" i="10"/>
  <c r="AB35" i="10"/>
  <c r="AG33" i="10"/>
  <c r="AG31" i="10"/>
  <c r="AG29" i="10"/>
  <c r="AG27" i="10"/>
  <c r="AG26" i="10"/>
  <c r="AH23" i="10"/>
  <c r="AG23" i="10"/>
  <c r="AG22" i="10"/>
  <c r="D22" i="10"/>
  <c r="AH17" i="10"/>
  <c r="AH16" i="10"/>
  <c r="AG15" i="10"/>
  <c r="AG13" i="10"/>
  <c r="AG12" i="10"/>
  <c r="AB128" i="9"/>
  <c r="AB83" i="9"/>
  <c r="X83" i="9"/>
  <c r="AB51" i="9"/>
  <c r="AB46" i="9"/>
  <c r="AB35" i="9"/>
  <c r="D22" i="9"/>
  <c r="AG180" i="5"/>
  <c r="AL180" i="5" s="1"/>
  <c r="AG93" i="5"/>
  <c r="AG48" i="5"/>
  <c r="AG33" i="5"/>
  <c r="AQ8" i="5"/>
  <c r="AQ9" i="5"/>
  <c r="AQ10" i="5"/>
  <c r="AQ11" i="5"/>
  <c r="AQ12" i="5"/>
  <c r="AQ13" i="5"/>
  <c r="AQ14" i="5"/>
  <c r="AQ15" i="5"/>
  <c r="AQ16" i="5"/>
  <c r="AQ17" i="5"/>
  <c r="AQ18" i="5"/>
  <c r="AQ19" i="5"/>
  <c r="AQ20" i="5"/>
  <c r="AQ21" i="5"/>
  <c r="AQ22" i="5"/>
  <c r="AQ23" i="5"/>
  <c r="AQ24" i="5"/>
  <c r="AQ25" i="5"/>
  <c r="AQ26" i="5"/>
  <c r="AQ27" i="5"/>
  <c r="AQ28" i="5"/>
  <c r="AQ29" i="5"/>
  <c r="AQ30" i="5"/>
  <c r="AQ31" i="5"/>
  <c r="AQ32" i="5"/>
  <c r="AQ34" i="5"/>
  <c r="AQ35" i="5"/>
  <c r="AQ36" i="5"/>
  <c r="AQ37" i="5"/>
  <c r="AQ38" i="5"/>
  <c r="AQ39" i="5"/>
  <c r="AQ40" i="5"/>
  <c r="AQ41" i="5"/>
  <c r="AQ42" i="5"/>
  <c r="AQ43" i="5"/>
  <c r="AQ44" i="5"/>
  <c r="AQ45" i="5"/>
  <c r="AQ46" i="5"/>
  <c r="AQ47" i="5"/>
  <c r="AQ49" i="5"/>
  <c r="AQ50" i="5"/>
  <c r="AQ51" i="5"/>
  <c r="AQ52" i="5"/>
  <c r="AQ53" i="5"/>
  <c r="AQ54" i="5"/>
  <c r="AQ55" i="5"/>
  <c r="AQ56" i="5"/>
  <c r="AQ57" i="5"/>
  <c r="AQ58" i="5"/>
  <c r="AQ59" i="5"/>
  <c r="AQ60" i="5"/>
  <c r="AQ61" i="5"/>
  <c r="AQ62" i="5"/>
  <c r="AQ63" i="5"/>
  <c r="AQ64" i="5"/>
  <c r="AQ65" i="5"/>
  <c r="AQ66" i="5"/>
  <c r="AQ67" i="5"/>
  <c r="AQ68" i="5"/>
  <c r="AQ69" i="5"/>
  <c r="AQ70" i="5"/>
  <c r="AQ71" i="5"/>
  <c r="AQ72" i="5"/>
  <c r="AQ73" i="5"/>
  <c r="AQ74" i="5"/>
  <c r="AQ75" i="5"/>
  <c r="AQ76" i="5"/>
  <c r="AQ77" i="5"/>
  <c r="AQ78" i="5"/>
  <c r="AQ79" i="5"/>
  <c r="AQ80" i="5"/>
  <c r="AQ81" i="5"/>
  <c r="AQ82" i="5"/>
  <c r="AQ83" i="5"/>
  <c r="AQ84" i="5"/>
  <c r="AQ85" i="5"/>
  <c r="AQ86" i="5"/>
  <c r="AQ87" i="5"/>
  <c r="AQ88" i="5"/>
  <c r="AQ89" i="5"/>
  <c r="AQ90" i="5"/>
  <c r="AQ91" i="5"/>
  <c r="AQ92" i="5"/>
  <c r="AQ94" i="5"/>
  <c r="AQ95" i="5"/>
  <c r="AQ96" i="5"/>
  <c r="AQ97" i="5"/>
  <c r="AQ98" i="5"/>
  <c r="AQ99" i="5"/>
  <c r="AQ100" i="5"/>
  <c r="AQ101" i="5"/>
  <c r="AQ102" i="5"/>
  <c r="AQ103" i="5"/>
  <c r="AQ104" i="5"/>
  <c r="AQ105" i="5"/>
  <c r="AQ106" i="5"/>
  <c r="AQ107" i="5"/>
  <c r="AQ108" i="5"/>
  <c r="AQ109" i="5"/>
  <c r="AQ110" i="5"/>
  <c r="AQ111" i="5"/>
  <c r="AQ112" i="5"/>
  <c r="AQ113" i="5"/>
  <c r="AQ114" i="5"/>
  <c r="AQ115" i="5"/>
  <c r="AQ116" i="5"/>
  <c r="AQ117" i="5"/>
  <c r="AQ118" i="5"/>
  <c r="AQ119" i="5"/>
  <c r="AQ120" i="5"/>
  <c r="AQ121" i="5"/>
  <c r="AQ122" i="5"/>
  <c r="AQ123" i="5"/>
  <c r="AQ124" i="5"/>
  <c r="AQ125" i="5"/>
  <c r="AQ126" i="5"/>
  <c r="AQ127" i="5"/>
  <c r="AQ128" i="5"/>
  <c r="AQ129" i="5"/>
  <c r="AQ130" i="5"/>
  <c r="AQ131" i="5"/>
  <c r="AQ132" i="5"/>
  <c r="AQ133" i="5"/>
  <c r="AQ134" i="5"/>
  <c r="AQ135" i="5"/>
  <c r="AQ136" i="5"/>
  <c r="AQ137" i="5"/>
  <c r="AQ138" i="5"/>
  <c r="AQ139" i="5"/>
  <c r="AQ140" i="5"/>
  <c r="AQ141" i="5"/>
  <c r="AQ142" i="5"/>
  <c r="AQ143" i="5"/>
  <c r="AQ144" i="5"/>
  <c r="AQ145" i="5"/>
  <c r="AQ146" i="5"/>
  <c r="AQ147" i="5"/>
  <c r="AQ148" i="5"/>
  <c r="AQ149" i="5"/>
  <c r="AQ150" i="5"/>
  <c r="AQ151" i="5"/>
  <c r="AQ152" i="5"/>
  <c r="AQ153" i="5"/>
  <c r="AQ154" i="5"/>
  <c r="AQ155" i="5"/>
  <c r="AQ156" i="5"/>
  <c r="AQ157" i="5"/>
  <c r="AQ158" i="5"/>
  <c r="AQ159" i="5"/>
  <c r="AQ160" i="5"/>
  <c r="AQ161" i="5"/>
  <c r="AQ162" i="5"/>
  <c r="AQ163" i="5"/>
  <c r="AQ164" i="5"/>
  <c r="AQ165" i="5"/>
  <c r="AQ166" i="5"/>
  <c r="AQ167" i="5"/>
  <c r="AQ168" i="5"/>
  <c r="AQ169" i="5"/>
  <c r="AQ170" i="5"/>
  <c r="AQ171" i="5"/>
  <c r="AQ172" i="5"/>
  <c r="AQ173" i="5"/>
  <c r="AQ174" i="5"/>
  <c r="AQ175" i="5"/>
  <c r="AQ176" i="5"/>
  <c r="AQ177" i="5"/>
  <c r="AQ178" i="5"/>
  <c r="AQ179" i="5"/>
  <c r="AQ181" i="5"/>
  <c r="AQ182" i="5"/>
  <c r="AQ183" i="5"/>
  <c r="AQ184" i="5"/>
  <c r="AQ185" i="5"/>
  <c r="AQ186" i="5"/>
  <c r="AQ187" i="5"/>
  <c r="AQ188" i="5"/>
  <c r="AQ189" i="5"/>
  <c r="AQ190" i="5"/>
  <c r="AQ191" i="5"/>
  <c r="AQ192" i="5"/>
  <c r="AQ193" i="5"/>
  <c r="AQ194" i="5"/>
  <c r="AQ195" i="5"/>
  <c r="AG196" i="5"/>
  <c r="AH196" i="5"/>
  <c r="AI196" i="5"/>
  <c r="AJ196" i="5"/>
  <c r="AK196" i="5"/>
  <c r="C89" i="4"/>
  <c r="AF196" i="5"/>
  <c r="AG26" i="5"/>
  <c r="AL26" i="5" s="1"/>
  <c r="AM26" i="5" s="1"/>
  <c r="AG38" i="5"/>
  <c r="AL38" i="5" s="1"/>
  <c r="AM38" i="5" s="1"/>
  <c r="AH46" i="5"/>
  <c r="AL46" i="5" s="1"/>
  <c r="AM46" i="5" s="1"/>
  <c r="AO46" i="5" s="1"/>
  <c r="AG94" i="5"/>
  <c r="AL94" i="5" s="1"/>
  <c r="AM94" i="5" s="1"/>
  <c r="AG127" i="5"/>
  <c r="AL127" i="5" s="1"/>
  <c r="AM127" i="5" s="1"/>
  <c r="AG131" i="5"/>
  <c r="AL131" i="5" s="1"/>
  <c r="AM131" i="5" s="1"/>
  <c r="AG134" i="5"/>
  <c r="AL134" i="5" s="1"/>
  <c r="AM134" i="5" s="1"/>
  <c r="AH195" i="5"/>
  <c r="AL195" i="5" s="1"/>
  <c r="AM195" i="5" s="1"/>
  <c r="AG119" i="5"/>
  <c r="AL119" i="5" s="1"/>
  <c r="AM119" i="5" s="1"/>
  <c r="AG15" i="5"/>
  <c r="AL15" i="5" s="1"/>
  <c r="AM15" i="5" s="1"/>
  <c r="AG137" i="5"/>
  <c r="AL137" i="5" s="1"/>
  <c r="AM137" i="5" s="1"/>
  <c r="AG60" i="5"/>
  <c r="AJ46" i="5"/>
  <c r="AG102" i="5"/>
  <c r="AL102" i="5" s="1"/>
  <c r="AM102" i="5" s="1"/>
  <c r="AG163" i="5"/>
  <c r="AL163" i="5" s="1"/>
  <c r="AM163" i="5" s="1"/>
  <c r="AG141" i="5"/>
  <c r="AL141" i="5" s="1"/>
  <c r="AM141" i="5" s="1"/>
  <c r="AG13" i="5"/>
  <c r="AL13" i="5" s="1"/>
  <c r="AM13" i="5" s="1"/>
  <c r="AO13" i="5" s="1"/>
  <c r="AG29" i="5"/>
  <c r="AL29" i="5" s="1"/>
  <c r="AM29" i="5" s="1"/>
  <c r="AG53" i="5"/>
  <c r="AL53" i="5" s="1"/>
  <c r="AM53" i="5" s="1"/>
  <c r="AB51" i="5"/>
  <c r="AG51" i="5"/>
  <c r="AL51" i="5" s="1"/>
  <c r="AM51" i="5" s="1"/>
  <c r="AG77" i="5"/>
  <c r="AL77" i="5" s="1"/>
  <c r="AM77" i="5" s="1"/>
  <c r="AG27" i="5"/>
  <c r="AL27" i="5" s="1"/>
  <c r="AM27" i="5" s="1"/>
  <c r="AG31" i="5"/>
  <c r="AL31" i="5" s="1"/>
  <c r="AM31" i="5" s="1"/>
  <c r="AG40" i="5"/>
  <c r="AL40" i="5" s="1"/>
  <c r="AM40" i="5" s="1"/>
  <c r="AG103" i="5"/>
  <c r="AL103" i="5" s="1"/>
  <c r="AM103" i="5" s="1"/>
  <c r="AM101" i="5"/>
  <c r="AG101" i="5"/>
  <c r="AG100" i="5"/>
  <c r="AL100" i="5" s="1"/>
  <c r="AM100" i="5" s="1"/>
  <c r="AG153" i="5"/>
  <c r="AG44" i="5"/>
  <c r="AL44" i="5" s="1"/>
  <c r="AM44" i="5" s="1"/>
  <c r="AG176" i="5"/>
  <c r="AL176" i="5" s="1"/>
  <c r="AM176" i="5" s="1"/>
  <c r="AN176" i="5" s="1"/>
  <c r="AO176" i="5" s="1"/>
  <c r="AG74" i="5"/>
  <c r="AL74" i="5" s="1"/>
  <c r="AM74" i="5" s="1"/>
  <c r="AG57" i="5"/>
  <c r="AL57" i="5" s="1"/>
  <c r="AM57" i="5" s="1"/>
  <c r="AB35" i="5"/>
  <c r="AH35" i="5"/>
  <c r="AL194" i="5"/>
  <c r="AM194" i="5" s="1"/>
  <c r="AH193" i="5"/>
  <c r="AL193" i="5" s="1"/>
  <c r="AM193" i="5" s="1"/>
  <c r="AO193" i="5" s="1"/>
  <c r="AL192" i="5"/>
  <c r="AM192" i="5" s="1"/>
  <c r="AO192" i="5" s="1"/>
  <c r="AM191" i="5"/>
  <c r="AL191" i="5"/>
  <c r="AM190" i="5"/>
  <c r="AL190" i="5"/>
  <c r="AL189" i="5"/>
  <c r="AM189" i="5" s="1"/>
  <c r="AM188" i="5"/>
  <c r="AN188" i="5" s="1"/>
  <c r="AO188" i="5" s="1"/>
  <c r="AL188" i="5"/>
  <c r="AM187" i="5"/>
  <c r="AL187" i="5"/>
  <c r="AL186" i="5"/>
  <c r="AM186" i="5" s="1"/>
  <c r="AM185" i="5"/>
  <c r="AN185" i="5" s="1"/>
  <c r="AO185" i="5" s="1"/>
  <c r="AL185" i="5"/>
  <c r="AM184" i="5"/>
  <c r="AL184" i="5"/>
  <c r="AL183" i="5"/>
  <c r="AM183" i="5" s="1"/>
  <c r="AM182" i="5"/>
  <c r="AN182" i="5" s="1"/>
  <c r="AO182" i="5" s="1"/>
  <c r="AL182" i="5"/>
  <c r="AM181" i="5"/>
  <c r="AL181" i="5"/>
  <c r="AI179" i="5"/>
  <c r="AL179" i="5" s="1"/>
  <c r="AM179" i="5" s="1"/>
  <c r="AO179" i="5" s="1"/>
  <c r="AH178" i="5"/>
  <c r="AL178" i="5" s="1"/>
  <c r="AM178" i="5" s="1"/>
  <c r="AO178" i="5" s="1"/>
  <c r="AL177" i="5"/>
  <c r="AM177" i="5" s="1"/>
  <c r="AG175" i="5"/>
  <c r="AL175" i="5" s="1"/>
  <c r="AM175" i="5" s="1"/>
  <c r="AM174" i="5"/>
  <c r="AN174" i="5" s="1"/>
  <c r="AO174" i="5" s="1"/>
  <c r="AL174" i="5"/>
  <c r="AL173" i="5"/>
  <c r="AM173" i="5" s="1"/>
  <c r="AO173" i="5" s="1"/>
  <c r="AL172" i="5"/>
  <c r="AM172" i="5" s="1"/>
  <c r="AO172" i="5" s="1"/>
  <c r="AM171" i="5"/>
  <c r="AL171" i="5"/>
  <c r="AG170" i="5"/>
  <c r="AL170" i="5" s="1"/>
  <c r="AM170" i="5" s="1"/>
  <c r="AO170" i="5" s="1"/>
  <c r="AL169" i="5"/>
  <c r="AM169" i="5" s="1"/>
  <c r="AM168" i="5"/>
  <c r="AL168" i="5"/>
  <c r="AH167" i="5"/>
  <c r="AL167" i="5" s="1"/>
  <c r="AM167" i="5" s="1"/>
  <c r="AO167" i="5" s="1"/>
  <c r="AL166" i="5"/>
  <c r="AM166" i="5" s="1"/>
  <c r="AL165" i="5"/>
  <c r="AM165" i="5" s="1"/>
  <c r="AO165" i="5" s="1"/>
  <c r="AH165" i="5"/>
  <c r="AL164" i="5"/>
  <c r="AM164" i="5" s="1"/>
  <c r="AM162" i="5"/>
  <c r="AL162" i="5"/>
  <c r="AH161" i="5"/>
  <c r="AL161" i="5" s="1"/>
  <c r="AM161" i="5" s="1"/>
  <c r="AO161" i="5" s="1"/>
  <c r="AG160" i="5"/>
  <c r="AL160" i="5" s="1"/>
  <c r="AM160" i="5" s="1"/>
  <c r="AO160" i="5" s="1"/>
  <c r="AL159" i="5"/>
  <c r="AM159" i="5" s="1"/>
  <c r="AO159" i="5" s="1"/>
  <c r="AL158" i="5"/>
  <c r="AM158" i="5" s="1"/>
  <c r="AL157" i="5"/>
  <c r="AM157" i="5" s="1"/>
  <c r="AL156" i="5"/>
  <c r="AM156" i="5" s="1"/>
  <c r="AH155" i="5"/>
  <c r="AL155" i="5" s="1"/>
  <c r="AM155" i="5" s="1"/>
  <c r="AO155" i="5" s="1"/>
  <c r="AM154" i="5"/>
  <c r="AO154" i="5" s="1"/>
  <c r="AL154" i="5"/>
  <c r="AL153" i="5"/>
  <c r="AM153" i="5" s="1"/>
  <c r="AL152" i="5"/>
  <c r="AM152" i="5" s="1"/>
  <c r="AO152" i="5" s="1"/>
  <c r="AL151" i="5"/>
  <c r="AM151" i="5" s="1"/>
  <c r="AO151" i="5" s="1"/>
  <c r="AL150" i="5"/>
  <c r="AM150" i="5" s="1"/>
  <c r="AM149" i="5"/>
  <c r="AL149" i="5"/>
  <c r="AH148" i="5"/>
  <c r="AL148" i="5" s="1"/>
  <c r="AM148" i="5" s="1"/>
  <c r="AO148" i="5" s="1"/>
  <c r="AL147" i="5"/>
  <c r="AM147" i="5" s="1"/>
  <c r="AM146" i="5"/>
  <c r="AL146" i="5"/>
  <c r="AL145" i="5"/>
  <c r="AM145" i="5" s="1"/>
  <c r="AL144" i="5"/>
  <c r="AM144" i="5" s="1"/>
  <c r="AO143" i="5"/>
  <c r="AL143" i="5"/>
  <c r="AL142" i="5"/>
  <c r="AM142" i="5" s="1"/>
  <c r="AO142" i="5" s="1"/>
  <c r="AG142" i="5"/>
  <c r="AG140" i="5"/>
  <c r="AL140" i="5" s="1"/>
  <c r="AM140" i="5" s="1"/>
  <c r="AO140" i="5" s="1"/>
  <c r="AH138" i="5"/>
  <c r="AL138" i="5" s="1"/>
  <c r="AM138" i="5" s="1"/>
  <c r="AO138" i="5" s="1"/>
  <c r="AG138" i="5"/>
  <c r="AH136" i="5"/>
  <c r="AL136" i="5" s="1"/>
  <c r="AM136" i="5" s="1"/>
  <c r="AO136" i="5" s="1"/>
  <c r="AL135" i="5"/>
  <c r="AM135" i="5" s="1"/>
  <c r="AL133" i="5"/>
  <c r="AM133" i="5" s="1"/>
  <c r="AG133" i="5"/>
  <c r="AL132" i="5"/>
  <c r="AM132" i="5" s="1"/>
  <c r="AH130" i="5"/>
  <c r="AL130" i="5" s="1"/>
  <c r="AM130" i="5" s="1"/>
  <c r="AL129" i="5"/>
  <c r="AM129" i="5" s="1"/>
  <c r="AO129" i="5" s="1"/>
  <c r="AL128" i="5"/>
  <c r="AB128" i="5"/>
  <c r="AM128" i="5" s="1"/>
  <c r="AO128" i="5" s="1"/>
  <c r="AL126" i="5"/>
  <c r="AM126" i="5" s="1"/>
  <c r="AL125" i="5"/>
  <c r="AM125" i="5" s="1"/>
  <c r="AI124" i="5"/>
  <c r="AL124" i="5" s="1"/>
  <c r="AL123" i="5"/>
  <c r="AM123" i="5" s="1"/>
  <c r="AO123" i="5" s="1"/>
  <c r="AL122" i="5"/>
  <c r="AM122" i="5" s="1"/>
  <c r="AL121" i="5"/>
  <c r="AM121" i="5" s="1"/>
  <c r="AL120" i="5"/>
  <c r="AM120" i="5" s="1"/>
  <c r="AL118" i="5"/>
  <c r="AM118" i="5" s="1"/>
  <c r="AL117" i="5"/>
  <c r="AM117" i="5" s="1"/>
  <c r="AL116" i="5"/>
  <c r="AM116" i="5" s="1"/>
  <c r="AL115" i="5"/>
  <c r="AM115" i="5" s="1"/>
  <c r="AL114" i="5"/>
  <c r="AM114" i="5" s="1"/>
  <c r="AL113" i="5"/>
  <c r="AM113" i="5" s="1"/>
  <c r="AL112" i="5"/>
  <c r="AM112" i="5" s="1"/>
  <c r="AL111" i="5"/>
  <c r="AM111" i="5" s="1"/>
  <c r="AL110" i="5"/>
  <c r="AM110" i="5" s="1"/>
  <c r="AL109" i="5"/>
  <c r="AM109" i="5" s="1"/>
  <c r="AL108" i="5"/>
  <c r="AM108" i="5" s="1"/>
  <c r="AL107" i="5"/>
  <c r="AM107" i="5" s="1"/>
  <c r="AL106" i="5"/>
  <c r="AM106" i="5" s="1"/>
  <c r="AL105" i="5"/>
  <c r="AM105" i="5" s="1"/>
  <c r="AL104" i="5"/>
  <c r="AM104" i="5" s="1"/>
  <c r="AL101" i="5"/>
  <c r="AL99" i="5"/>
  <c r="AM99" i="5" s="1"/>
  <c r="AL98" i="5"/>
  <c r="AM98" i="5" s="1"/>
  <c r="AL97" i="5"/>
  <c r="AM97" i="5" s="1"/>
  <c r="AO97" i="5" s="1"/>
  <c r="AL96" i="5"/>
  <c r="AM96" i="5" s="1"/>
  <c r="AO96" i="5" s="1"/>
  <c r="AG95" i="5"/>
  <c r="AL95" i="5" s="1"/>
  <c r="AM95" i="5" s="1"/>
  <c r="AO95" i="5" s="1"/>
  <c r="AL93" i="5"/>
  <c r="AM93" i="5" s="1"/>
  <c r="AL92" i="5"/>
  <c r="AM92" i="5" s="1"/>
  <c r="AO92" i="5" s="1"/>
  <c r="AG92" i="5"/>
  <c r="AL91" i="5"/>
  <c r="AM91" i="5" s="1"/>
  <c r="AO91" i="5" s="1"/>
  <c r="AI90" i="5"/>
  <c r="AL90" i="5" s="1"/>
  <c r="AM90" i="5" s="1"/>
  <c r="AM89" i="5"/>
  <c r="AL89" i="5"/>
  <c r="AH88" i="5"/>
  <c r="AL88" i="5" s="1"/>
  <c r="AM88" i="5" s="1"/>
  <c r="AO88" i="5" s="1"/>
  <c r="AH87" i="5"/>
  <c r="AL87" i="5" s="1"/>
  <c r="AM87" i="5" s="1"/>
  <c r="AO87" i="5" s="1"/>
  <c r="AG86" i="5"/>
  <c r="AL86" i="5" s="1"/>
  <c r="AM86" i="5" s="1"/>
  <c r="AO86" i="5" s="1"/>
  <c r="AI84" i="5"/>
  <c r="AH84" i="5"/>
  <c r="AL84" i="5" s="1"/>
  <c r="AM84" i="5" s="1"/>
  <c r="AO84" i="5" s="1"/>
  <c r="AL83" i="5"/>
  <c r="X83" i="5"/>
  <c r="AB83" i="5" s="1"/>
  <c r="AM83" i="5" s="1"/>
  <c r="AO83" i="5" s="1"/>
  <c r="AH82" i="5"/>
  <c r="AL82" i="5" s="1"/>
  <c r="AM82" i="5" s="1"/>
  <c r="AO82" i="5" s="1"/>
  <c r="AL81" i="5"/>
  <c r="AM81" i="5" s="1"/>
  <c r="AL80" i="5"/>
  <c r="AM80" i="5" s="1"/>
  <c r="AL79" i="5"/>
  <c r="AM79" i="5" s="1"/>
  <c r="AH78" i="5"/>
  <c r="AL78" i="5" s="1"/>
  <c r="AM78" i="5" s="1"/>
  <c r="AO78" i="5" s="1"/>
  <c r="AH76" i="5"/>
  <c r="AL76" i="5" s="1"/>
  <c r="AM76" i="5" s="1"/>
  <c r="AO76" i="5" s="1"/>
  <c r="AL75" i="5"/>
  <c r="AM75" i="5" s="1"/>
  <c r="AO73" i="5"/>
  <c r="AM73" i="5"/>
  <c r="AL73" i="5"/>
  <c r="AL72" i="5"/>
  <c r="AM72" i="5" s="1"/>
  <c r="AL71" i="5"/>
  <c r="AM71" i="5" s="1"/>
  <c r="AO71" i="5" s="1"/>
  <c r="AK70" i="5"/>
  <c r="AG69" i="5"/>
  <c r="AL69" i="5" s="1"/>
  <c r="AM69" i="5" s="1"/>
  <c r="AO69" i="5" s="1"/>
  <c r="AL68" i="5"/>
  <c r="AM68" i="5" s="1"/>
  <c r="AL67" i="5"/>
  <c r="AM67" i="5" s="1"/>
  <c r="AO67" i="5" s="1"/>
  <c r="AL66" i="5"/>
  <c r="AM66" i="5" s="1"/>
  <c r="AM65" i="5"/>
  <c r="AL65" i="5"/>
  <c r="AL64" i="5"/>
  <c r="AM64" i="5" s="1"/>
  <c r="AL63" i="5"/>
  <c r="AM63" i="5" s="1"/>
  <c r="AM62" i="5"/>
  <c r="AL62" i="5"/>
  <c r="AH61" i="5"/>
  <c r="AL61" i="5" s="1"/>
  <c r="AM61" i="5" s="1"/>
  <c r="AO61" i="5" s="1"/>
  <c r="AL60" i="5"/>
  <c r="AM60" i="5" s="1"/>
  <c r="AM59" i="5"/>
  <c r="AL59" i="5"/>
  <c r="AL58" i="5"/>
  <c r="AM58" i="5" s="1"/>
  <c r="AO58" i="5" s="1"/>
  <c r="AH56" i="5"/>
  <c r="AL56" i="5" s="1"/>
  <c r="AM56" i="5" s="1"/>
  <c r="AO56" i="5" s="1"/>
  <c r="AL55" i="5"/>
  <c r="AM55" i="5" s="1"/>
  <c r="AL54" i="5"/>
  <c r="AM54" i="5" s="1"/>
  <c r="AM52" i="5"/>
  <c r="AO52" i="5" s="1"/>
  <c r="AL52" i="5"/>
  <c r="AL50" i="5"/>
  <c r="AM50" i="5" s="1"/>
  <c r="AO50" i="5" s="1"/>
  <c r="AG49" i="5"/>
  <c r="AL49" i="5" s="1"/>
  <c r="AM49" i="5" s="1"/>
  <c r="AO49" i="5" s="1"/>
  <c r="AL48" i="5"/>
  <c r="AQ48" i="5" s="1"/>
  <c r="AH47" i="5"/>
  <c r="AL47" i="5" s="1"/>
  <c r="AM47" i="5" s="1"/>
  <c r="AO47" i="5" s="1"/>
  <c r="AB46" i="5"/>
  <c r="AM45" i="5"/>
  <c r="AL45" i="5"/>
  <c r="AH43" i="5"/>
  <c r="AL43" i="5" s="1"/>
  <c r="AM43" i="5" s="1"/>
  <c r="AO43" i="5" s="1"/>
  <c r="AM42" i="5"/>
  <c r="AL42" i="5"/>
  <c r="AL41" i="5"/>
  <c r="AM41" i="5" s="1"/>
  <c r="AM39" i="5"/>
  <c r="AL39" i="5"/>
  <c r="AG37" i="5"/>
  <c r="AL37" i="5" s="1"/>
  <c r="AM37" i="5" s="1"/>
  <c r="AO37" i="5" s="1"/>
  <c r="AH36" i="5"/>
  <c r="AL36" i="5" s="1"/>
  <c r="AM36" i="5" s="1"/>
  <c r="AO36" i="5" s="1"/>
  <c r="AL35" i="5"/>
  <c r="AL34" i="5"/>
  <c r="AM34" i="5" s="1"/>
  <c r="AL33" i="5"/>
  <c r="AM33" i="5" s="1"/>
  <c r="AL32" i="5"/>
  <c r="AM32" i="5" s="1"/>
  <c r="AM30" i="5"/>
  <c r="AL30" i="5"/>
  <c r="AL28" i="5"/>
  <c r="AM28" i="5" s="1"/>
  <c r="AL25" i="5"/>
  <c r="AM25" i="5" s="1"/>
  <c r="AH23" i="5"/>
  <c r="AG23" i="5"/>
  <c r="AG22" i="5"/>
  <c r="AL22" i="5" s="1"/>
  <c r="AM22" i="5" s="1"/>
  <c r="AO22" i="5" s="1"/>
  <c r="D22" i="5"/>
  <c r="AL21" i="5"/>
  <c r="AM21" i="5" s="1"/>
  <c r="AM20" i="5"/>
  <c r="AO20" i="5" s="1"/>
  <c r="AL20" i="5"/>
  <c r="AL19" i="5"/>
  <c r="AM19" i="5" s="1"/>
  <c r="AL18" i="5"/>
  <c r="AM18" i="5" s="1"/>
  <c r="AO18" i="5" s="1"/>
  <c r="AH17" i="5"/>
  <c r="AL17" i="5" s="1"/>
  <c r="AM17" i="5" s="1"/>
  <c r="AO17" i="5" s="1"/>
  <c r="AH16" i="5"/>
  <c r="AL14" i="5"/>
  <c r="AM14" i="5" s="1"/>
  <c r="AO14" i="5" s="1"/>
  <c r="AG12" i="5"/>
  <c r="AL11" i="5"/>
  <c r="AM11" i="5" s="1"/>
  <c r="AO11" i="5" s="1"/>
  <c r="AL10" i="5"/>
  <c r="AM10" i="5" s="1"/>
  <c r="AO10" i="5" s="1"/>
  <c r="AL9" i="5"/>
  <c r="AM9" i="5" s="1"/>
  <c r="AO9" i="5" s="1"/>
  <c r="AL8" i="5"/>
  <c r="AM8" i="5" s="1"/>
  <c r="AO8" i="5" s="1"/>
  <c r="X83" i="2"/>
  <c r="AB83" i="2" s="1"/>
  <c r="AJ196" i="2"/>
  <c r="AB128" i="2"/>
  <c r="AB46" i="2"/>
  <c r="AG175" i="2"/>
  <c r="AL175" i="2" s="1"/>
  <c r="AM175" i="2" s="1"/>
  <c r="AN175" i="2" s="1"/>
  <c r="AE175" i="2"/>
  <c r="AD175" i="2"/>
  <c r="AB182" i="3"/>
  <c r="AP189" i="3"/>
  <c r="AP194" i="3"/>
  <c r="AB9" i="3"/>
  <c r="AG95" i="2"/>
  <c r="AF199" i="3"/>
  <c r="AL177" i="3"/>
  <c r="AM177" i="3" s="1"/>
  <c r="AL176" i="3"/>
  <c r="AM176" i="3" s="1"/>
  <c r="AH175" i="3"/>
  <c r="AL175" i="3" s="1"/>
  <c r="AM175" i="3" s="1"/>
  <c r="AO175" i="3" s="1"/>
  <c r="AL186" i="3"/>
  <c r="AM186" i="3" s="1"/>
  <c r="AL174" i="3"/>
  <c r="AM174" i="3" s="1"/>
  <c r="AL173" i="3"/>
  <c r="AM173" i="3" s="1"/>
  <c r="AL172" i="3"/>
  <c r="AM172" i="3" s="1"/>
  <c r="AN172" i="3" s="1"/>
  <c r="AL171" i="3"/>
  <c r="AM171" i="3" s="1"/>
  <c r="AL170" i="3"/>
  <c r="AM170" i="3" s="1"/>
  <c r="AL169" i="3"/>
  <c r="AM169" i="3" s="1"/>
  <c r="AL168" i="3"/>
  <c r="AM168" i="3" s="1"/>
  <c r="AL167" i="3"/>
  <c r="AM167" i="3" s="1"/>
  <c r="AL166" i="3"/>
  <c r="AM166" i="3" s="1"/>
  <c r="AL165" i="3"/>
  <c r="AM165" i="3" s="1"/>
  <c r="AL164" i="3"/>
  <c r="AM164" i="3" s="1"/>
  <c r="AL163" i="3"/>
  <c r="AM163" i="3" s="1"/>
  <c r="AI162" i="3"/>
  <c r="AL162" i="3" s="1"/>
  <c r="AM162" i="3" s="1"/>
  <c r="AO162" i="3" s="1"/>
  <c r="AH161" i="3"/>
  <c r="AL161" i="3" s="1"/>
  <c r="AM161" i="3" s="1"/>
  <c r="AO161" i="3" s="1"/>
  <c r="AL160" i="3"/>
  <c r="AM160" i="3" s="1"/>
  <c r="AL159" i="3"/>
  <c r="AM159" i="3" s="1"/>
  <c r="AL158" i="3"/>
  <c r="AM158" i="3" s="1"/>
  <c r="AL157" i="3"/>
  <c r="AM157" i="3" s="1"/>
  <c r="AL190" i="3"/>
  <c r="AM190" i="3" s="1"/>
  <c r="AO190" i="3" s="1"/>
  <c r="AL191" i="3"/>
  <c r="AM191" i="3" s="1"/>
  <c r="AO191" i="3" s="1"/>
  <c r="AL156" i="3"/>
  <c r="AM156" i="3" s="1"/>
  <c r="AG155" i="3"/>
  <c r="AL155" i="3" s="1"/>
  <c r="AM155" i="3" s="1"/>
  <c r="AO155" i="3" s="1"/>
  <c r="AL154" i="3"/>
  <c r="AM154" i="3" s="1"/>
  <c r="AL153" i="3"/>
  <c r="AM153" i="3" s="1"/>
  <c r="AH181" i="3"/>
  <c r="AL181" i="3" s="1"/>
  <c r="AM181" i="3" s="1"/>
  <c r="AO181" i="3" s="1"/>
  <c r="AL152" i="3"/>
  <c r="AM152" i="3" s="1"/>
  <c r="AH151" i="3"/>
  <c r="AL151" i="3" s="1"/>
  <c r="AM151" i="3" s="1"/>
  <c r="AO151" i="3" s="1"/>
  <c r="AL150" i="3"/>
  <c r="AM150" i="3" s="1"/>
  <c r="AL149" i="3"/>
  <c r="AM149" i="3" s="1"/>
  <c r="AL148" i="3"/>
  <c r="AM148" i="3" s="1"/>
  <c r="AH147" i="3"/>
  <c r="AL147" i="3" s="1"/>
  <c r="AM147" i="3" s="1"/>
  <c r="AO147" i="3" s="1"/>
  <c r="AG12" i="3"/>
  <c r="AL12" i="3" s="1"/>
  <c r="AM12" i="3" s="1"/>
  <c r="AO12" i="3" s="1"/>
  <c r="AL179" i="3"/>
  <c r="AM179" i="3" s="1"/>
  <c r="AO179" i="3" s="1"/>
  <c r="AL146" i="3"/>
  <c r="AM146" i="3" s="1"/>
  <c r="AL145" i="3"/>
  <c r="AM145" i="3" s="1"/>
  <c r="AL144" i="3"/>
  <c r="AM144" i="3" s="1"/>
  <c r="AH143" i="3"/>
  <c r="AL143" i="3" s="1"/>
  <c r="AM143" i="3" s="1"/>
  <c r="AO143" i="3" s="1"/>
  <c r="AL185" i="3"/>
  <c r="AM185" i="3" s="1"/>
  <c r="AO185" i="3" s="1"/>
  <c r="AL142" i="3"/>
  <c r="AM142" i="3" s="1"/>
  <c r="AL195" i="3"/>
  <c r="AM195" i="3" s="1"/>
  <c r="AO195" i="3" s="1"/>
  <c r="AL184" i="3"/>
  <c r="AM184" i="3" s="1"/>
  <c r="AO184" i="3" s="1"/>
  <c r="AL141" i="3"/>
  <c r="AM141" i="3" s="1"/>
  <c r="AL140" i="3"/>
  <c r="AM140" i="3" s="1"/>
  <c r="AH139" i="3"/>
  <c r="AL139" i="3" s="1"/>
  <c r="AM139" i="3" s="1"/>
  <c r="AO139" i="3" s="1"/>
  <c r="AL138" i="3"/>
  <c r="AM138" i="3" s="1"/>
  <c r="AL137" i="3"/>
  <c r="AM137" i="3" s="1"/>
  <c r="AL136" i="3"/>
  <c r="AM136" i="3" s="1"/>
  <c r="AL135" i="3"/>
  <c r="AM135" i="3" s="1"/>
  <c r="AL21" i="3"/>
  <c r="AM21" i="3" s="1"/>
  <c r="AO21" i="3" s="1"/>
  <c r="AG134" i="3"/>
  <c r="AL134" i="3" s="1"/>
  <c r="AM134" i="3" s="1"/>
  <c r="AO134" i="3" s="1"/>
  <c r="AL133" i="3"/>
  <c r="AM133" i="3" s="1"/>
  <c r="AG132" i="3"/>
  <c r="AL132" i="3" s="1"/>
  <c r="AM132" i="3" s="1"/>
  <c r="AO132" i="3" s="1"/>
  <c r="AH189" i="3"/>
  <c r="AG189" i="3"/>
  <c r="AL131" i="3"/>
  <c r="AM131" i="3" s="1"/>
  <c r="AH130" i="3"/>
  <c r="AL130" i="3" s="1"/>
  <c r="AM130" i="3" s="1"/>
  <c r="AO130" i="3" s="1"/>
  <c r="AL129" i="3"/>
  <c r="AM129" i="3" s="1"/>
  <c r="AL128" i="3"/>
  <c r="AM128" i="3" s="1"/>
  <c r="AG127" i="3"/>
  <c r="AL127" i="3" s="1"/>
  <c r="AM127" i="3" s="1"/>
  <c r="AL126" i="3"/>
  <c r="AM126" i="3" s="1"/>
  <c r="AN126" i="3" s="1"/>
  <c r="AO126" i="3" s="1"/>
  <c r="AL125" i="3"/>
  <c r="AM125" i="3" s="1"/>
  <c r="AH124" i="3"/>
  <c r="AL124" i="3" s="1"/>
  <c r="AM124" i="3" s="1"/>
  <c r="AN124" i="3" s="1"/>
  <c r="AO124" i="3" s="1"/>
  <c r="AL24" i="3"/>
  <c r="AM24" i="3" s="1"/>
  <c r="AO24" i="3" s="1"/>
  <c r="AL182" i="3"/>
  <c r="AL123" i="3"/>
  <c r="AM123" i="3" s="1"/>
  <c r="AL122" i="3"/>
  <c r="AM122" i="3" s="1"/>
  <c r="AL121" i="3"/>
  <c r="AM121" i="3" s="1"/>
  <c r="AI120" i="3"/>
  <c r="AL120" i="3" s="1"/>
  <c r="AM120" i="3" s="1"/>
  <c r="AO120" i="3" s="1"/>
  <c r="AL23" i="3"/>
  <c r="AM23" i="3" s="1"/>
  <c r="AO23" i="3" s="1"/>
  <c r="AL119" i="3"/>
  <c r="AM119" i="3" s="1"/>
  <c r="AM118" i="3"/>
  <c r="AN118" i="3" s="1"/>
  <c r="AL118" i="3"/>
  <c r="AL117" i="3"/>
  <c r="AM117" i="3" s="1"/>
  <c r="AN117" i="3" s="1"/>
  <c r="AO117" i="3" s="1"/>
  <c r="AL116" i="3"/>
  <c r="AM116" i="3" s="1"/>
  <c r="AL115" i="3"/>
  <c r="AM115" i="3" s="1"/>
  <c r="AN115" i="3" s="1"/>
  <c r="AL114" i="3"/>
  <c r="AM114" i="3" s="1"/>
  <c r="AL113" i="3"/>
  <c r="AM113" i="3" s="1"/>
  <c r="AL112" i="3"/>
  <c r="AM112" i="3" s="1"/>
  <c r="AN112" i="3" s="1"/>
  <c r="AL111" i="3"/>
  <c r="AM111" i="3" s="1"/>
  <c r="AL110" i="3"/>
  <c r="AM110" i="3" s="1"/>
  <c r="AL109" i="3"/>
  <c r="AM109" i="3" s="1"/>
  <c r="AL108" i="3"/>
  <c r="AM108" i="3" s="1"/>
  <c r="AL107" i="3"/>
  <c r="AM107" i="3" s="1"/>
  <c r="AL106" i="3"/>
  <c r="AM106" i="3" s="1"/>
  <c r="AL105" i="3"/>
  <c r="AM105" i="3" s="1"/>
  <c r="AL104" i="3"/>
  <c r="AM104" i="3" s="1"/>
  <c r="AL103" i="3"/>
  <c r="AM103" i="3" s="1"/>
  <c r="AN103" i="3" s="1"/>
  <c r="AL102" i="3"/>
  <c r="AM102" i="3" s="1"/>
  <c r="AL101" i="3"/>
  <c r="AM101" i="3" s="1"/>
  <c r="AL100" i="3"/>
  <c r="AM100" i="3" s="1"/>
  <c r="AN100" i="3" s="1"/>
  <c r="AL99" i="3"/>
  <c r="AM99" i="3" s="1"/>
  <c r="AL98" i="3"/>
  <c r="AM98" i="3" s="1"/>
  <c r="AL97" i="3"/>
  <c r="AM97" i="3" s="1"/>
  <c r="AL96" i="3"/>
  <c r="AM96" i="3" s="1"/>
  <c r="AN96" i="3" s="1"/>
  <c r="AL95" i="3"/>
  <c r="AM95" i="3" s="1"/>
  <c r="AL188" i="3"/>
  <c r="AM188" i="3" s="1"/>
  <c r="AO188" i="3" s="1"/>
  <c r="AL26" i="3"/>
  <c r="AM26" i="3" s="1"/>
  <c r="AO26" i="3" s="1"/>
  <c r="AL94" i="3"/>
  <c r="AM94" i="3" s="1"/>
  <c r="AO94" i="3" s="1"/>
  <c r="AL93" i="3"/>
  <c r="AM93" i="3" s="1"/>
  <c r="AL92" i="3"/>
  <c r="AM92" i="3" s="1"/>
  <c r="AG91" i="3"/>
  <c r="AL91" i="3" s="1"/>
  <c r="AM91" i="3" s="1"/>
  <c r="AO91" i="3" s="1"/>
  <c r="AL17" i="3"/>
  <c r="AM17" i="3" s="1"/>
  <c r="AO17" i="3" s="1"/>
  <c r="AI90" i="3"/>
  <c r="AL90" i="3" s="1"/>
  <c r="AM90" i="3" s="1"/>
  <c r="AL89" i="3"/>
  <c r="AM89" i="3" s="1"/>
  <c r="AH88" i="3"/>
  <c r="AL88" i="3" s="1"/>
  <c r="AM88" i="3" s="1"/>
  <c r="AO88" i="3" s="1"/>
  <c r="AH87" i="3"/>
  <c r="AL87" i="3" s="1"/>
  <c r="AM87" i="3" s="1"/>
  <c r="AO87" i="3" s="1"/>
  <c r="AG178" i="3"/>
  <c r="AL178" i="3" s="1"/>
  <c r="AM178" i="3" s="1"/>
  <c r="AO178" i="3" s="1"/>
  <c r="AI187" i="3"/>
  <c r="AH187" i="3" s="1"/>
  <c r="AL187" i="3" s="1"/>
  <c r="AM187" i="3" s="1"/>
  <c r="AO187" i="3" s="1"/>
  <c r="AH13" i="3"/>
  <c r="AL13" i="3" s="1"/>
  <c r="AM13" i="3" s="1"/>
  <c r="AO13" i="3" s="1"/>
  <c r="AH86" i="3"/>
  <c r="AL86" i="3" s="1"/>
  <c r="AM86" i="3" s="1"/>
  <c r="AO86" i="3" s="1"/>
  <c r="AL85" i="3"/>
  <c r="AM85" i="3" s="1"/>
  <c r="AL84" i="3"/>
  <c r="AM84" i="3" s="1"/>
  <c r="AN84" i="3" s="1"/>
  <c r="AO84" i="3" s="1"/>
  <c r="AL83" i="3"/>
  <c r="AM83" i="3" s="1"/>
  <c r="AN83" i="3" s="1"/>
  <c r="AO83" i="3" s="1"/>
  <c r="AH82" i="3"/>
  <c r="AL82" i="3" s="1"/>
  <c r="AM82" i="3" s="1"/>
  <c r="AO82" i="3" s="1"/>
  <c r="AL81" i="3"/>
  <c r="AM81" i="3" s="1"/>
  <c r="AN81" i="3" s="1"/>
  <c r="AO81" i="3" s="1"/>
  <c r="AH80" i="3"/>
  <c r="AL80" i="3" s="1"/>
  <c r="AM80" i="3" s="1"/>
  <c r="AO80" i="3" s="1"/>
  <c r="AL79" i="3"/>
  <c r="AM79" i="3" s="1"/>
  <c r="AL78" i="3"/>
  <c r="AM78" i="3" s="1"/>
  <c r="AN78" i="3" s="1"/>
  <c r="AO78" i="3" s="1"/>
  <c r="AL25" i="3"/>
  <c r="AM25" i="3" s="1"/>
  <c r="AO25" i="3" s="1"/>
  <c r="AL77" i="3"/>
  <c r="AM77" i="3" s="1"/>
  <c r="AM20" i="3"/>
  <c r="AO20" i="3" s="1"/>
  <c r="AL20" i="3"/>
  <c r="AK76" i="3"/>
  <c r="AL76" i="3" s="1"/>
  <c r="AM76" i="3" s="1"/>
  <c r="AO76" i="3" s="1"/>
  <c r="AG8" i="3"/>
  <c r="AL8" i="3" s="1"/>
  <c r="AL75" i="3"/>
  <c r="AM75" i="3" s="1"/>
  <c r="AN75" i="3" s="1"/>
  <c r="AL180" i="3"/>
  <c r="AM180" i="3" s="1"/>
  <c r="AO180" i="3" s="1"/>
  <c r="AL74" i="3"/>
  <c r="AM74" i="3" s="1"/>
  <c r="AL73" i="3"/>
  <c r="AM73" i="3" s="1"/>
  <c r="AL72" i="3"/>
  <c r="AM72" i="3" s="1"/>
  <c r="AN72" i="3" s="1"/>
  <c r="AL71" i="3"/>
  <c r="AM71" i="3" s="1"/>
  <c r="AL70" i="3"/>
  <c r="AM70" i="3" s="1"/>
  <c r="AH69" i="3"/>
  <c r="AL69" i="3" s="1"/>
  <c r="AM69" i="3" s="1"/>
  <c r="AO69" i="3" s="1"/>
  <c r="AL68" i="3"/>
  <c r="AM68" i="3" s="1"/>
  <c r="AL67" i="3"/>
  <c r="AM67" i="3" s="1"/>
  <c r="AL19" i="3"/>
  <c r="AM19" i="3" s="1"/>
  <c r="AO19" i="3" s="1"/>
  <c r="AL66" i="3"/>
  <c r="AM66" i="3" s="1"/>
  <c r="AN66" i="3" s="1"/>
  <c r="AO66" i="3" s="1"/>
  <c r="AH193" i="3"/>
  <c r="AL193" i="3" s="1"/>
  <c r="AM193" i="3" s="1"/>
  <c r="AO193" i="3" s="1"/>
  <c r="AL65" i="3"/>
  <c r="AM65" i="3" s="1"/>
  <c r="AN65" i="3" s="1"/>
  <c r="AO65" i="3" s="1"/>
  <c r="AL64" i="3"/>
  <c r="AM64" i="3" s="1"/>
  <c r="AN64" i="3" s="1"/>
  <c r="AO64" i="3" s="1"/>
  <c r="AL63" i="3"/>
  <c r="AM63" i="3" s="1"/>
  <c r="AL192" i="3"/>
  <c r="AM192" i="3" s="1"/>
  <c r="AO192" i="3" s="1"/>
  <c r="AL62" i="3"/>
  <c r="AM62" i="3" s="1"/>
  <c r="AL183" i="3"/>
  <c r="AM183" i="3" s="1"/>
  <c r="AO183" i="3" s="1"/>
  <c r="AG61" i="3"/>
  <c r="AL61" i="3" s="1"/>
  <c r="AM61" i="3" s="1"/>
  <c r="AO61" i="3" s="1"/>
  <c r="AL60" i="3"/>
  <c r="AM60" i="3" s="1"/>
  <c r="AN60" i="3" s="1"/>
  <c r="AO60" i="3" s="1"/>
  <c r="AH59" i="3"/>
  <c r="AL59" i="3" s="1"/>
  <c r="AM59" i="3" s="1"/>
  <c r="AO59" i="3" s="1"/>
  <c r="AL9" i="3"/>
  <c r="AM9" i="3" s="1"/>
  <c r="AO9" i="3" s="1"/>
  <c r="AL58" i="3"/>
  <c r="AM58" i="3" s="1"/>
  <c r="AL57" i="3"/>
  <c r="AM57" i="3" s="1"/>
  <c r="AH56" i="3"/>
  <c r="AL56" i="3" s="1"/>
  <c r="AM56" i="3" s="1"/>
  <c r="AO56" i="3" s="1"/>
  <c r="AM55" i="3"/>
  <c r="AN55" i="3" s="1"/>
  <c r="AL55" i="3"/>
  <c r="AL54" i="3"/>
  <c r="AM54" i="3" s="1"/>
  <c r="AL53" i="3"/>
  <c r="AM53" i="3" s="1"/>
  <c r="AL52" i="3"/>
  <c r="AM52" i="3" s="1"/>
  <c r="AN52" i="3" s="1"/>
  <c r="AL51" i="3"/>
  <c r="AM51" i="3" s="1"/>
  <c r="AG50" i="3"/>
  <c r="AL50" i="3" s="1"/>
  <c r="AM50" i="3" s="1"/>
  <c r="AO50" i="3" s="1"/>
  <c r="AH49" i="3"/>
  <c r="AL49" i="3" s="1"/>
  <c r="AM49" i="3" s="1"/>
  <c r="AO49" i="3" s="1"/>
  <c r="AL48" i="3"/>
  <c r="AM48" i="3" s="1"/>
  <c r="AL47" i="3"/>
  <c r="AM47" i="3" s="1"/>
  <c r="AL46" i="3"/>
  <c r="AM46" i="3" s="1"/>
  <c r="AL45" i="3"/>
  <c r="AM45" i="3" s="1"/>
  <c r="AL44" i="3"/>
  <c r="AM44" i="3" s="1"/>
  <c r="AL43" i="3"/>
  <c r="AM43" i="3" s="1"/>
  <c r="AL42" i="3"/>
  <c r="AM42" i="3" s="1"/>
  <c r="AL41" i="3"/>
  <c r="AM41" i="3" s="1"/>
  <c r="AL40" i="3"/>
  <c r="AM40" i="3" s="1"/>
  <c r="AL39" i="3"/>
  <c r="AM39" i="3" s="1"/>
  <c r="AL38" i="3"/>
  <c r="AM38" i="3" s="1"/>
  <c r="AH194" i="3"/>
  <c r="AG194" i="3"/>
  <c r="AG10" i="3"/>
  <c r="AL10" i="3" s="1"/>
  <c r="AM10" i="3" s="1"/>
  <c r="AO10" i="3" s="1"/>
  <c r="D10" i="3"/>
  <c r="AL37" i="3"/>
  <c r="AM37" i="3" s="1"/>
  <c r="AL18" i="3"/>
  <c r="AM18" i="3" s="1"/>
  <c r="AO18" i="3" s="1"/>
  <c r="AL36" i="3"/>
  <c r="AM36" i="3" s="1"/>
  <c r="AL35" i="3"/>
  <c r="AM35" i="3" s="1"/>
  <c r="AO35" i="3" s="1"/>
  <c r="AH34" i="3"/>
  <c r="AL34" i="3" s="1"/>
  <c r="AM34" i="3" s="1"/>
  <c r="AO34" i="3" s="1"/>
  <c r="AH33" i="3"/>
  <c r="AL33" i="3" s="1"/>
  <c r="AM33" i="3" s="1"/>
  <c r="AO33" i="3" s="1"/>
  <c r="AL32" i="3"/>
  <c r="AM32" i="3" s="1"/>
  <c r="AO32" i="3" s="1"/>
  <c r="AL31" i="3"/>
  <c r="AM31" i="3" s="1"/>
  <c r="AO31" i="3" s="1"/>
  <c r="AL30" i="3"/>
  <c r="AM30" i="3" s="1"/>
  <c r="AO30" i="3" s="1"/>
  <c r="AG11" i="3"/>
  <c r="AL11" i="3" s="1"/>
  <c r="AM11" i="3" s="1"/>
  <c r="AO11" i="3" s="1"/>
  <c r="AL29" i="3"/>
  <c r="AM29" i="3" s="1"/>
  <c r="AO29" i="3" s="1"/>
  <c r="AL28" i="3"/>
  <c r="AM28" i="3" s="1"/>
  <c r="AO28" i="3" s="1"/>
  <c r="AL27" i="3"/>
  <c r="AM27" i="3" s="1"/>
  <c r="AO27" i="3" s="1"/>
  <c r="AL22" i="3"/>
  <c r="AM22" i="3" s="1"/>
  <c r="AO22" i="3" s="1"/>
  <c r="AL131" i="2"/>
  <c r="AM131" i="2" s="1"/>
  <c r="AN131" i="2" s="1"/>
  <c r="AO131" i="2" s="1"/>
  <c r="AL195" i="2"/>
  <c r="AM195" i="2" s="1"/>
  <c r="AL194" i="2"/>
  <c r="AM194" i="2" s="1"/>
  <c r="AH193" i="2"/>
  <c r="AL193" i="2" s="1"/>
  <c r="AM193" i="2" s="1"/>
  <c r="AO193" i="2" s="1"/>
  <c r="AL192" i="2"/>
  <c r="AM192" i="2" s="1"/>
  <c r="AO192" i="2" s="1"/>
  <c r="AL191" i="2"/>
  <c r="AM191" i="2" s="1"/>
  <c r="AL190" i="2"/>
  <c r="AM190" i="2" s="1"/>
  <c r="AL189" i="2"/>
  <c r="AM189" i="2" s="1"/>
  <c r="AL188" i="2"/>
  <c r="AM188" i="2" s="1"/>
  <c r="AL187" i="2"/>
  <c r="AM187" i="2" s="1"/>
  <c r="AL186" i="2"/>
  <c r="AM186" i="2" s="1"/>
  <c r="AL185" i="2"/>
  <c r="AM185" i="2" s="1"/>
  <c r="AL184" i="2"/>
  <c r="AM184" i="2" s="1"/>
  <c r="AL183" i="2"/>
  <c r="AM183" i="2" s="1"/>
  <c r="AN183" i="2" s="1"/>
  <c r="AO183" i="2" s="1"/>
  <c r="AL182" i="2"/>
  <c r="AM182" i="2" s="1"/>
  <c r="AL181" i="2"/>
  <c r="AM181" i="2" s="1"/>
  <c r="AL180" i="2"/>
  <c r="AM180" i="2" s="1"/>
  <c r="AI179" i="2"/>
  <c r="AL179" i="2" s="1"/>
  <c r="AM179" i="2" s="1"/>
  <c r="AO179" i="2" s="1"/>
  <c r="AH178" i="2"/>
  <c r="AL178" i="2" s="1"/>
  <c r="AM178" i="2" s="1"/>
  <c r="AO178" i="2" s="1"/>
  <c r="AL177" i="2"/>
  <c r="AM177" i="2" s="1"/>
  <c r="AN177" i="2" s="1"/>
  <c r="AO177" i="2" s="1"/>
  <c r="AL176" i="2"/>
  <c r="AM176" i="2" s="1"/>
  <c r="AL174" i="2"/>
  <c r="AM174" i="2" s="1"/>
  <c r="AL173" i="2"/>
  <c r="AM173" i="2" s="1"/>
  <c r="AO173" i="2" s="1"/>
  <c r="AL172" i="2"/>
  <c r="AM172" i="2" s="1"/>
  <c r="AO172" i="2" s="1"/>
  <c r="AL171" i="2"/>
  <c r="AM171" i="2" s="1"/>
  <c r="AG170" i="2"/>
  <c r="AL170" i="2" s="1"/>
  <c r="AM170" i="2" s="1"/>
  <c r="AO170" i="2" s="1"/>
  <c r="AL169" i="2"/>
  <c r="AM169" i="2" s="1"/>
  <c r="AL168" i="2"/>
  <c r="AM168" i="2" s="1"/>
  <c r="AN168" i="2" s="1"/>
  <c r="AH167" i="2"/>
  <c r="AL167" i="2" s="1"/>
  <c r="AM167" i="2" s="1"/>
  <c r="AO167" i="2" s="1"/>
  <c r="AL166" i="2"/>
  <c r="AM166" i="2" s="1"/>
  <c r="AN166" i="2" s="1"/>
  <c r="AO166" i="2" s="1"/>
  <c r="AH165" i="2"/>
  <c r="AL165" i="2" s="1"/>
  <c r="AM165" i="2" s="1"/>
  <c r="AO165" i="2" s="1"/>
  <c r="AL164" i="2"/>
  <c r="AM164" i="2" s="1"/>
  <c r="AN164" i="2" s="1"/>
  <c r="AO164" i="2" s="1"/>
  <c r="AL163" i="2"/>
  <c r="AM163" i="2" s="1"/>
  <c r="AL162" i="2"/>
  <c r="AM162" i="2" s="1"/>
  <c r="AN162" i="2" s="1"/>
  <c r="AO162" i="2" s="1"/>
  <c r="AH161" i="2"/>
  <c r="AL161" i="2" s="1"/>
  <c r="AM161" i="2" s="1"/>
  <c r="AO161" i="2" s="1"/>
  <c r="AG160" i="2"/>
  <c r="AL160" i="2" s="1"/>
  <c r="AM160" i="2" s="1"/>
  <c r="AO160" i="2" s="1"/>
  <c r="AL159" i="2"/>
  <c r="AM159" i="2" s="1"/>
  <c r="AO159" i="2" s="1"/>
  <c r="AL158" i="2"/>
  <c r="AM158" i="2" s="1"/>
  <c r="AL157" i="2"/>
  <c r="AM157" i="2" s="1"/>
  <c r="AN157" i="2" s="1"/>
  <c r="AO157" i="2" s="1"/>
  <c r="AL156" i="2"/>
  <c r="AM156" i="2" s="1"/>
  <c r="AN156" i="2" s="1"/>
  <c r="AO156" i="2" s="1"/>
  <c r="AH155" i="2"/>
  <c r="AL155" i="2" s="1"/>
  <c r="AM155" i="2" s="1"/>
  <c r="AO155" i="2" s="1"/>
  <c r="AL154" i="2"/>
  <c r="AM154" i="2" s="1"/>
  <c r="AO154" i="2" s="1"/>
  <c r="AL153" i="2"/>
  <c r="AM153" i="2" s="1"/>
  <c r="AL152" i="2"/>
  <c r="AM152" i="2" s="1"/>
  <c r="AO152" i="2" s="1"/>
  <c r="AL151" i="2"/>
  <c r="AM151" i="2" s="1"/>
  <c r="AO151" i="2" s="1"/>
  <c r="AL150" i="2"/>
  <c r="AM150" i="2" s="1"/>
  <c r="AL149" i="2"/>
  <c r="AM149" i="2" s="1"/>
  <c r="AH148" i="2"/>
  <c r="AL148" i="2" s="1"/>
  <c r="AM148" i="2" s="1"/>
  <c r="AO148" i="2" s="1"/>
  <c r="AL147" i="2"/>
  <c r="AM147" i="2" s="1"/>
  <c r="AL146" i="2"/>
  <c r="AM146" i="2" s="1"/>
  <c r="AL145" i="2"/>
  <c r="AM145" i="2" s="1"/>
  <c r="AL144" i="2"/>
  <c r="AM144" i="2" s="1"/>
  <c r="AL143" i="2"/>
  <c r="AO143" i="2" s="1"/>
  <c r="AG142" i="2"/>
  <c r="AL142" i="2" s="1"/>
  <c r="AM142" i="2" s="1"/>
  <c r="AO142" i="2" s="1"/>
  <c r="AL141" i="2"/>
  <c r="AM141" i="2" s="1"/>
  <c r="AN141" i="2" s="1"/>
  <c r="AO141" i="2" s="1"/>
  <c r="AG140" i="2"/>
  <c r="AL140" i="2" s="1"/>
  <c r="AM140" i="2" s="1"/>
  <c r="AO140" i="2" s="1"/>
  <c r="AH138" i="2"/>
  <c r="AG138" i="2"/>
  <c r="AL137" i="2"/>
  <c r="AM137" i="2" s="1"/>
  <c r="AH136" i="2"/>
  <c r="AL136" i="2" s="1"/>
  <c r="AM136" i="2" s="1"/>
  <c r="AO136" i="2" s="1"/>
  <c r="AL135" i="2"/>
  <c r="AM135" i="2" s="1"/>
  <c r="AL134" i="2"/>
  <c r="AM134" i="2" s="1"/>
  <c r="AG133" i="2"/>
  <c r="AL133" i="2" s="1"/>
  <c r="AM133" i="2" s="1"/>
  <c r="AN133" i="2" s="1"/>
  <c r="AO133" i="2" s="1"/>
  <c r="AL132" i="2"/>
  <c r="AM132" i="2" s="1"/>
  <c r="AH130" i="2"/>
  <c r="AL130" i="2" s="1"/>
  <c r="AL129" i="2"/>
  <c r="AM129" i="2" s="1"/>
  <c r="AO129" i="2" s="1"/>
  <c r="AL128" i="2"/>
  <c r="AL127" i="2"/>
  <c r="AM127" i="2" s="1"/>
  <c r="AL126" i="2"/>
  <c r="AM126" i="2" s="1"/>
  <c r="AL125" i="2"/>
  <c r="AM125" i="2" s="1"/>
  <c r="AN125" i="2" s="1"/>
  <c r="AI124" i="2"/>
  <c r="AL124" i="2" s="1"/>
  <c r="AM124" i="2" s="1"/>
  <c r="AO124" i="2" s="1"/>
  <c r="AL123" i="2"/>
  <c r="AM123" i="2" s="1"/>
  <c r="AO123" i="2" s="1"/>
  <c r="AL122" i="2"/>
  <c r="AM122" i="2" s="1"/>
  <c r="AL121" i="2"/>
  <c r="AM121" i="2" s="1"/>
  <c r="AN121" i="2" s="1"/>
  <c r="AO121" i="2" s="1"/>
  <c r="AL120" i="2"/>
  <c r="AM120" i="2" s="1"/>
  <c r="AL119" i="2"/>
  <c r="AM119" i="2" s="1"/>
  <c r="AL118" i="2"/>
  <c r="AM118" i="2" s="1"/>
  <c r="AL117" i="2"/>
  <c r="AM117" i="2" s="1"/>
  <c r="AL116" i="2"/>
  <c r="AM116" i="2" s="1"/>
  <c r="AL115" i="2"/>
  <c r="AM115" i="2" s="1"/>
  <c r="AL114" i="2"/>
  <c r="AM114" i="2" s="1"/>
  <c r="AN114" i="2" s="1"/>
  <c r="AL113" i="2"/>
  <c r="AM113" i="2" s="1"/>
  <c r="AL112" i="2"/>
  <c r="AM112" i="2" s="1"/>
  <c r="AL111" i="2"/>
  <c r="AM111" i="2" s="1"/>
  <c r="AL110" i="2"/>
  <c r="AM110" i="2" s="1"/>
  <c r="AL109" i="2"/>
  <c r="AM109" i="2" s="1"/>
  <c r="AN109" i="2" s="1"/>
  <c r="AO109" i="2" s="1"/>
  <c r="AL108" i="2"/>
  <c r="AM108" i="2" s="1"/>
  <c r="AL107" i="2"/>
  <c r="AM107" i="2" s="1"/>
  <c r="AL106" i="2"/>
  <c r="AM106" i="2" s="1"/>
  <c r="AL105" i="2"/>
  <c r="AM105" i="2" s="1"/>
  <c r="AL104" i="2"/>
  <c r="AM104" i="2" s="1"/>
  <c r="AL103" i="2"/>
  <c r="AM103" i="2" s="1"/>
  <c r="AL102" i="2"/>
  <c r="AM102" i="2" s="1"/>
  <c r="AN102" i="2" s="1"/>
  <c r="AL101" i="2"/>
  <c r="AM101" i="2" s="1"/>
  <c r="AL100" i="2"/>
  <c r="AM100" i="2" s="1"/>
  <c r="AL99" i="2"/>
  <c r="AM99" i="2" s="1"/>
  <c r="AL98" i="2"/>
  <c r="AM98" i="2" s="1"/>
  <c r="AL97" i="2"/>
  <c r="AM97" i="2" s="1"/>
  <c r="AO97" i="2" s="1"/>
  <c r="AL96" i="2"/>
  <c r="AM96" i="2" s="1"/>
  <c r="AO96" i="2" s="1"/>
  <c r="AL95" i="2"/>
  <c r="AM95" i="2" s="1"/>
  <c r="AO95" i="2" s="1"/>
  <c r="AL94" i="2"/>
  <c r="AM94" i="2" s="1"/>
  <c r="AL93" i="2"/>
  <c r="AM93" i="2" s="1"/>
  <c r="AN93" i="2" s="1"/>
  <c r="AO93" i="2" s="1"/>
  <c r="AG92" i="2"/>
  <c r="AL92" i="2" s="1"/>
  <c r="AM92" i="2" s="1"/>
  <c r="AO92" i="2" s="1"/>
  <c r="AL91" i="2"/>
  <c r="AM91" i="2" s="1"/>
  <c r="AO91" i="2" s="1"/>
  <c r="AI90" i="2"/>
  <c r="AL90" i="2" s="1"/>
  <c r="AM90" i="2" s="1"/>
  <c r="AN90" i="2" s="1"/>
  <c r="AO90" i="2" s="1"/>
  <c r="AL89" i="2"/>
  <c r="AM89" i="2" s="1"/>
  <c r="AH88" i="2"/>
  <c r="AL88" i="2" s="1"/>
  <c r="AM88" i="2" s="1"/>
  <c r="AO88" i="2" s="1"/>
  <c r="AH87" i="2"/>
  <c r="AL87" i="2" s="1"/>
  <c r="AM87" i="2" s="1"/>
  <c r="AO87" i="2" s="1"/>
  <c r="AG86" i="2"/>
  <c r="AL86" i="2" s="1"/>
  <c r="AM86" i="2" s="1"/>
  <c r="AO86" i="2" s="1"/>
  <c r="AI84" i="2"/>
  <c r="AH84" i="2" s="1"/>
  <c r="AL84" i="2" s="1"/>
  <c r="AM84" i="2" s="1"/>
  <c r="AO84" i="2" s="1"/>
  <c r="AL83" i="2"/>
  <c r="AH82" i="2"/>
  <c r="AL82" i="2" s="1"/>
  <c r="AM82" i="2" s="1"/>
  <c r="AO82" i="2" s="1"/>
  <c r="AL81" i="2"/>
  <c r="AM81" i="2" s="1"/>
  <c r="AL80" i="2"/>
  <c r="AM80" i="2" s="1"/>
  <c r="AL79" i="2"/>
  <c r="AM79" i="2" s="1"/>
  <c r="AH78" i="2"/>
  <c r="AL78" i="2" s="1"/>
  <c r="AM78" i="2" s="1"/>
  <c r="AO78" i="2" s="1"/>
  <c r="AL77" i="2"/>
  <c r="AM77" i="2" s="1"/>
  <c r="AN77" i="2" s="1"/>
  <c r="AO77" i="2" s="1"/>
  <c r="AH76" i="2"/>
  <c r="AL76" i="2" s="1"/>
  <c r="AM76" i="2" s="1"/>
  <c r="AO76" i="2" s="1"/>
  <c r="AL75" i="2"/>
  <c r="AM75" i="2" s="1"/>
  <c r="AL74" i="2"/>
  <c r="AM74" i="2" s="1"/>
  <c r="AL73" i="2"/>
  <c r="AM73" i="2" s="1"/>
  <c r="AO73" i="2" s="1"/>
  <c r="AL72" i="2"/>
  <c r="AM72" i="2" s="1"/>
  <c r="AL71" i="2"/>
  <c r="AM71" i="2" s="1"/>
  <c r="AO71" i="2" s="1"/>
  <c r="AK70" i="2"/>
  <c r="AL70" i="2" s="1"/>
  <c r="AM70" i="2" s="1"/>
  <c r="AO70" i="2" s="1"/>
  <c r="AG69" i="2"/>
  <c r="AL69" i="2" s="1"/>
  <c r="AM69" i="2" s="1"/>
  <c r="AO69" i="2" s="1"/>
  <c r="AL68" i="2"/>
  <c r="AM68" i="2" s="1"/>
  <c r="AN68" i="2" s="1"/>
  <c r="AO68" i="2" s="1"/>
  <c r="AL67" i="2"/>
  <c r="AM67" i="2" s="1"/>
  <c r="AO67" i="2" s="1"/>
  <c r="AL66" i="2"/>
  <c r="AM66" i="2" s="1"/>
  <c r="AN66" i="2" s="1"/>
  <c r="AO66" i="2" s="1"/>
  <c r="AL65" i="2"/>
  <c r="AM65" i="2" s="1"/>
  <c r="AN65" i="2" s="1"/>
  <c r="AO65" i="2" s="1"/>
  <c r="AL64" i="2"/>
  <c r="AM64" i="2" s="1"/>
  <c r="AL63" i="2"/>
  <c r="AM63" i="2" s="1"/>
  <c r="AL62" i="2"/>
  <c r="AM62" i="2" s="1"/>
  <c r="AH61" i="2"/>
  <c r="AL61" i="2" s="1"/>
  <c r="AM61" i="2" s="1"/>
  <c r="AO61" i="2" s="1"/>
  <c r="AL60" i="2"/>
  <c r="AM60" i="2" s="1"/>
  <c r="AL59" i="2"/>
  <c r="AM59" i="2" s="1"/>
  <c r="AL58" i="2"/>
  <c r="AM58" i="2" s="1"/>
  <c r="AO58" i="2" s="1"/>
  <c r="AL57" i="2"/>
  <c r="AM57" i="2" s="1"/>
  <c r="AN57" i="2" s="1"/>
  <c r="AH56" i="2"/>
  <c r="AL56" i="2" s="1"/>
  <c r="AM56" i="2" s="1"/>
  <c r="AO56" i="2" s="1"/>
  <c r="AL55" i="2"/>
  <c r="AM55" i="2" s="1"/>
  <c r="AL54" i="2"/>
  <c r="AM54" i="2" s="1"/>
  <c r="AN54" i="2" s="1"/>
  <c r="AO54" i="2" s="1"/>
  <c r="AL53" i="2"/>
  <c r="AM53" i="2" s="1"/>
  <c r="AL52" i="2"/>
  <c r="AM52" i="2" s="1"/>
  <c r="AO52" i="2" s="1"/>
  <c r="AL51" i="2"/>
  <c r="AM51" i="2" s="1"/>
  <c r="AL50" i="2"/>
  <c r="AM50" i="2" s="1"/>
  <c r="AO50" i="2" s="1"/>
  <c r="AG49" i="2"/>
  <c r="AL49" i="2" s="1"/>
  <c r="AM49" i="2" s="1"/>
  <c r="AO49" i="2" s="1"/>
  <c r="AL48" i="2"/>
  <c r="AM48" i="2" s="1"/>
  <c r="AN48" i="2" s="1"/>
  <c r="AH47" i="2"/>
  <c r="AL47" i="2" s="1"/>
  <c r="AM47" i="2" s="1"/>
  <c r="AO47" i="2" s="1"/>
  <c r="AL46" i="2"/>
  <c r="AL45" i="2"/>
  <c r="AM45" i="2" s="1"/>
  <c r="AL44" i="2"/>
  <c r="AM44" i="2" s="1"/>
  <c r="AH43" i="2"/>
  <c r="AL43" i="2" s="1"/>
  <c r="AM43" i="2" s="1"/>
  <c r="AO43" i="2" s="1"/>
  <c r="AL42" i="2"/>
  <c r="AM42" i="2" s="1"/>
  <c r="AL41" i="2"/>
  <c r="AM41" i="2" s="1"/>
  <c r="AL40" i="2"/>
  <c r="AM40" i="2" s="1"/>
  <c r="AL39" i="2"/>
  <c r="AM39" i="2" s="1"/>
  <c r="AL38" i="2"/>
  <c r="AM38" i="2" s="1"/>
  <c r="AG37" i="2"/>
  <c r="AL37" i="2" s="1"/>
  <c r="AM37" i="2" s="1"/>
  <c r="AO37" i="2" s="1"/>
  <c r="AH36" i="2"/>
  <c r="AL36" i="2" s="1"/>
  <c r="AM36" i="2" s="1"/>
  <c r="AO36" i="2" s="1"/>
  <c r="AL35" i="2"/>
  <c r="AM35" i="2" s="1"/>
  <c r="AN35" i="2" s="1"/>
  <c r="AO35" i="2" s="1"/>
  <c r="AL34" i="2"/>
  <c r="AM34" i="2" s="1"/>
  <c r="AL33" i="2"/>
  <c r="AM33" i="2" s="1"/>
  <c r="AN33" i="2" s="1"/>
  <c r="AL32" i="2"/>
  <c r="AM32" i="2" s="1"/>
  <c r="AL31" i="2"/>
  <c r="AM31" i="2" s="1"/>
  <c r="AL30" i="2"/>
  <c r="AM30" i="2" s="1"/>
  <c r="AN30" i="2" s="1"/>
  <c r="AL29" i="2"/>
  <c r="AM29" i="2" s="1"/>
  <c r="AL28" i="2"/>
  <c r="AM28" i="2" s="1"/>
  <c r="AL27" i="2"/>
  <c r="AM27" i="2" s="1"/>
  <c r="AN27" i="2" s="1"/>
  <c r="AO27" i="2" s="1"/>
  <c r="AL26" i="2"/>
  <c r="AM26" i="2" s="1"/>
  <c r="AL25" i="2"/>
  <c r="AM25" i="2" s="1"/>
  <c r="AG23" i="2"/>
  <c r="AH23" i="2"/>
  <c r="AG22" i="2"/>
  <c r="AL22" i="2" s="1"/>
  <c r="AM22" i="2" s="1"/>
  <c r="AO22" i="2" s="1"/>
  <c r="D22" i="2"/>
  <c r="AL21" i="2"/>
  <c r="AM21" i="2" s="1"/>
  <c r="AL20" i="2"/>
  <c r="AM20" i="2" s="1"/>
  <c r="AO20" i="2" s="1"/>
  <c r="AL19" i="2"/>
  <c r="AM19" i="2" s="1"/>
  <c r="AL18" i="2"/>
  <c r="AM18" i="2" s="1"/>
  <c r="AO18" i="2" s="1"/>
  <c r="AH17" i="2"/>
  <c r="AL17" i="2" s="1"/>
  <c r="AM17" i="2" s="1"/>
  <c r="AO17" i="2" s="1"/>
  <c r="AH16" i="2"/>
  <c r="AL16" i="2" s="1"/>
  <c r="AM16" i="2" s="1"/>
  <c r="AO16" i="2" s="1"/>
  <c r="AL15" i="2"/>
  <c r="AM15" i="2" s="1"/>
  <c r="AO15" i="2" s="1"/>
  <c r="AL14" i="2"/>
  <c r="AM14" i="2" s="1"/>
  <c r="AO14" i="2" s="1"/>
  <c r="AL13" i="2"/>
  <c r="AM13" i="2" s="1"/>
  <c r="AO13" i="2" s="1"/>
  <c r="AG12" i="2"/>
  <c r="AL12" i="2" s="1"/>
  <c r="AM12" i="2" s="1"/>
  <c r="AO12" i="2" s="1"/>
  <c r="AL11" i="2"/>
  <c r="AM11" i="2" s="1"/>
  <c r="AO11" i="2" s="1"/>
  <c r="AL10" i="2"/>
  <c r="AM10" i="2" s="1"/>
  <c r="AO10" i="2" s="1"/>
  <c r="AL9" i="2"/>
  <c r="AM9" i="2" s="1"/>
  <c r="AO9" i="2" s="1"/>
  <c r="AL8" i="2"/>
  <c r="AM8" i="2" s="1"/>
  <c r="AO8" i="2" s="1"/>
  <c r="AM195" i="1"/>
  <c r="AM194" i="1"/>
  <c r="AM185" i="1"/>
  <c r="AM186" i="1"/>
  <c r="AM187" i="1"/>
  <c r="AM188" i="1"/>
  <c r="AM189" i="1"/>
  <c r="AM190" i="1"/>
  <c r="AM191" i="1"/>
  <c r="AM181" i="1"/>
  <c r="AM182" i="1"/>
  <c r="AM183" i="1"/>
  <c r="AM184" i="1"/>
  <c r="AM180" i="1"/>
  <c r="AM177" i="1"/>
  <c r="AM176" i="1"/>
  <c r="AM175" i="1"/>
  <c r="AM174" i="1"/>
  <c r="AM171" i="1"/>
  <c r="AM169" i="1"/>
  <c r="AM168" i="1"/>
  <c r="AM166" i="1"/>
  <c r="AM164" i="1"/>
  <c r="AM163" i="1"/>
  <c r="AM162" i="1"/>
  <c r="AM157" i="1"/>
  <c r="AM158" i="1"/>
  <c r="AM156" i="1"/>
  <c r="AM153" i="1"/>
  <c r="AM150" i="1"/>
  <c r="AM149" i="1"/>
  <c r="AM145" i="1"/>
  <c r="AM146" i="1"/>
  <c r="AM147" i="1"/>
  <c r="AM144" i="1"/>
  <c r="AM141" i="1"/>
  <c r="AM137" i="1"/>
  <c r="AM131" i="1"/>
  <c r="AM132" i="1"/>
  <c r="AM134" i="1"/>
  <c r="AM135" i="1"/>
  <c r="AM126" i="1"/>
  <c r="AM127" i="1"/>
  <c r="AM125" i="1"/>
  <c r="AM120" i="1"/>
  <c r="AM121" i="1"/>
  <c r="AM122" i="1"/>
  <c r="AM111" i="1"/>
  <c r="AM112" i="1"/>
  <c r="AM113" i="1"/>
  <c r="AM114" i="1"/>
  <c r="AM115" i="1"/>
  <c r="AM116" i="1"/>
  <c r="AM117" i="1"/>
  <c r="AM118" i="1"/>
  <c r="AM119" i="1"/>
  <c r="AM101" i="1"/>
  <c r="AM102" i="1"/>
  <c r="AM103" i="1"/>
  <c r="AM104" i="1"/>
  <c r="AM105" i="1"/>
  <c r="AM106" i="1"/>
  <c r="AM107" i="1"/>
  <c r="AM108" i="1"/>
  <c r="AM109" i="1"/>
  <c r="AM110" i="1"/>
  <c r="AM100" i="1"/>
  <c r="AM99" i="1"/>
  <c r="AM98" i="1"/>
  <c r="AM94" i="1"/>
  <c r="AM93" i="1"/>
  <c r="AM89" i="1"/>
  <c r="AM81" i="1"/>
  <c r="AM80" i="1"/>
  <c r="AM79" i="1"/>
  <c r="AM77" i="1"/>
  <c r="AM75" i="1"/>
  <c r="AM74" i="1"/>
  <c r="AM72" i="1"/>
  <c r="AM68" i="1"/>
  <c r="AM66" i="1"/>
  <c r="AM63" i="1"/>
  <c r="AM64" i="1"/>
  <c r="AM65" i="1"/>
  <c r="AM62" i="1"/>
  <c r="AM60" i="1"/>
  <c r="AM59" i="1"/>
  <c r="AM57" i="1"/>
  <c r="AM55" i="1"/>
  <c r="AM54" i="1"/>
  <c r="AM53" i="1"/>
  <c r="AM51" i="1"/>
  <c r="AM48" i="1"/>
  <c r="AM45" i="1"/>
  <c r="AM44" i="1"/>
  <c r="AM41" i="1"/>
  <c r="AM42" i="1"/>
  <c r="AM39" i="1"/>
  <c r="AM40" i="1"/>
  <c r="AM38" i="1"/>
  <c r="AM34" i="1"/>
  <c r="AM35" i="1"/>
  <c r="AM32" i="1"/>
  <c r="AM33" i="1"/>
  <c r="AM30" i="1"/>
  <c r="AM31" i="1"/>
  <c r="AM28" i="1"/>
  <c r="AM29" i="1"/>
  <c r="AM27" i="1"/>
  <c r="AM26" i="1"/>
  <c r="AM25" i="1"/>
  <c r="AM21" i="1"/>
  <c r="AM19" i="1"/>
  <c r="AN8" i="1"/>
  <c r="AE167" i="1"/>
  <c r="AG167" i="1" s="1"/>
  <c r="AK167" i="1" s="1"/>
  <c r="AL167" i="1" s="1"/>
  <c r="AN167" i="1" s="1"/>
  <c r="AD167" i="1"/>
  <c r="AC167" i="1"/>
  <c r="AE178" i="1"/>
  <c r="AG178" i="1" s="1"/>
  <c r="AK178" i="1" s="1"/>
  <c r="AL178" i="1" s="1"/>
  <c r="AN178" i="1" s="1"/>
  <c r="AD178" i="1"/>
  <c r="AC178" i="1"/>
  <c r="AF69" i="1"/>
  <c r="AK69" i="1" s="1"/>
  <c r="AL69" i="1" s="1"/>
  <c r="AN69" i="1" s="1"/>
  <c r="AE69" i="1"/>
  <c r="AD69" i="1"/>
  <c r="AC69" i="1"/>
  <c r="AK57" i="1"/>
  <c r="AL57" i="1" s="1"/>
  <c r="AK56" i="1"/>
  <c r="AL56" i="1" s="1"/>
  <c r="AN56" i="1" s="1"/>
  <c r="AG56" i="1"/>
  <c r="AE56" i="1"/>
  <c r="AD56" i="1"/>
  <c r="AC56" i="1"/>
  <c r="AE47" i="1"/>
  <c r="AG47" i="1" s="1"/>
  <c r="AK47" i="1" s="1"/>
  <c r="AL47" i="1" s="1"/>
  <c r="AN47" i="1" s="1"/>
  <c r="AD47" i="1"/>
  <c r="AC47" i="1"/>
  <c r="AG193" i="1"/>
  <c r="AK193" i="1" s="1"/>
  <c r="AL193" i="1" s="1"/>
  <c r="AN193" i="1" s="1"/>
  <c r="AE193" i="1"/>
  <c r="AD193" i="1"/>
  <c r="AC193" i="1"/>
  <c r="AF138" i="1"/>
  <c r="AE139" i="1"/>
  <c r="AD139" i="1"/>
  <c r="AC139" i="1"/>
  <c r="AE17" i="1"/>
  <c r="AG17" i="1" s="1"/>
  <c r="AK17" i="1" s="1"/>
  <c r="AL17" i="1" s="1"/>
  <c r="AN17" i="1" s="1"/>
  <c r="AD17" i="1"/>
  <c r="AC17" i="1"/>
  <c r="AE49" i="1"/>
  <c r="AF49" i="1" s="1"/>
  <c r="AK49" i="1" s="1"/>
  <c r="AL49" i="1" s="1"/>
  <c r="AD49" i="1"/>
  <c r="AC49" i="1"/>
  <c r="AE24" i="1"/>
  <c r="AF23" i="1" s="1"/>
  <c r="AD24" i="1"/>
  <c r="AC24" i="1"/>
  <c r="AE23" i="1"/>
  <c r="AG23" i="1" s="1"/>
  <c r="AD23" i="1"/>
  <c r="AC23" i="1"/>
  <c r="AE124" i="1"/>
  <c r="AH124" i="1" s="1"/>
  <c r="AK124" i="1" s="1"/>
  <c r="AL124" i="1" s="1"/>
  <c r="AN124" i="1" s="1"/>
  <c r="AD124" i="1"/>
  <c r="AC124" i="1"/>
  <c r="AG88" i="1"/>
  <c r="AK88" i="1" s="1"/>
  <c r="AL88" i="1" s="1"/>
  <c r="AN88" i="1" s="1"/>
  <c r="AE88" i="1"/>
  <c r="AD88" i="1"/>
  <c r="AC88" i="1"/>
  <c r="AE22" i="1"/>
  <c r="AF22" i="1" s="1"/>
  <c r="AK22" i="1" s="1"/>
  <c r="AL22" i="1" s="1"/>
  <c r="AN22" i="1" s="1"/>
  <c r="AD22" i="1"/>
  <c r="AC22" i="1"/>
  <c r="C22" i="1"/>
  <c r="AE161" i="1"/>
  <c r="AG161" i="1" s="1"/>
  <c r="AK161" i="1" s="1"/>
  <c r="AL161" i="1" s="1"/>
  <c r="AN161" i="1" s="1"/>
  <c r="AD161" i="1"/>
  <c r="AC161" i="1"/>
  <c r="AE170" i="1"/>
  <c r="AF170" i="1" s="1"/>
  <c r="AK170" i="1" s="1"/>
  <c r="AL170" i="1" s="1"/>
  <c r="AN170" i="1" s="1"/>
  <c r="AD170" i="1"/>
  <c r="AC170" i="1"/>
  <c r="AG78" i="1"/>
  <c r="AK78" i="1" s="1"/>
  <c r="AL78" i="1" s="1"/>
  <c r="AN78" i="1" s="1"/>
  <c r="AE78" i="1"/>
  <c r="AD78" i="1"/>
  <c r="AC78" i="1"/>
  <c r="AG83" i="1"/>
  <c r="AE83" i="1"/>
  <c r="AD83" i="1"/>
  <c r="AC83" i="1"/>
  <c r="AE95" i="1"/>
  <c r="AD95" i="1"/>
  <c r="AC95" i="1"/>
  <c r="AE70" i="1"/>
  <c r="AJ70" i="1" s="1"/>
  <c r="AK70" i="1" s="1"/>
  <c r="AL70" i="1" s="1"/>
  <c r="AN70" i="1" s="1"/>
  <c r="AD70" i="1"/>
  <c r="AC70" i="1"/>
  <c r="AF140" i="1"/>
  <c r="AK140" i="1" s="1"/>
  <c r="AL140" i="1" s="1"/>
  <c r="AN140" i="1" s="1"/>
  <c r="AE140" i="1"/>
  <c r="AD140" i="1"/>
  <c r="AC140" i="1"/>
  <c r="AF133" i="1"/>
  <c r="AK133" i="1" s="1"/>
  <c r="AL133" i="1" s="1"/>
  <c r="AM133" i="1" s="1"/>
  <c r="AE133" i="1"/>
  <c r="AD133" i="1"/>
  <c r="AC133" i="1"/>
  <c r="AG36" i="1"/>
  <c r="AK36" i="1" s="1"/>
  <c r="AL36" i="1" s="1"/>
  <c r="AN36" i="1" s="1"/>
  <c r="AE36" i="1"/>
  <c r="AD36" i="1"/>
  <c r="AC36" i="1"/>
  <c r="AG16" i="1"/>
  <c r="AK16" i="1" s="1"/>
  <c r="AL16" i="1" s="1"/>
  <c r="AN16" i="1" s="1"/>
  <c r="AE16" i="1"/>
  <c r="AD16" i="1"/>
  <c r="AC16" i="1"/>
  <c r="AE12" i="1"/>
  <c r="AF12" i="1" s="1"/>
  <c r="AK12" i="1" s="1"/>
  <c r="AL12" i="1" s="1"/>
  <c r="AN12" i="1" s="1"/>
  <c r="AD12" i="1"/>
  <c r="AC12" i="1"/>
  <c r="AG82" i="1"/>
  <c r="AK82" i="1" s="1"/>
  <c r="AL82" i="1" s="1"/>
  <c r="AN82" i="1" s="1"/>
  <c r="AE82" i="1"/>
  <c r="AD82" i="1"/>
  <c r="AC82" i="1"/>
  <c r="AG155" i="1"/>
  <c r="AK155" i="1" s="1"/>
  <c r="AL155" i="1" s="1"/>
  <c r="AN155" i="1" s="1"/>
  <c r="AE155" i="1"/>
  <c r="AD155" i="1"/>
  <c r="AC155" i="1"/>
  <c r="AF92" i="1"/>
  <c r="AK92" i="1" s="1"/>
  <c r="AL92" i="1" s="1"/>
  <c r="AN92" i="1" s="1"/>
  <c r="AE92" i="1"/>
  <c r="AD92" i="1"/>
  <c r="AC92" i="1"/>
  <c r="AH84" i="1"/>
  <c r="AE85" i="1"/>
  <c r="AD85" i="1"/>
  <c r="AC85" i="1"/>
  <c r="AE84" i="1"/>
  <c r="AD84" i="1"/>
  <c r="AC84" i="1"/>
  <c r="AG165" i="1"/>
  <c r="AK165" i="1" s="1"/>
  <c r="AD165" i="1"/>
  <c r="AC165" i="1"/>
  <c r="AE165" i="1"/>
  <c r="AK162" i="1"/>
  <c r="AL162" i="1" s="1"/>
  <c r="AK163" i="1"/>
  <c r="AL163" i="1" s="1"/>
  <c r="AK164" i="1"/>
  <c r="AL164" i="1" s="1"/>
  <c r="AK166" i="1"/>
  <c r="AL166" i="1" s="1"/>
  <c r="AN166" i="1" s="1"/>
  <c r="AK168" i="1"/>
  <c r="AL168" i="1" s="1"/>
  <c r="AK169" i="1"/>
  <c r="AL169" i="1" s="1"/>
  <c r="AK171" i="1"/>
  <c r="AK172" i="1"/>
  <c r="AK173" i="1"/>
  <c r="AL173" i="1" s="1"/>
  <c r="AN173" i="1" s="1"/>
  <c r="AK174" i="1"/>
  <c r="AK175" i="1"/>
  <c r="AL175" i="1" s="1"/>
  <c r="AN175" i="1" s="1"/>
  <c r="AK176" i="1"/>
  <c r="AK177" i="1"/>
  <c r="AL177" i="1" s="1"/>
  <c r="AK180" i="1"/>
  <c r="AL180" i="1" s="1"/>
  <c r="AN180" i="1" s="1"/>
  <c r="AK181" i="1"/>
  <c r="AL181" i="1" s="1"/>
  <c r="AN181" i="1" s="1"/>
  <c r="AK182" i="1"/>
  <c r="AL182" i="1" s="1"/>
  <c r="AN182" i="1" s="1"/>
  <c r="AK183" i="1"/>
  <c r="AK184" i="1"/>
  <c r="AK185" i="1"/>
  <c r="AK186" i="1"/>
  <c r="AL186" i="1" s="1"/>
  <c r="AN186" i="1" s="1"/>
  <c r="AK187" i="1"/>
  <c r="AL187" i="1" s="1"/>
  <c r="AK188" i="1"/>
  <c r="AL188" i="1" s="1"/>
  <c r="AN188" i="1" s="1"/>
  <c r="AK189" i="1"/>
  <c r="AL189" i="1" s="1"/>
  <c r="AN189" i="1" s="1"/>
  <c r="AK190" i="1"/>
  <c r="AL190" i="1" s="1"/>
  <c r="AN190" i="1" s="1"/>
  <c r="AK191" i="1"/>
  <c r="AL191" i="1" s="1"/>
  <c r="AN191" i="1" s="1"/>
  <c r="AK192" i="1"/>
  <c r="AL192" i="1" s="1"/>
  <c r="AN192" i="1" s="1"/>
  <c r="AK194" i="1"/>
  <c r="AL194" i="1" s="1"/>
  <c r="AN194" i="1" s="1"/>
  <c r="AK195" i="1"/>
  <c r="AL195" i="1" s="1"/>
  <c r="AN195" i="1" s="1"/>
  <c r="AK8" i="1"/>
  <c r="AL8" i="1" s="1"/>
  <c r="AK9" i="1"/>
  <c r="AL9" i="1" s="1"/>
  <c r="AN9" i="1" s="1"/>
  <c r="AK10" i="1"/>
  <c r="AL10" i="1" s="1"/>
  <c r="AN10" i="1" s="1"/>
  <c r="AK11" i="1"/>
  <c r="AL11" i="1" s="1"/>
  <c r="AN11" i="1" s="1"/>
  <c r="AK13" i="1"/>
  <c r="AL13" i="1" s="1"/>
  <c r="AN13" i="1" s="1"/>
  <c r="AK14" i="1"/>
  <c r="AL14" i="1" s="1"/>
  <c r="AN14" i="1" s="1"/>
  <c r="AK15" i="1"/>
  <c r="AL15" i="1" s="1"/>
  <c r="AN15" i="1" s="1"/>
  <c r="AK18" i="1"/>
  <c r="AL18" i="1" s="1"/>
  <c r="AN18" i="1" s="1"/>
  <c r="AK19" i="1"/>
  <c r="AL19" i="1" s="1"/>
  <c r="AN19" i="1" s="1"/>
  <c r="AK20" i="1"/>
  <c r="AL20" i="1" s="1"/>
  <c r="AN20" i="1" s="1"/>
  <c r="AK21" i="1"/>
  <c r="AL21" i="1" s="1"/>
  <c r="AK25" i="1"/>
  <c r="AL25" i="1" s="1"/>
  <c r="AN25" i="1" s="1"/>
  <c r="AK26" i="1"/>
  <c r="AL26" i="1" s="1"/>
  <c r="AK27" i="1"/>
  <c r="AL27" i="1" s="1"/>
  <c r="AK28" i="1"/>
  <c r="AK29" i="1"/>
  <c r="AL29" i="1" s="1"/>
  <c r="AN29" i="1" s="1"/>
  <c r="AK30" i="1"/>
  <c r="AL30" i="1" s="1"/>
  <c r="AK31" i="1"/>
  <c r="AL31" i="1" s="1"/>
  <c r="AN31" i="1" s="1"/>
  <c r="AK32" i="1"/>
  <c r="AK33" i="1"/>
  <c r="AL33" i="1" s="1"/>
  <c r="AK34" i="1"/>
  <c r="AL34" i="1" s="1"/>
  <c r="AN34" i="1" s="1"/>
  <c r="AK35" i="1"/>
  <c r="AL35" i="1" s="1"/>
  <c r="AN35" i="1" s="1"/>
  <c r="AK38" i="1"/>
  <c r="AL38" i="1" s="1"/>
  <c r="AK39" i="1"/>
  <c r="AL39" i="1" s="1"/>
  <c r="AK40" i="1"/>
  <c r="AL40" i="1" s="1"/>
  <c r="AK41" i="1"/>
  <c r="AL41" i="1" s="1"/>
  <c r="AN41" i="1" s="1"/>
  <c r="AK42" i="1"/>
  <c r="AK44" i="1"/>
  <c r="AL44" i="1" s="1"/>
  <c r="AN44" i="1" s="1"/>
  <c r="AK45" i="1"/>
  <c r="AL45" i="1" s="1"/>
  <c r="AK46" i="1"/>
  <c r="AK48" i="1"/>
  <c r="AL48" i="1" s="1"/>
  <c r="AK50" i="1"/>
  <c r="AL50" i="1" s="1"/>
  <c r="AN50" i="1" s="1"/>
  <c r="AK51" i="1"/>
  <c r="AL51" i="1" s="1"/>
  <c r="AN51" i="1" s="1"/>
  <c r="AK52" i="1"/>
  <c r="AL52" i="1" s="1"/>
  <c r="AK53" i="1"/>
  <c r="AL53" i="1" s="1"/>
  <c r="AN53" i="1" s="1"/>
  <c r="AK54" i="1"/>
  <c r="AL54" i="1" s="1"/>
  <c r="AK55" i="1"/>
  <c r="AL55" i="1" s="1"/>
  <c r="AN55" i="1" s="1"/>
  <c r="AK58" i="1"/>
  <c r="AL58" i="1" s="1"/>
  <c r="AN58" i="1" s="1"/>
  <c r="AK59" i="1"/>
  <c r="AL59" i="1" s="1"/>
  <c r="AK60" i="1"/>
  <c r="AL60" i="1" s="1"/>
  <c r="AN60" i="1" s="1"/>
  <c r="AK62" i="1"/>
  <c r="AL62" i="1" s="1"/>
  <c r="AN62" i="1" s="1"/>
  <c r="AK63" i="1"/>
  <c r="AL63" i="1" s="1"/>
  <c r="AK64" i="1"/>
  <c r="AK65" i="1"/>
  <c r="AL65" i="1" s="1"/>
  <c r="AN65" i="1" s="1"/>
  <c r="AK66" i="1"/>
  <c r="AL66" i="1" s="1"/>
  <c r="AN66" i="1" s="1"/>
  <c r="AK67" i="1"/>
  <c r="AL67" i="1" s="1"/>
  <c r="AN67" i="1" s="1"/>
  <c r="AK68" i="1"/>
  <c r="AL68" i="1" s="1"/>
  <c r="AK71" i="1"/>
  <c r="AL71" i="1" s="1"/>
  <c r="AN71" i="1" s="1"/>
  <c r="AK72" i="1"/>
  <c r="AL72" i="1" s="1"/>
  <c r="AK73" i="1"/>
  <c r="AL73" i="1" s="1"/>
  <c r="AN73" i="1" s="1"/>
  <c r="AK74" i="1"/>
  <c r="AL74" i="1" s="1"/>
  <c r="AK75" i="1"/>
  <c r="AL75" i="1" s="1"/>
  <c r="AN75" i="1" s="1"/>
  <c r="AK77" i="1"/>
  <c r="AL77" i="1" s="1"/>
  <c r="AK79" i="1"/>
  <c r="AL79" i="1" s="1"/>
  <c r="AN79" i="1" s="1"/>
  <c r="AK80" i="1"/>
  <c r="AK81" i="1"/>
  <c r="AL81" i="1" s="1"/>
  <c r="AN81" i="1" s="1"/>
  <c r="AK83" i="1"/>
  <c r="AL83" i="1" s="1"/>
  <c r="AN83" i="1" s="1"/>
  <c r="AK89" i="1"/>
  <c r="AK91" i="1"/>
  <c r="AK93" i="1"/>
  <c r="AL93" i="1" s="1"/>
  <c r="AN93" i="1" s="1"/>
  <c r="AK94" i="1"/>
  <c r="AL94" i="1" s="1"/>
  <c r="AN94" i="1" s="1"/>
  <c r="AK95" i="1"/>
  <c r="AL95" i="1" s="1"/>
  <c r="AN95" i="1" s="1"/>
  <c r="AK96" i="1"/>
  <c r="AL96" i="1" s="1"/>
  <c r="AN96" i="1" s="1"/>
  <c r="AK97" i="1"/>
  <c r="AL97" i="1" s="1"/>
  <c r="AK98" i="1"/>
  <c r="AL98" i="1" s="1"/>
  <c r="AK99" i="1"/>
  <c r="AL99" i="1" s="1"/>
  <c r="AN99" i="1" s="1"/>
  <c r="AK100" i="1"/>
  <c r="AL100" i="1" s="1"/>
  <c r="AN100" i="1" s="1"/>
  <c r="AK101" i="1"/>
  <c r="AL101" i="1" s="1"/>
  <c r="AK102" i="1"/>
  <c r="AL102" i="1" s="1"/>
  <c r="AK103" i="1"/>
  <c r="AL103" i="1" s="1"/>
  <c r="AN103" i="1" s="1"/>
  <c r="AK104" i="1"/>
  <c r="AK105" i="1"/>
  <c r="AL105" i="1" s="1"/>
  <c r="AN105" i="1" s="1"/>
  <c r="AK106" i="1"/>
  <c r="AL106" i="1" s="1"/>
  <c r="AN106" i="1" s="1"/>
  <c r="AK107" i="1"/>
  <c r="AL107" i="1" s="1"/>
  <c r="AK108" i="1"/>
  <c r="AL108" i="1" s="1"/>
  <c r="AK109" i="1"/>
  <c r="AL109" i="1" s="1"/>
  <c r="AN109" i="1" s="1"/>
  <c r="AK110" i="1"/>
  <c r="AL110" i="1" s="1"/>
  <c r="AN110" i="1" s="1"/>
  <c r="AK111" i="1"/>
  <c r="AL111" i="1" s="1"/>
  <c r="AK112" i="1"/>
  <c r="AL112" i="1" s="1"/>
  <c r="AN112" i="1" s="1"/>
  <c r="AK113" i="1"/>
  <c r="AL113" i="1" s="1"/>
  <c r="AN113" i="1" s="1"/>
  <c r="AK114" i="1"/>
  <c r="AL114" i="1" s="1"/>
  <c r="AN114" i="1" s="1"/>
  <c r="AK115" i="1"/>
  <c r="AL115" i="1" s="1"/>
  <c r="AN115" i="1" s="1"/>
  <c r="AK116" i="1"/>
  <c r="AK117" i="1"/>
  <c r="AL117" i="1" s="1"/>
  <c r="AN117" i="1" s="1"/>
  <c r="AK118" i="1"/>
  <c r="AL118" i="1" s="1"/>
  <c r="AN118" i="1" s="1"/>
  <c r="AK119" i="1"/>
  <c r="AK120" i="1"/>
  <c r="AL120" i="1" s="1"/>
  <c r="AN120" i="1" s="1"/>
  <c r="AK121" i="1"/>
  <c r="AL121" i="1" s="1"/>
  <c r="AN121" i="1" s="1"/>
  <c r="AK122" i="1"/>
  <c r="AL122" i="1" s="1"/>
  <c r="AN122" i="1" s="1"/>
  <c r="AK123" i="1"/>
  <c r="AL123" i="1" s="1"/>
  <c r="AN123" i="1" s="1"/>
  <c r="AK125" i="1"/>
  <c r="AL125" i="1" s="1"/>
  <c r="AK126" i="1"/>
  <c r="AL126" i="1" s="1"/>
  <c r="AN126" i="1" s="1"/>
  <c r="AK127" i="1"/>
  <c r="AL127" i="1" s="1"/>
  <c r="AK128" i="1"/>
  <c r="AL128" i="1" s="1"/>
  <c r="AK129" i="1"/>
  <c r="AL129" i="1" s="1"/>
  <c r="AN129" i="1" s="1"/>
  <c r="AK131" i="1"/>
  <c r="AL131" i="1" s="1"/>
  <c r="AN131" i="1" s="1"/>
  <c r="AK132" i="1"/>
  <c r="AL132" i="1" s="1"/>
  <c r="AK134" i="1"/>
  <c r="AL134" i="1" s="1"/>
  <c r="AN134" i="1" s="1"/>
  <c r="AK135" i="1"/>
  <c r="AL135" i="1" s="1"/>
  <c r="AN135" i="1" s="1"/>
  <c r="AK137" i="1"/>
  <c r="AL137" i="1" s="1"/>
  <c r="AK141" i="1"/>
  <c r="AL141" i="1" s="1"/>
  <c r="AN141" i="1" s="1"/>
  <c r="AK143" i="1"/>
  <c r="AL143" i="1" s="1"/>
  <c r="AN143" i="1" s="1"/>
  <c r="AK144" i="1"/>
  <c r="AL144" i="1" s="1"/>
  <c r="AK145" i="1"/>
  <c r="AL145" i="1" s="1"/>
  <c r="AN145" i="1" s="1"/>
  <c r="AK146" i="1"/>
  <c r="AL146" i="1" s="1"/>
  <c r="AN146" i="1" s="1"/>
  <c r="AK147" i="1"/>
  <c r="AL147" i="1" s="1"/>
  <c r="AN147" i="1" s="1"/>
  <c r="AK149" i="1"/>
  <c r="AK150" i="1"/>
  <c r="AL150" i="1" s="1"/>
  <c r="AK151" i="1"/>
  <c r="AL151" i="1" s="1"/>
  <c r="AN151" i="1" s="1"/>
  <c r="AK152" i="1"/>
  <c r="AL152" i="1" s="1"/>
  <c r="AN152" i="1" s="1"/>
  <c r="AK153" i="1"/>
  <c r="AL153" i="1" s="1"/>
  <c r="AN153" i="1" s="1"/>
  <c r="AK154" i="1"/>
  <c r="AL154" i="1" s="1"/>
  <c r="AN154" i="1" s="1"/>
  <c r="AK156" i="1"/>
  <c r="AL156" i="1" s="1"/>
  <c r="AN156" i="1" s="1"/>
  <c r="AK157" i="1"/>
  <c r="AL157" i="1" s="1"/>
  <c r="AK158" i="1"/>
  <c r="AL158" i="1" s="1"/>
  <c r="AK159" i="1"/>
  <c r="AL159" i="1" s="1"/>
  <c r="AN159" i="1" s="1"/>
  <c r="AF160" i="1"/>
  <c r="AK160" i="1" s="1"/>
  <c r="AL160" i="1" s="1"/>
  <c r="AN160" i="1" s="1"/>
  <c r="AE160" i="1"/>
  <c r="AD160" i="1"/>
  <c r="AC160" i="1"/>
  <c r="AE76" i="1"/>
  <c r="AG76" i="1" s="1"/>
  <c r="AK76" i="1" s="1"/>
  <c r="AL76" i="1" s="1"/>
  <c r="AN76" i="1" s="1"/>
  <c r="AD76" i="1"/>
  <c r="AC76" i="1"/>
  <c r="AE37" i="1"/>
  <c r="AF37" i="1" s="1"/>
  <c r="AK37" i="1" s="1"/>
  <c r="AL37" i="1" s="1"/>
  <c r="AN37" i="1" s="1"/>
  <c r="AD37" i="1"/>
  <c r="AC37" i="1"/>
  <c r="AF130" i="1"/>
  <c r="AG130" i="1" s="1"/>
  <c r="AK130" i="1" s="1"/>
  <c r="AL130" i="1" s="1"/>
  <c r="AD130" i="1"/>
  <c r="AC130" i="1"/>
  <c r="AE148" i="1"/>
  <c r="AG148" i="1" s="1"/>
  <c r="AK148" i="1" s="1"/>
  <c r="AL148" i="1" s="1"/>
  <c r="AN148" i="1" s="1"/>
  <c r="AD148" i="1"/>
  <c r="AC148" i="1"/>
  <c r="AL28" i="1"/>
  <c r="AN28" i="1" s="1"/>
  <c r="AL32" i="1"/>
  <c r="AL42" i="1"/>
  <c r="AN42" i="1" s="1"/>
  <c r="AL46" i="1"/>
  <c r="AL64" i="1"/>
  <c r="AL80" i="1"/>
  <c r="AL89" i="1"/>
  <c r="AL91" i="1"/>
  <c r="AN91" i="1" s="1"/>
  <c r="AL104" i="1"/>
  <c r="AN104" i="1" s="1"/>
  <c r="AL116" i="1"/>
  <c r="AL119" i="1"/>
  <c r="AN119" i="1" s="1"/>
  <c r="AL149" i="1"/>
  <c r="AN149" i="1" s="1"/>
  <c r="AL171" i="1"/>
  <c r="AN171" i="1" s="1"/>
  <c r="AL172" i="1"/>
  <c r="AN172" i="1" s="1"/>
  <c r="AL174" i="1"/>
  <c r="AN174" i="1" s="1"/>
  <c r="AL176" i="1"/>
  <c r="AN176" i="1" s="1"/>
  <c r="AL183" i="1"/>
  <c r="AL184" i="1"/>
  <c r="AN184" i="1" s="1"/>
  <c r="AL185" i="1"/>
  <c r="AE87" i="1"/>
  <c r="AG87" i="1" s="1"/>
  <c r="AK87" i="1" s="1"/>
  <c r="AL87" i="1" s="1"/>
  <c r="AN87" i="1" s="1"/>
  <c r="AD87" i="1"/>
  <c r="AC87" i="1"/>
  <c r="AE90" i="1"/>
  <c r="AH90" i="1" s="1"/>
  <c r="AK90" i="1" s="1"/>
  <c r="AL90" i="1" s="1"/>
  <c r="AM90" i="1" s="1"/>
  <c r="AD90" i="1"/>
  <c r="AC90" i="1"/>
  <c r="AE138" i="1"/>
  <c r="AG138" i="1" s="1"/>
  <c r="AK138" i="1" s="1"/>
  <c r="AL138" i="1" s="1"/>
  <c r="AN138" i="1" s="1"/>
  <c r="AD138" i="1"/>
  <c r="AC138" i="1"/>
  <c r="AE43" i="1"/>
  <c r="AG43" i="1" s="1"/>
  <c r="AK43" i="1" s="1"/>
  <c r="AL43" i="1" s="1"/>
  <c r="AN43" i="1" s="1"/>
  <c r="AD43" i="1"/>
  <c r="AC43" i="1"/>
  <c r="AE61" i="1"/>
  <c r="AG61" i="1" s="1"/>
  <c r="AK61" i="1" s="1"/>
  <c r="AL61" i="1" s="1"/>
  <c r="AN61" i="1" s="1"/>
  <c r="AD61" i="1"/>
  <c r="AC61" i="1"/>
  <c r="AE86" i="1"/>
  <c r="AF86" i="1" s="1"/>
  <c r="AK86" i="1" s="1"/>
  <c r="AL86" i="1" s="1"/>
  <c r="AN86" i="1" s="1"/>
  <c r="AD86" i="1"/>
  <c r="AC86" i="1"/>
  <c r="AE179" i="1"/>
  <c r="AH179" i="1" s="1"/>
  <c r="AK179" i="1" s="1"/>
  <c r="AL179" i="1" s="1"/>
  <c r="AN179" i="1" s="1"/>
  <c r="AD179" i="1"/>
  <c r="AC179" i="1"/>
  <c r="AD136" i="1"/>
  <c r="AE142" i="1"/>
  <c r="AF142" i="1" s="1"/>
  <c r="AK142" i="1" s="1"/>
  <c r="AL142" i="1" s="1"/>
  <c r="AN142" i="1" s="1"/>
  <c r="AD142" i="1"/>
  <c r="AC142" i="1"/>
  <c r="AC136" i="1"/>
  <c r="AE136" i="1"/>
  <c r="AG136" i="1" s="1"/>
  <c r="AK136" i="1" s="1"/>
  <c r="AL136" i="1" s="1"/>
  <c r="AN136" i="1" s="1"/>
  <c r="AM124" i="5" l="1"/>
  <c r="AO124" i="5" s="1"/>
  <c r="AH46" i="10"/>
  <c r="AG196" i="10"/>
  <c r="AM180" i="5"/>
  <c r="AQ180" i="5"/>
  <c r="AQ93" i="5"/>
  <c r="AM48" i="5"/>
  <c r="AQ33" i="5"/>
  <c r="AL70" i="5"/>
  <c r="AM70" i="5" s="1"/>
  <c r="AO70" i="5" s="1"/>
  <c r="AL23" i="5"/>
  <c r="AM23" i="5" s="1"/>
  <c r="AO23" i="5" s="1"/>
  <c r="AN15" i="5"/>
  <c r="AO15" i="5" s="1"/>
  <c r="AN51" i="5"/>
  <c r="AO51" i="5" s="1"/>
  <c r="AM35" i="5"/>
  <c r="AN35" i="5" s="1"/>
  <c r="AO35" i="5" s="1"/>
  <c r="AO107" i="5"/>
  <c r="AN107" i="5"/>
  <c r="AO119" i="5"/>
  <c r="AN119" i="5"/>
  <c r="AN156" i="5"/>
  <c r="AO156" i="5" s="1"/>
  <c r="AN166" i="5"/>
  <c r="AO166" i="5" s="1"/>
  <c r="AO33" i="5"/>
  <c r="AO42" i="5"/>
  <c r="AN68" i="5"/>
  <c r="AO68" i="5" s="1"/>
  <c r="AN77" i="5"/>
  <c r="AO77" i="5" s="1"/>
  <c r="AN108" i="5"/>
  <c r="AO108" i="5" s="1"/>
  <c r="AN120" i="5"/>
  <c r="AO120" i="5" s="1"/>
  <c r="AN147" i="5"/>
  <c r="AO147" i="5" s="1"/>
  <c r="AO157" i="5"/>
  <c r="AN157" i="5"/>
  <c r="AO34" i="5"/>
  <c r="AN34" i="5"/>
  <c r="AN109" i="5"/>
  <c r="AO109" i="5" s="1"/>
  <c r="AN121" i="5"/>
  <c r="AO121" i="5" s="1"/>
  <c r="AN130" i="5"/>
  <c r="AO130" i="5" s="1"/>
  <c r="AO158" i="5"/>
  <c r="AN158" i="5"/>
  <c r="AN189" i="5"/>
  <c r="AO189" i="5" s="1"/>
  <c r="AN25" i="5"/>
  <c r="AO25" i="5"/>
  <c r="AN44" i="5"/>
  <c r="AO44" i="5" s="1"/>
  <c r="AN60" i="5"/>
  <c r="AO60" i="5" s="1"/>
  <c r="AO79" i="5"/>
  <c r="AN79" i="5"/>
  <c r="AN98" i="5"/>
  <c r="AO98" i="5" s="1"/>
  <c r="AN110" i="5"/>
  <c r="AO110" i="5" s="1"/>
  <c r="AN122" i="5"/>
  <c r="AO122" i="5" s="1"/>
  <c r="AN131" i="5"/>
  <c r="AO131" i="5" s="1"/>
  <c r="AO168" i="5"/>
  <c r="AN175" i="5"/>
  <c r="AO175" i="5" s="1"/>
  <c r="AN26" i="5"/>
  <c r="AO26" i="5" s="1"/>
  <c r="AO80" i="5"/>
  <c r="AN80" i="5"/>
  <c r="AN183" i="5"/>
  <c r="AO183" i="5" s="1"/>
  <c r="AN99" i="5"/>
  <c r="AO99" i="5" s="1"/>
  <c r="AN111" i="5"/>
  <c r="AO111" i="5" s="1"/>
  <c r="AN132" i="5"/>
  <c r="AO132" i="5"/>
  <c r="AN169" i="5"/>
  <c r="AO169" i="5" s="1"/>
  <c r="AN27" i="5"/>
  <c r="AO27" i="5" s="1"/>
  <c r="AO45" i="5"/>
  <c r="AN81" i="5"/>
  <c r="AO81" i="5" s="1"/>
  <c r="AN90" i="5"/>
  <c r="AO90" i="5" s="1"/>
  <c r="AN100" i="5"/>
  <c r="AO100" i="5" s="1"/>
  <c r="AN112" i="5"/>
  <c r="AO112" i="5" s="1"/>
  <c r="AN150" i="5"/>
  <c r="AO150" i="5" s="1"/>
  <c r="AN72" i="5"/>
  <c r="AO72" i="5" s="1"/>
  <c r="AN101" i="5"/>
  <c r="AO101" i="5" s="1"/>
  <c r="AN113" i="5"/>
  <c r="AO113" i="5" s="1"/>
  <c r="AO133" i="5"/>
  <c r="AN133" i="5"/>
  <c r="AO177" i="5"/>
  <c r="AN177" i="5"/>
  <c r="AN102" i="5"/>
  <c r="AO102" i="5" s="1"/>
  <c r="AN114" i="5"/>
  <c r="AO114" i="5" s="1"/>
  <c r="AN125" i="5"/>
  <c r="AO125" i="5" s="1"/>
  <c r="AN134" i="5"/>
  <c r="AO134" i="5" s="1"/>
  <c r="AO162" i="5"/>
  <c r="AO19" i="5"/>
  <c r="AN19" i="5"/>
  <c r="AN29" i="5"/>
  <c r="AO29" i="5" s="1"/>
  <c r="AN38" i="5"/>
  <c r="AO38" i="5" s="1"/>
  <c r="AN63" i="5"/>
  <c r="AO63" i="5" s="1"/>
  <c r="AO54" i="5"/>
  <c r="AN54" i="5"/>
  <c r="AN64" i="5"/>
  <c r="AO64" i="5" s="1"/>
  <c r="AN103" i="5"/>
  <c r="AO103" i="5" s="1"/>
  <c r="AN115" i="5"/>
  <c r="AO115" i="5" s="1"/>
  <c r="AN126" i="5"/>
  <c r="AO126" i="5"/>
  <c r="AN135" i="5"/>
  <c r="AO135" i="5" s="1"/>
  <c r="AN153" i="5"/>
  <c r="AO153" i="5" s="1"/>
  <c r="AN163" i="5"/>
  <c r="AO163" i="5" s="1"/>
  <c r="AN28" i="5"/>
  <c r="AO28" i="5" s="1"/>
  <c r="AN53" i="5"/>
  <c r="AO53" i="5" s="1"/>
  <c r="AO30" i="5"/>
  <c r="AO39" i="5"/>
  <c r="AN55" i="5"/>
  <c r="AO55" i="5" s="1"/>
  <c r="AO93" i="5"/>
  <c r="AN93" i="5"/>
  <c r="AO104" i="5"/>
  <c r="AN104" i="5"/>
  <c r="AO116" i="5"/>
  <c r="AN116" i="5"/>
  <c r="AN144" i="5"/>
  <c r="AO144" i="5" s="1"/>
  <c r="AN164" i="5"/>
  <c r="AO164" i="5"/>
  <c r="AN186" i="5"/>
  <c r="AO186" i="5" s="1"/>
  <c r="AO194" i="5"/>
  <c r="AN194" i="5"/>
  <c r="AO21" i="5"/>
  <c r="AN21" i="5"/>
  <c r="AN31" i="5"/>
  <c r="AO31" i="5" s="1"/>
  <c r="AN40" i="5"/>
  <c r="AO40" i="5" s="1"/>
  <c r="AN74" i="5"/>
  <c r="AO74" i="5" s="1"/>
  <c r="AN94" i="5"/>
  <c r="AO94" i="5" s="1"/>
  <c r="AN105" i="5"/>
  <c r="AO105" i="5" s="1"/>
  <c r="AN117" i="5"/>
  <c r="AO117" i="5" s="1"/>
  <c r="AN137" i="5"/>
  <c r="AO137" i="5" s="1"/>
  <c r="AN145" i="5"/>
  <c r="AO145" i="5"/>
  <c r="AN195" i="5"/>
  <c r="AO195" i="5" s="1"/>
  <c r="AO32" i="5"/>
  <c r="AN32" i="5"/>
  <c r="AO41" i="5"/>
  <c r="AN41" i="5"/>
  <c r="AN57" i="5"/>
  <c r="AO57" i="5" s="1"/>
  <c r="AN66" i="5"/>
  <c r="AO66" i="5" s="1"/>
  <c r="AO75" i="5"/>
  <c r="AN75" i="5"/>
  <c r="AN106" i="5"/>
  <c r="AO106" i="5" s="1"/>
  <c r="AN118" i="5"/>
  <c r="AO118" i="5" s="1"/>
  <c r="AN180" i="5"/>
  <c r="AO180" i="5" s="1"/>
  <c r="AN191" i="5"/>
  <c r="AO191" i="5" s="1"/>
  <c r="AN59" i="5"/>
  <c r="AO59" i="5" s="1"/>
  <c r="AN62" i="5"/>
  <c r="AO62" i="5" s="1"/>
  <c r="AN65" i="5"/>
  <c r="AO65" i="5" s="1"/>
  <c r="AN127" i="5"/>
  <c r="AO127" i="5" s="1"/>
  <c r="AN146" i="5"/>
  <c r="AO146" i="5" s="1"/>
  <c r="AN149" i="5"/>
  <c r="AO149" i="5" s="1"/>
  <c r="AN162" i="5"/>
  <c r="AN168" i="5"/>
  <c r="AN171" i="5"/>
  <c r="AO171" i="5" s="1"/>
  <c r="AL12" i="5"/>
  <c r="AM12" i="5" s="1"/>
  <c r="AO12" i="5" s="1"/>
  <c r="AL16" i="5"/>
  <c r="AM16" i="5" s="1"/>
  <c r="AO16" i="5" s="1"/>
  <c r="AN141" i="5"/>
  <c r="AO141" i="5" s="1"/>
  <c r="AN181" i="5"/>
  <c r="AO181" i="5" s="1"/>
  <c r="AN184" i="5"/>
  <c r="AO184" i="5" s="1"/>
  <c r="AN187" i="5"/>
  <c r="AO187" i="5" s="1"/>
  <c r="AN190" i="5"/>
  <c r="AO190" i="5" s="1"/>
  <c r="AN30" i="5"/>
  <c r="AN33" i="5"/>
  <c r="AN39" i="5"/>
  <c r="AN42" i="5"/>
  <c r="AN45" i="5"/>
  <c r="AN48" i="5"/>
  <c r="AO48" i="5" s="1"/>
  <c r="AN89" i="5"/>
  <c r="AO89" i="5" s="1"/>
  <c r="AM128" i="2"/>
  <c r="AO128" i="2" s="1"/>
  <c r="AF175" i="2"/>
  <c r="AF196" i="2" s="1"/>
  <c r="AM83" i="2"/>
  <c r="AO83" i="2" s="1"/>
  <c r="AM46" i="2"/>
  <c r="AO46" i="2" s="1"/>
  <c r="AK196" i="2"/>
  <c r="AI196" i="2"/>
  <c r="AH196" i="2"/>
  <c r="AG196" i="2"/>
  <c r="AL23" i="2"/>
  <c r="AM23" i="2" s="1"/>
  <c r="AO23" i="2" s="1"/>
  <c r="AO48" i="2"/>
  <c r="AN150" i="2"/>
  <c r="AO150" i="2" s="1"/>
  <c r="AN51" i="2"/>
  <c r="AO51" i="2" s="1"/>
  <c r="AN174" i="2"/>
  <c r="AO174" i="2" s="1"/>
  <c r="AO33" i="2"/>
  <c r="AM182" i="3"/>
  <c r="AO182" i="3" s="1"/>
  <c r="AM8" i="3"/>
  <c r="AO8" i="3" s="1"/>
  <c r="AL189" i="3"/>
  <c r="AM189" i="3" s="1"/>
  <c r="AO189" i="3" s="1"/>
  <c r="AO96" i="3"/>
  <c r="AL194" i="3"/>
  <c r="AM194" i="3" s="1"/>
  <c r="AO194" i="3" s="1"/>
  <c r="AN160" i="3"/>
  <c r="AO160" i="3" s="1"/>
  <c r="AN163" i="3"/>
  <c r="AO163" i="3" s="1"/>
  <c r="AN99" i="3"/>
  <c r="AO99" i="3" s="1"/>
  <c r="AN58" i="3"/>
  <c r="AO58" i="3" s="1"/>
  <c r="AN111" i="3"/>
  <c r="AO111" i="3" s="1"/>
  <c r="AN166" i="3"/>
  <c r="AO166" i="3" s="1"/>
  <c r="AN102" i="3"/>
  <c r="AO102" i="3" s="1"/>
  <c r="AN40" i="3"/>
  <c r="AO40" i="3" s="1"/>
  <c r="AN108" i="3"/>
  <c r="AO108" i="3"/>
  <c r="AN157" i="3"/>
  <c r="AO157" i="3" s="1"/>
  <c r="AN169" i="3"/>
  <c r="AO169" i="3" s="1"/>
  <c r="AN46" i="3"/>
  <c r="AO46" i="3" s="1"/>
  <c r="AN146" i="3"/>
  <c r="AO146" i="3" s="1"/>
  <c r="AN105" i="3"/>
  <c r="AO105" i="3" s="1"/>
  <c r="AN114" i="3"/>
  <c r="AO114" i="3" s="1"/>
  <c r="AN177" i="3"/>
  <c r="AO177" i="3" s="1"/>
  <c r="AN43" i="3"/>
  <c r="AO43" i="3" s="1"/>
  <c r="AO55" i="3"/>
  <c r="AO52" i="3"/>
  <c r="AO172" i="3"/>
  <c r="AO72" i="3"/>
  <c r="AN156" i="3"/>
  <c r="AO156" i="3" s="1"/>
  <c r="AN54" i="3"/>
  <c r="AO54" i="3" s="1"/>
  <c r="AN71" i="3"/>
  <c r="AO71" i="3" s="1"/>
  <c r="AN92" i="3"/>
  <c r="AO92" i="3" s="1"/>
  <c r="AN174" i="3"/>
  <c r="AO174" i="3" s="1"/>
  <c r="AN47" i="3"/>
  <c r="AO47" i="3" s="1"/>
  <c r="AN113" i="3"/>
  <c r="AO113" i="3" s="1"/>
  <c r="AN133" i="3"/>
  <c r="AO133" i="3" s="1"/>
  <c r="AN167" i="3"/>
  <c r="AO167" i="3" s="1"/>
  <c r="AN104" i="3"/>
  <c r="AO104" i="3" s="1"/>
  <c r="AN168" i="3"/>
  <c r="AO168" i="3" s="1"/>
  <c r="AN119" i="3"/>
  <c r="AO119" i="3" s="1"/>
  <c r="AN98" i="3"/>
  <c r="AO98" i="3" s="1"/>
  <c r="AN37" i="3"/>
  <c r="AO37" i="3" s="1"/>
  <c r="AN42" i="3"/>
  <c r="AO42" i="3" s="1"/>
  <c r="AN57" i="3"/>
  <c r="AO57" i="3" s="1"/>
  <c r="AN62" i="3"/>
  <c r="AO62" i="3" s="1"/>
  <c r="AN67" i="3"/>
  <c r="AO67" i="3" s="1"/>
  <c r="AN110" i="3"/>
  <c r="AO110" i="3" s="1"/>
  <c r="AN150" i="3"/>
  <c r="AO150" i="3" s="1"/>
  <c r="AN170" i="3"/>
  <c r="AO170" i="3" s="1"/>
  <c r="AN176" i="3"/>
  <c r="AO176" i="3" s="1"/>
  <c r="AN129" i="3"/>
  <c r="AO129" i="3" s="1"/>
  <c r="AN140" i="3"/>
  <c r="AO140" i="3" s="1"/>
  <c r="AN73" i="3"/>
  <c r="AO73" i="3" s="1"/>
  <c r="AN74" i="3"/>
  <c r="AO74" i="3" s="1"/>
  <c r="AN145" i="3"/>
  <c r="AO145" i="3" s="1"/>
  <c r="AN51" i="3"/>
  <c r="AO51" i="3" s="1"/>
  <c r="AN68" i="3"/>
  <c r="AO68" i="3" s="1"/>
  <c r="AO77" i="3"/>
  <c r="AN95" i="3"/>
  <c r="AO95" i="3" s="1"/>
  <c r="AN125" i="3"/>
  <c r="AO125" i="3" s="1"/>
  <c r="AN171" i="3"/>
  <c r="AO171" i="3" s="1"/>
  <c r="AN41" i="3"/>
  <c r="AO41" i="3" s="1"/>
  <c r="AN44" i="3"/>
  <c r="AO44" i="3" s="1"/>
  <c r="AN63" i="3"/>
  <c r="AO63" i="3" s="1"/>
  <c r="AN89" i="3"/>
  <c r="AO89" i="3" s="1"/>
  <c r="AN116" i="3"/>
  <c r="AO116" i="3" s="1"/>
  <c r="AN164" i="3"/>
  <c r="AO164" i="3" s="1"/>
  <c r="AN45" i="3"/>
  <c r="AO45" i="3" s="1"/>
  <c r="AN85" i="3"/>
  <c r="AO85" i="3" s="1"/>
  <c r="AN90" i="3"/>
  <c r="AO90" i="3" s="1"/>
  <c r="AN101" i="3"/>
  <c r="AO101" i="3" s="1"/>
  <c r="AO121" i="3"/>
  <c r="AN142" i="3"/>
  <c r="AO142" i="3" s="1"/>
  <c r="AN165" i="3"/>
  <c r="AO165" i="3" s="1"/>
  <c r="AN48" i="3"/>
  <c r="AO48" i="3" s="1"/>
  <c r="AN38" i="3"/>
  <c r="AO38" i="3" s="1"/>
  <c r="AN158" i="3"/>
  <c r="AO158" i="3" s="1"/>
  <c r="AN148" i="3"/>
  <c r="AO148" i="3" s="1"/>
  <c r="AN122" i="3"/>
  <c r="AO122" i="3" s="1"/>
  <c r="AN136" i="3"/>
  <c r="AO136" i="3" s="1"/>
  <c r="AN36" i="3"/>
  <c r="AO36" i="3" s="1"/>
  <c r="AN39" i="3"/>
  <c r="AO39" i="3" s="1"/>
  <c r="AN53" i="3"/>
  <c r="AO53" i="3" s="1"/>
  <c r="AN70" i="3"/>
  <c r="AO70" i="3" s="1"/>
  <c r="AN79" i="3"/>
  <c r="AO79" i="3" s="1"/>
  <c r="AN107" i="3"/>
  <c r="AO107" i="3" s="1"/>
  <c r="AN123" i="3"/>
  <c r="AO123" i="3" s="1"/>
  <c r="AN127" i="3"/>
  <c r="AO127" i="3" s="1"/>
  <c r="AN137" i="3"/>
  <c r="AO137" i="3" s="1"/>
  <c r="AN153" i="3"/>
  <c r="AO153" i="3" s="1"/>
  <c r="AN159" i="3"/>
  <c r="AO159" i="3" s="1"/>
  <c r="AN173" i="3"/>
  <c r="AO173" i="3" s="1"/>
  <c r="AN97" i="3"/>
  <c r="AO97" i="3" s="1"/>
  <c r="AN106" i="3"/>
  <c r="AO106" i="3" s="1"/>
  <c r="AN109" i="3"/>
  <c r="AO109" i="3" s="1"/>
  <c r="AN144" i="3"/>
  <c r="AO144" i="3" s="1"/>
  <c r="AO75" i="3"/>
  <c r="AO100" i="3"/>
  <c r="AO103" i="3"/>
  <c r="AO112" i="3"/>
  <c r="AO115" i="3"/>
  <c r="AO118" i="3"/>
  <c r="AN77" i="3"/>
  <c r="AN93" i="3"/>
  <c r="AO93" i="3" s="1"/>
  <c r="AN121" i="3"/>
  <c r="AN128" i="3"/>
  <c r="AO128" i="3" s="1"/>
  <c r="AN131" i="3"/>
  <c r="AO131" i="3" s="1"/>
  <c r="AN135" i="3"/>
  <c r="AO135" i="3" s="1"/>
  <c r="AN138" i="3"/>
  <c r="AO138" i="3" s="1"/>
  <c r="AN141" i="3"/>
  <c r="AO141" i="3" s="1"/>
  <c r="AN149" i="3"/>
  <c r="AO149" i="3" s="1"/>
  <c r="AN152" i="3"/>
  <c r="AO152" i="3" s="1"/>
  <c r="AN154" i="3"/>
  <c r="AO154" i="3" s="1"/>
  <c r="AN133" i="1"/>
  <c r="AM130" i="1"/>
  <c r="AN130" i="1" s="1"/>
  <c r="AL138" i="2"/>
  <c r="AM138" i="2" s="1"/>
  <c r="AO138" i="2" s="1"/>
  <c r="AM130" i="2"/>
  <c r="AN130" i="2" s="1"/>
  <c r="AO130" i="2" s="1"/>
  <c r="AO125" i="2"/>
  <c r="AN26" i="2"/>
  <c r="AO26" i="2" s="1"/>
  <c r="AN34" i="2"/>
  <c r="AO34" i="2" s="1"/>
  <c r="AN75" i="2"/>
  <c r="AO75" i="2" s="1"/>
  <c r="AN79" i="2"/>
  <c r="AO79" i="2" s="1"/>
  <c r="AN103" i="2"/>
  <c r="AO103" i="2" s="1"/>
  <c r="AN188" i="2"/>
  <c r="AO188" i="2" s="1"/>
  <c r="AN80" i="2"/>
  <c r="AO80" i="2" s="1"/>
  <c r="AN146" i="2"/>
  <c r="AO146" i="2" s="1"/>
  <c r="AN189" i="2"/>
  <c r="AO189" i="2" s="1"/>
  <c r="AN28" i="2"/>
  <c r="AO28" i="2" s="1"/>
  <c r="AN42" i="2"/>
  <c r="AO42" i="2" s="1"/>
  <c r="AN60" i="2"/>
  <c r="AO60" i="2" s="1"/>
  <c r="AN106" i="2"/>
  <c r="AO106" i="2" s="1"/>
  <c r="AN55" i="2"/>
  <c r="AO55" i="2" s="1"/>
  <c r="AN72" i="2"/>
  <c r="AO72" i="2" s="1"/>
  <c r="AN89" i="2"/>
  <c r="AO89" i="2" s="1"/>
  <c r="AN94" i="2"/>
  <c r="AO94" i="2" s="1"/>
  <c r="AN99" i="2"/>
  <c r="AO99" i="2" s="1"/>
  <c r="AN118" i="2"/>
  <c r="AO118" i="2" s="1"/>
  <c r="AN171" i="2"/>
  <c r="AO171" i="2" s="1"/>
  <c r="AN81" i="2"/>
  <c r="AO81" i="2" s="1"/>
  <c r="AN169" i="2"/>
  <c r="AO169" i="2" s="1"/>
  <c r="AN182" i="2"/>
  <c r="AO182" i="2" s="1"/>
  <c r="AN108" i="2"/>
  <c r="AO108" i="2" s="1"/>
  <c r="AN44" i="2"/>
  <c r="AO44" i="2" s="1"/>
  <c r="AN120" i="2"/>
  <c r="AO120" i="2" s="1"/>
  <c r="AN126" i="2"/>
  <c r="AO126" i="2" s="1"/>
  <c r="AN185" i="2"/>
  <c r="AO185" i="2" s="1"/>
  <c r="AN176" i="2"/>
  <c r="AO176" i="2" s="1"/>
  <c r="AN98" i="2"/>
  <c r="AO98" i="2" s="1"/>
  <c r="AN32" i="2"/>
  <c r="AO32" i="2" s="1"/>
  <c r="AN38" i="2"/>
  <c r="AO38" i="2" s="1"/>
  <c r="AN45" i="2"/>
  <c r="AO45" i="2" s="1"/>
  <c r="AN63" i="2"/>
  <c r="AO63" i="2" s="1"/>
  <c r="AN111" i="2"/>
  <c r="AO111" i="2" s="1"/>
  <c r="AN127" i="2"/>
  <c r="AO127" i="2" s="1"/>
  <c r="AN105" i="2"/>
  <c r="AO105" i="2" s="1"/>
  <c r="AN53" i="2"/>
  <c r="AO53" i="2" s="1"/>
  <c r="AN117" i="2"/>
  <c r="AO117" i="2" s="1"/>
  <c r="AN39" i="2"/>
  <c r="AO39" i="2" s="1"/>
  <c r="AN64" i="2"/>
  <c r="AO64" i="2" s="1"/>
  <c r="AN194" i="2"/>
  <c r="AO194" i="2" s="1"/>
  <c r="AN180" i="2"/>
  <c r="AO180" i="2" s="1"/>
  <c r="AN115" i="2"/>
  <c r="AO115" i="2" s="1"/>
  <c r="AN191" i="2"/>
  <c r="AO191" i="2" s="1"/>
  <c r="AN25" i="2"/>
  <c r="AO25" i="2" s="1"/>
  <c r="AN195" i="2"/>
  <c r="AO195" i="2" s="1"/>
  <c r="AO30" i="2"/>
  <c r="AO57" i="2"/>
  <c r="AO102" i="2"/>
  <c r="AN163" i="2"/>
  <c r="AO163" i="2" s="1"/>
  <c r="AO175" i="2"/>
  <c r="AN31" i="2"/>
  <c r="AO31" i="2" s="1"/>
  <c r="AN132" i="2"/>
  <c r="AO132" i="2" s="1"/>
  <c r="AN134" i="2"/>
  <c r="AO134" i="2" s="1"/>
  <c r="AN145" i="2"/>
  <c r="AO145" i="2" s="1"/>
  <c r="AN158" i="2"/>
  <c r="AO158" i="2" s="1"/>
  <c r="AN59" i="2"/>
  <c r="AO59" i="2" s="1"/>
  <c r="AN153" i="2"/>
  <c r="AO153" i="2" s="1"/>
  <c r="AO114" i="2"/>
  <c r="AN137" i="2"/>
  <c r="AO137" i="2" s="1"/>
  <c r="AN107" i="2"/>
  <c r="AO107" i="2" s="1"/>
  <c r="AN119" i="2"/>
  <c r="AO119" i="2" s="1"/>
  <c r="AN181" i="2"/>
  <c r="AO181" i="2" s="1"/>
  <c r="AN40" i="2"/>
  <c r="AO40" i="2" s="1"/>
  <c r="AN135" i="2"/>
  <c r="AO135" i="2" s="1"/>
  <c r="AN104" i="2"/>
  <c r="AO104" i="2" s="1"/>
  <c r="AN19" i="2"/>
  <c r="AO19" i="2" s="1"/>
  <c r="AN116" i="2"/>
  <c r="AO116" i="2" s="1"/>
  <c r="AN21" i="2"/>
  <c r="AO21" i="2" s="1"/>
  <c r="AN29" i="2"/>
  <c r="AO29" i="2" s="1"/>
  <c r="AN41" i="2"/>
  <c r="AO41" i="2" s="1"/>
  <c r="AN62" i="2"/>
  <c r="AO62" i="2" s="1"/>
  <c r="AN74" i="2"/>
  <c r="AO74" i="2" s="1"/>
  <c r="AN100" i="2"/>
  <c r="AO100" i="2" s="1"/>
  <c r="AN112" i="2"/>
  <c r="AO112" i="2" s="1"/>
  <c r="AN149" i="2"/>
  <c r="AO149" i="2" s="1"/>
  <c r="AN186" i="2"/>
  <c r="AO186" i="2" s="1"/>
  <c r="AN101" i="2"/>
  <c r="AO101" i="2" s="1"/>
  <c r="AN113" i="2"/>
  <c r="AO113" i="2" s="1"/>
  <c r="AN147" i="2"/>
  <c r="AO147" i="2" s="1"/>
  <c r="AN187" i="2"/>
  <c r="AO187" i="2" s="1"/>
  <c r="AN190" i="2"/>
  <c r="AO190" i="2" s="1"/>
  <c r="AN144" i="2"/>
  <c r="AO144" i="2" s="1"/>
  <c r="AN110" i="2"/>
  <c r="AO110" i="2" s="1"/>
  <c r="AN122" i="2"/>
  <c r="AO122" i="2" s="1"/>
  <c r="AO168" i="2"/>
  <c r="AN184" i="2"/>
  <c r="AO184" i="2" s="1"/>
  <c r="AN187" i="1"/>
  <c r="AN185" i="1"/>
  <c r="AN183" i="1"/>
  <c r="AN177" i="1"/>
  <c r="AN169" i="1"/>
  <c r="AN168" i="1"/>
  <c r="AN164" i="1"/>
  <c r="AN163" i="1"/>
  <c r="AN162" i="1"/>
  <c r="AN158" i="1"/>
  <c r="AN157" i="1"/>
  <c r="AN150" i="1"/>
  <c r="AN144" i="1"/>
  <c r="AN137" i="1"/>
  <c r="AN132" i="1"/>
  <c r="AN128" i="1"/>
  <c r="AN127" i="1"/>
  <c r="AN125" i="1"/>
  <c r="AN116" i="1"/>
  <c r="AN111" i="1"/>
  <c r="AN101" i="1"/>
  <c r="AN102" i="1"/>
  <c r="AN108" i="1"/>
  <c r="AN107" i="1"/>
  <c r="AN98" i="1"/>
  <c r="AN97" i="1"/>
  <c r="AN89" i="1"/>
  <c r="AN80" i="1"/>
  <c r="AN77" i="1"/>
  <c r="AN74" i="1"/>
  <c r="AN72" i="1"/>
  <c r="AN68" i="1"/>
  <c r="AN63" i="1"/>
  <c r="AN64" i="1"/>
  <c r="AN59" i="1"/>
  <c r="AN57" i="1"/>
  <c r="AN54" i="1"/>
  <c r="AN52" i="1"/>
  <c r="AN49" i="1"/>
  <c r="AN48" i="1"/>
  <c r="AN45" i="1"/>
  <c r="AN46" i="1"/>
  <c r="AN39" i="1"/>
  <c r="AN40" i="1"/>
  <c r="AN38" i="1"/>
  <c r="AN33" i="1"/>
  <c r="AN32" i="1"/>
  <c r="AN30" i="1"/>
  <c r="AN27" i="1"/>
  <c r="AN26" i="1"/>
  <c r="AN21" i="1"/>
  <c r="AK23" i="1"/>
  <c r="AL23" i="1" s="1"/>
  <c r="AN23" i="1" s="1"/>
  <c r="AG84" i="1"/>
  <c r="AK84" i="1" s="1"/>
  <c r="AL84" i="1" s="1"/>
  <c r="AN84" i="1" s="1"/>
  <c r="AL165" i="1"/>
  <c r="AN165" i="1" s="1"/>
  <c r="AN90" i="1"/>
  <c r="AH196" i="10" l="1"/>
  <c r="AO186" i="3" l="1"/>
</calcChain>
</file>

<file path=xl/sharedStrings.xml><?xml version="1.0" encoding="utf-8"?>
<sst xmlns="http://schemas.openxmlformats.org/spreadsheetml/2006/main" count="14972" uniqueCount="1277">
  <si>
    <t>TRA001</t>
  </si>
  <si>
    <t>4TRAX VEHICLE HIRE - HANDED OVER - W/OFF</t>
  </si>
  <si>
    <t>JOHN  PEDRO</t>
  </si>
  <si>
    <t>082 337 8870</t>
  </si>
  <si>
    <t>4traxvehiclehire@gmail.com</t>
  </si>
  <si>
    <t>Acc Written Off</t>
  </si>
  <si>
    <t>30 Days</t>
  </si>
  <si>
    <t>PO BOX 10391, Edenglen</t>
  </si>
  <si>
    <t>R</t>
  </si>
  <si>
    <t>APP001</t>
  </si>
  <si>
    <t>A.F. HUGO</t>
  </si>
  <si>
    <t xml:space="preserve">Leslyn </t>
  </si>
  <si>
    <t>011 873 2516</t>
  </si>
  <si>
    <t>leslyn@mweb.co.za</t>
  </si>
  <si>
    <t>Active</t>
  </si>
  <si>
    <t>Debit Order</t>
  </si>
  <si>
    <t>P O Box 4382, Germiston South</t>
  </si>
  <si>
    <t>ABCOTRONICS001</t>
  </si>
  <si>
    <t>ABCOTRONICS</t>
  </si>
  <si>
    <t>MICHELLE PEEL</t>
  </si>
  <si>
    <t>david@abcotronics.co.za</t>
  </si>
  <si>
    <t>120 ROBERTS ROAD, PIETERMARITZBURG</t>
  </si>
  <si>
    <t>South Africa</t>
  </si>
  <si>
    <t>ADRIAAN GERHARD LOUW</t>
  </si>
  <si>
    <t>083 304 1711</t>
  </si>
  <si>
    <t>riaanlouw@hotmail.com</t>
  </si>
  <si>
    <t>240 KONAVLE STREET, SINOVILLE, PRETORIA, 0182</t>
  </si>
  <si>
    <t>0182</t>
  </si>
  <si>
    <t>AIR001 - SKY</t>
  </si>
  <si>
    <t>AERZEN AIRGAS (PTY) LTD</t>
  </si>
  <si>
    <t xml:space="preserve"> </t>
  </si>
  <si>
    <t>011 474 2193</t>
  </si>
  <si>
    <t>btshabalala@aerzen.co.za</t>
  </si>
  <si>
    <t xml:space="preserve">Manual Payments </t>
  </si>
  <si>
    <t>P O BOX 43111, INDUSTRIA</t>
  </si>
  <si>
    <t>AIRPORT PETS</t>
  </si>
  <si>
    <t>NICOLENE FOUCHE</t>
  </si>
  <si>
    <t>011 396 3648</t>
  </si>
  <si>
    <t>charlfouche@ymail.com</t>
  </si>
  <si>
    <t>PO BOX 14420, BREDELL, 1623</t>
  </si>
  <si>
    <t>AJS001</t>
  </si>
  <si>
    <t>AJ SCHROEDER</t>
  </si>
  <si>
    <t>078 125 9486</t>
  </si>
  <si>
    <t>adriaans@tmcrane.co.za</t>
  </si>
  <si>
    <t>2 VALDEL HEEVER, CIRCLE, PARKRAND, BOKSBURG, 1463</t>
  </si>
  <si>
    <t>ALB001</t>
  </si>
  <si>
    <t>ALBERT BENNETT</t>
  </si>
  <si>
    <t xml:space="preserve">Albert Bennett </t>
  </si>
  <si>
    <t>060 776 6668</t>
  </si>
  <si>
    <t>albert.bennett.home@gmail.com</t>
  </si>
  <si>
    <t>P O BOX 17067, ATLASVILLE, BOKSBURG</t>
  </si>
  <si>
    <t>ADC001</t>
  </si>
  <si>
    <t>ALL-DANQUAH CC</t>
  </si>
  <si>
    <t xml:space="preserve">YAW ADJARE DANQUAH </t>
  </si>
  <si>
    <t>011 975 5006</t>
  </si>
  <si>
    <t>adjarious@hotmail.com</t>
  </si>
  <si>
    <t>PO BOX 2819, KEMPTON PARK</t>
  </si>
  <si>
    <t>STEEL001</t>
  </si>
  <si>
    <t>ALLIED STEELRODE (PTY) LTD</t>
  </si>
  <si>
    <t xml:space="preserve">MARISHCA </t>
  </si>
  <si>
    <t>010 216 0000</t>
  </si>
  <si>
    <t>creditor@alliedsteelrode.co.za</t>
  </si>
  <si>
    <t>P.O. BOX 11563, RANDHART 1457</t>
  </si>
  <si>
    <t>Luisa Ferriera no longer works for Steelrode, new contact person is Marishca, as per clinets e-mail dd 02/08/2017</t>
  </si>
  <si>
    <t>ANE001</t>
  </si>
  <si>
    <t>ANELIZIA KRUGER</t>
  </si>
  <si>
    <t>ANELIZIA  HORSWILL</t>
  </si>
  <si>
    <t>aneliziakruger@gmail.com</t>
  </si>
  <si>
    <t xml:space="preserve">22 DOUGLAS STREET, HOMESTEAD, GERMISTON </t>
  </si>
  <si>
    <t>Gauteng</t>
  </si>
  <si>
    <t>ARM001</t>
  </si>
  <si>
    <t>ARTHUR MEEK</t>
  </si>
  <si>
    <t>ARTHUR  MEEK</t>
  </si>
  <si>
    <t>011 840 7000</t>
  </si>
  <si>
    <t>arthurm@commrisk.co.za</t>
  </si>
  <si>
    <t>19 CARDIFF ROAD, KENSINGTON , 2094</t>
  </si>
  <si>
    <t>Johannesburg</t>
  </si>
  <si>
    <t>AST001 (ACC CLOSED)</t>
  </si>
  <si>
    <t>ASTRID KALIDY (ACC CLOSED)</t>
  </si>
  <si>
    <t xml:space="preserve">Astrid Kalify </t>
  </si>
  <si>
    <t>082 976 2892</t>
  </si>
  <si>
    <t>grundle@mweb.co.za</t>
  </si>
  <si>
    <t>Cancelled</t>
  </si>
  <si>
    <t>PO Box 1478, BUCCLIEUCH</t>
  </si>
  <si>
    <t>ATV</t>
  </si>
  <si>
    <t>ATV cc</t>
  </si>
  <si>
    <t xml:space="preserve">ANTHONY GLASS </t>
  </si>
  <si>
    <t>aglass@atv.co.za</t>
  </si>
  <si>
    <t>P.O. BOX 3198, HOUGHTON</t>
  </si>
  <si>
    <t>PRE001</t>
  </si>
  <si>
    <t>AVIS VAN RENTAL EASTERN &amp; NORTHERN GAUTENG -</t>
  </si>
  <si>
    <t>LINDA LAIDLAW</t>
  </si>
  <si>
    <t>011 392 5202</t>
  </si>
  <si>
    <t>linda.laidlaw@avisbudget.co.za</t>
  </si>
  <si>
    <t>PO BOX 319, ISANDO, 1600</t>
  </si>
  <si>
    <t>SCOU001</t>
  </si>
  <si>
    <t>AVIS VAN RENTAL SAMRAND</t>
  </si>
  <si>
    <t>LINDA  LAIDLAW</t>
  </si>
  <si>
    <t>BAR002</t>
  </si>
  <si>
    <t>BARLINE CATERING &amp; HOSPITALITY CC</t>
  </si>
  <si>
    <t>ANNA KRUGER</t>
  </si>
  <si>
    <t>011 346 2355</t>
  </si>
  <si>
    <t>admin@barline.co.za</t>
  </si>
  <si>
    <t>NO 6 DUBLIN ROAD, BRAMLEY VIEW, JHB 2090</t>
  </si>
  <si>
    <t>1125 - BLUE</t>
  </si>
  <si>
    <t>BLUE SKIES FRESH PRODUCE SA (PTY) LTD</t>
  </si>
  <si>
    <t>MAMPHO MOKOENA</t>
  </si>
  <si>
    <t>017 773 0780</t>
  </si>
  <si>
    <t>mampho.mokoena@blueskies.com</t>
  </si>
  <si>
    <t>PO BOX 1199, BALFOUR, 2410</t>
  </si>
  <si>
    <t>BRANDON001</t>
  </si>
  <si>
    <t>BRANDON BEZUIDENHOUT</t>
  </si>
  <si>
    <t>bezzie47@gmail.com</t>
  </si>
  <si>
    <t>8 NORMANSTONE ROAD, CAMPERDOWN, 3720</t>
  </si>
  <si>
    <t>BRIAN</t>
  </si>
  <si>
    <t>BRIAN MEADOWS</t>
  </si>
  <si>
    <t>0760119905</t>
  </si>
  <si>
    <t>briandewaldmeadows@gmail.com</t>
  </si>
  <si>
    <t>27 MULDER AVE, STRUBENVALE, SPRINGS 1559</t>
  </si>
  <si>
    <t>BUS001</t>
  </si>
  <si>
    <t>BUSISIWE LENDA MAHLANGU</t>
  </si>
  <si>
    <t>busiram123@gmail.com</t>
  </si>
  <si>
    <t>1 KENICK ROAD, SUNNYRIDGE, PRIMROSE</t>
  </si>
  <si>
    <t>BUZ001</t>
  </si>
  <si>
    <t>BUZZ BEZUIDENHOUT</t>
  </si>
  <si>
    <t xml:space="preserve">BUZZ BEZUIDENHOUT </t>
  </si>
  <si>
    <t>011 476 6214 / 084 567 9736</t>
  </si>
  <si>
    <t>buz@iafrica.com</t>
  </si>
  <si>
    <t>Postnet Suite 146 Northcliff, PO Box X17, Weltevreden Park</t>
  </si>
  <si>
    <t>CAN002</t>
  </si>
  <si>
    <t>CANDICE KLEYNHANS</t>
  </si>
  <si>
    <t>082 567 5423</t>
  </si>
  <si>
    <t>candice.kleynhans@gmail.com</t>
  </si>
  <si>
    <t>5 AFRI-VILLA, 7 AGOSTINO STREET, VERWOERDPARK, ALBERTON, 1449</t>
  </si>
  <si>
    <t>CARGO CRANKSHAFT REBUILDERS (PTY) LTD</t>
  </si>
  <si>
    <t xml:space="preserve">MARIUS COETZER </t>
  </si>
  <si>
    <t>011 873 6685</t>
  </si>
  <si>
    <t>marcoe@acenet.co.za</t>
  </si>
  <si>
    <t>21 MAIN REEF ROAD, PRIMROSE, GERMISTON</t>
  </si>
  <si>
    <t>CAS001</t>
  </si>
  <si>
    <t>CASTER JAN MAHLANGU</t>
  </si>
  <si>
    <t>0730657267/0730651267 /011 301 7100</t>
  </si>
  <si>
    <t>casterdbs@gmail.com</t>
  </si>
  <si>
    <t>31-1ST AVENUE, WYNBERG</t>
  </si>
  <si>
    <t>CHARL001</t>
  </si>
  <si>
    <t>CHARL SHAW</t>
  </si>
  <si>
    <t>076 011 7719</t>
  </si>
  <si>
    <t>charl.shaw02@gmail.com</t>
  </si>
  <si>
    <t>32 TRAMWAY ROAD, ROSEHILL DBN, NORTH DBN, 4051</t>
  </si>
  <si>
    <t>CONCISE001</t>
  </si>
  <si>
    <t>CONCISE PERFORMANCE FUELS</t>
  </si>
  <si>
    <t>JOHAN BOTHA</t>
  </si>
  <si>
    <t>adminteam@concisefuel.com</t>
  </si>
  <si>
    <t>8 KONKOLA, WOODMILL GOLF , ESTATE</t>
  </si>
  <si>
    <t>COU001</t>
  </si>
  <si>
    <t>COUNTRYWIDE GEARBOX REPAIRS CC</t>
  </si>
  <si>
    <t>MORNE UECKERMANN</t>
  </si>
  <si>
    <t>011 918 1136</t>
  </si>
  <si>
    <t>morne@cwgr.co.za</t>
  </si>
  <si>
    <t>PO BOX 25061, EAST RAND, 1462</t>
  </si>
  <si>
    <t>CRIS001</t>
  </si>
  <si>
    <t>CRISTOPHER FRITZ</t>
  </si>
  <si>
    <t>crisfritz06@gmail.com</t>
  </si>
  <si>
    <t>126 TWEEDY STR, BRENTHURST, BRAKPAN</t>
  </si>
  <si>
    <t>CUSTOM CAPITAL FINANCE PTY LTD (HOLDING ACC ONLY - USE SUB ACCOUNTS)</t>
  </si>
  <si>
    <t>SHUMANA MELWALL</t>
  </si>
  <si>
    <t>031 007 0777</t>
  </si>
  <si>
    <t>queries@customcapital.co.za</t>
  </si>
  <si>
    <t>COD</t>
  </si>
  <si>
    <t xml:space="preserve">UNIT 3A FIRST FLOOR, GLASS HOUSE MAIN BUILDING, 309 UMHLANGA ROCKS DRIVE </t>
  </si>
  <si>
    <t>UMHLANGA</t>
  </si>
  <si>
    <t>DAR001</t>
  </si>
  <si>
    <t>DA ROCHA INTERIORS</t>
  </si>
  <si>
    <t xml:space="preserve">NERINA BODDINGTON </t>
  </si>
  <si>
    <t>011 493 2001</t>
  </si>
  <si>
    <t>accounts@darocha.co.za</t>
  </si>
  <si>
    <t>PO BOX 1646,  MULBARTON</t>
  </si>
  <si>
    <t>DCS009 -SKY</t>
  </si>
  <si>
    <t>DATA CONNECTIVITY SOLUTIONS (Pty) Ltd</t>
  </si>
  <si>
    <t xml:space="preserve">RINA </t>
  </si>
  <si>
    <t>011 646 0950</t>
  </si>
  <si>
    <t>rina@dcsafrica.co.za</t>
  </si>
  <si>
    <t>P O BOX 95092, GRANT PARK</t>
  </si>
  <si>
    <t>DAYLEN JOSE WALTERS</t>
  </si>
  <si>
    <t>daylen@goodearthgroup.co.za</t>
  </si>
  <si>
    <t>19 JAY ROAD, FAIRLEADS, BENONI</t>
  </si>
  <si>
    <t>DCC001</t>
  </si>
  <si>
    <t>DCC TECHNOLOGIES (PTY) LTD</t>
  </si>
  <si>
    <t>MICHELLE HARIPERSADH</t>
  </si>
  <si>
    <t>011 201 8927</t>
  </si>
  <si>
    <t>michelle.haripersadh@dcctech.com</t>
  </si>
  <si>
    <t>POSTNET SUITE 77, PRIVATE BAG 66, CRAIGHALL</t>
  </si>
  <si>
    <t>DEL001</t>
  </si>
  <si>
    <t>DELABRA TRADING CC</t>
  </si>
  <si>
    <t xml:space="preserve">NEVASH </t>
  </si>
  <si>
    <t>ops@delabra.co.za</t>
  </si>
  <si>
    <t>PO BOX 2609, BEDFORDVIEW, 2008</t>
  </si>
  <si>
    <t>DONBRO001</t>
  </si>
  <si>
    <t>DONBRO ALUM ROCK (PTY) LTD</t>
  </si>
  <si>
    <t>JACKIE  JENKIN</t>
  </si>
  <si>
    <t>0114817444</t>
  </si>
  <si>
    <t>jackie@framework.co.za</t>
  </si>
  <si>
    <t>PO BOX 1105, HIGHLANDS WATH, 2037</t>
  </si>
  <si>
    <t>EPS001- (HOLDING ACC - DONT USE)</t>
  </si>
  <si>
    <t>E.P.S COURIER SERVICES (PTY) LTD - (HOLDING ACC - D</t>
  </si>
  <si>
    <t>011 418 2600</t>
  </si>
  <si>
    <t>Rochelle@epscourier.co.za</t>
  </si>
  <si>
    <t>POSTNET SUITE 10, PRIVATE BAG X 1569, GLENVISTA, 2058</t>
  </si>
  <si>
    <t>EDG001</t>
  </si>
  <si>
    <t>EDGE - TELEMATICS</t>
  </si>
  <si>
    <t xml:space="preserve">ZIKHO </t>
  </si>
  <si>
    <t>021 534 0516</t>
  </si>
  <si>
    <t>zaida@edgetelematics.com</t>
  </si>
  <si>
    <t>POSTNET SUITE NO 89, PRIVATE BAG X 19</t>
  </si>
  <si>
    <t>ELI001</t>
  </si>
  <si>
    <t>ELIZABETH JOUBERT</t>
  </si>
  <si>
    <t>liezel@hl.co.za</t>
  </si>
  <si>
    <t>11 BALI SANDS, VLEI AVE, POMONA, KEMPTON PARK, 1619</t>
  </si>
  <si>
    <t>ENE001</t>
  </si>
  <si>
    <t>ENERGYEASE (PTY) LTD</t>
  </si>
  <si>
    <t>CHERICE FULLER</t>
  </si>
  <si>
    <t>cherice@energy.co.za</t>
  </si>
  <si>
    <t>35 Theiler Lane, Irene Security Estate, 0157</t>
  </si>
  <si>
    <t>CENTURION</t>
  </si>
  <si>
    <t>EPILITE TRADING (PTY) LTD</t>
  </si>
  <si>
    <t>EUR001</t>
  </si>
  <si>
    <t>EURO STEEL</t>
  </si>
  <si>
    <t>ELOISE VOLSCHENK</t>
  </si>
  <si>
    <t>087 310 1900</t>
  </si>
  <si>
    <t>EVolschenk@eurosteel.co.za</t>
  </si>
  <si>
    <t>P O BOX 6200, MIDRAND</t>
  </si>
  <si>
    <t>FEM001</t>
  </si>
  <si>
    <t>FEMDEX SERVICES PTY LTD - HANDED OVER</t>
  </si>
  <si>
    <t xml:space="preserve">Carlos  </t>
  </si>
  <si>
    <t>072 608 8000</t>
  </si>
  <si>
    <t>kkcarriers@gmail.com</t>
  </si>
  <si>
    <t>Handed Over</t>
  </si>
  <si>
    <t>SUITE 1022, POSTNET PRIVATE X7297, WITBANK</t>
  </si>
  <si>
    <t>FIRSTG</t>
  </si>
  <si>
    <t>FIRST GLOVE RECLAMATION cc</t>
  </si>
  <si>
    <t xml:space="preserve">GIDON FAINMAN </t>
  </si>
  <si>
    <t>011 974 1122</t>
  </si>
  <si>
    <t>gidon@netactive.co.za</t>
  </si>
  <si>
    <t>P.O. BOX 345, ISANDO</t>
  </si>
  <si>
    <t>FLA001</t>
  </si>
  <si>
    <t>FLAMING SILVER TRADING PTY LTD 254 - (ACC CLOSED</t>
  </si>
  <si>
    <t xml:space="preserve">Mariette  </t>
  </si>
  <si>
    <t>017 647 6616</t>
  </si>
  <si>
    <t>mariette@flamingsilver.co.za</t>
  </si>
  <si>
    <t>Contract Complete</t>
  </si>
  <si>
    <t>PO BOX 1949, BETHAL</t>
  </si>
  <si>
    <t>FRAMEW</t>
  </si>
  <si>
    <t>FRAMEWORK PROPERTY SERVICES cc</t>
  </si>
  <si>
    <t xml:space="preserve">JACKIE </t>
  </si>
  <si>
    <t xml:space="preserve">087 238 1832 </t>
  </si>
  <si>
    <t>P.O. BOX 1161, HIGHLANDS NORTH, JOHANNESBURG</t>
  </si>
  <si>
    <t>FSI001</t>
  </si>
  <si>
    <t>FREIGHT SURVEILLANCE INTERNATIONAL</t>
  </si>
  <si>
    <t xml:space="preserve">FRANS </t>
  </si>
  <si>
    <t>011 394 7601</t>
  </si>
  <si>
    <t>melissa@fsi.co.za</t>
  </si>
  <si>
    <t>P O BOX 10428, KEMPTON PARK</t>
  </si>
  <si>
    <t>FUE001</t>
  </si>
  <si>
    <t>FUEL SPEC (PTY) LTD</t>
  </si>
  <si>
    <t>YVONNE VAN DER WESTHUIZEN</t>
  </si>
  <si>
    <t>010 591 0307</t>
  </si>
  <si>
    <t>accounts@fuelspec.co.za</t>
  </si>
  <si>
    <t>PO BOX 17563, RANDHART, 1457</t>
  </si>
  <si>
    <t>G5001</t>
  </si>
  <si>
    <t>G5 PARTNERS (PTY) LTD</t>
  </si>
  <si>
    <t>JAKE DANIELS GLASS</t>
  </si>
  <si>
    <t>078 929 8614</t>
  </si>
  <si>
    <t>jake@g5p.co</t>
  </si>
  <si>
    <t>4A NORTHWOLD DRIVE, UNIT5 SAXONWORLD, 2132</t>
  </si>
  <si>
    <t>GAB001</t>
  </si>
  <si>
    <t>GABI MURPHY</t>
  </si>
  <si>
    <t>GABI  MURPHY</t>
  </si>
  <si>
    <t>082 771 7673</t>
  </si>
  <si>
    <t>gabim@commrisk.co.za</t>
  </si>
  <si>
    <t>254, PINEGOWRIE</t>
  </si>
  <si>
    <t>GAR001</t>
  </si>
  <si>
    <t>GARY SHANDLER</t>
  </si>
  <si>
    <t xml:space="preserve">GARY SHANDLER </t>
  </si>
  <si>
    <t>082 782 1886</t>
  </si>
  <si>
    <t>garyshan1@gmail.com</t>
  </si>
  <si>
    <t>6 JACK ROAD, NORWOOD</t>
  </si>
  <si>
    <t>GOO001</t>
  </si>
  <si>
    <t xml:space="preserve">GOOD EARTH GROUP (PTY) LTD </t>
  </si>
  <si>
    <t xml:space="preserve">DANIELLA </t>
  </si>
  <si>
    <t>061 914 3151</t>
  </si>
  <si>
    <t>Danielle van Zyl &lt;danielle@goodearthgroup.co.za&gt;</t>
  </si>
  <si>
    <t>PO BOX 12038, BENONI</t>
  </si>
  <si>
    <t>DE AND RE - JOBS 8980 AND 8981</t>
  </si>
  <si>
    <t>GRAV001</t>
  </si>
  <si>
    <t>GRAVMAX AFRICA (PTY) LTD</t>
  </si>
  <si>
    <t>ELMARIE SWARTS</t>
  </si>
  <si>
    <t>0122001010</t>
  </si>
  <si>
    <t>elmarie@gravmaxsa.com</t>
  </si>
  <si>
    <t>POSTNET SUITE 10, PRIVATE BAG X0003, IFAFI 0260</t>
  </si>
  <si>
    <t>HAN001</t>
  </si>
  <si>
    <t>HANNES V D WALT</t>
  </si>
  <si>
    <t>HANNES VAN DER WALT</t>
  </si>
  <si>
    <t>082 557 0927</t>
  </si>
  <si>
    <t>sharlene@exg.co.za</t>
  </si>
  <si>
    <t>P O Box 146, DERDEPOORTPARK, PRETORIA</t>
  </si>
  <si>
    <t>0035</t>
  </si>
  <si>
    <t>HVN001</t>
  </si>
  <si>
    <t>HANNES VAN NIEKERK</t>
  </si>
  <si>
    <t>ESTE VAN NIEKERK</t>
  </si>
  <si>
    <t>073 103 5995</t>
  </si>
  <si>
    <t>estevanniekerk@gmail.com</t>
  </si>
  <si>
    <t>8 AUSTER CRESENT, IMPALA PARK, BOKSBURG, 1459</t>
  </si>
  <si>
    <t>MACHARVEY</t>
  </si>
  <si>
    <t>HARVEY ROOFING PRODUCTS - DIV OF MSCSA (PTY) LTD</t>
  </si>
  <si>
    <t>PETRO SMALL</t>
  </si>
  <si>
    <t>011 871 0117</t>
  </si>
  <si>
    <t>petro.small@macsteel.co.za</t>
  </si>
  <si>
    <t>P.O. BOX 420, BRAKPAN</t>
  </si>
  <si>
    <t>REC REM R 7801.90 DD 31/03/2017  INV 38050 DD 27/02/2017 - R 5884.00 INV 38051 DD 27/02/2017 - R 1917.90</t>
  </si>
  <si>
    <t>HENDRE COETZER</t>
  </si>
  <si>
    <t>076 791 3927</t>
  </si>
  <si>
    <t>ccvadmin@acenet.co.za</t>
  </si>
  <si>
    <t>25 ZENITH RD, SOLHEIM, GERMISTON</t>
  </si>
  <si>
    <t>HENRO</t>
  </si>
  <si>
    <t>HENRO BULK CARRIERS (PTY) LTD</t>
  </si>
  <si>
    <t>MELANIE  HAVENGA</t>
  </si>
  <si>
    <t>053 841 0935</t>
  </si>
  <si>
    <t>admin2@henro.co.za</t>
  </si>
  <si>
    <t>On Hold</t>
  </si>
  <si>
    <t>P O BOX 562, KIMBERLEY, .</t>
  </si>
  <si>
    <t>HIL001 - SKY</t>
  </si>
  <si>
    <t>HILTON MARK DESIGN CC</t>
  </si>
  <si>
    <t xml:space="preserve">ANGIE </t>
  </si>
  <si>
    <t>011 021 1133</t>
  </si>
  <si>
    <t>hilton@hmdesign.co.za</t>
  </si>
  <si>
    <t>P O BOX 1712, HOUGHTON</t>
  </si>
  <si>
    <t>HIT001</t>
  </si>
  <si>
    <t>HITACHI CONSTRUCTION MACHINERY SOUTHERN AFRICA CO (PTY) LTD</t>
  </si>
  <si>
    <t>GLENDA VAN HEERDEN</t>
  </si>
  <si>
    <t>011 841 7792/011841-7741</t>
  </si>
  <si>
    <t>P.O. BOX 6331, DUNSWART</t>
  </si>
  <si>
    <t>ICO001</t>
  </si>
  <si>
    <t>ICONIC VENTURES (PTY) LTD</t>
  </si>
  <si>
    <t>MUZI SKOSANA</t>
  </si>
  <si>
    <t>0100352615</t>
  </si>
  <si>
    <t>accounts@iconicventures.co.za</t>
  </si>
  <si>
    <t>POSTNET SUITE 220, PRIVATE BAG X121, HALFWAY HOUSE 1685</t>
  </si>
  <si>
    <t>INANI001</t>
  </si>
  <si>
    <t>INANI INGREDRENTS (PTY) LTD</t>
  </si>
  <si>
    <t>LANE VAN DER MERWE</t>
  </si>
  <si>
    <t>012 653 0994</t>
  </si>
  <si>
    <t>lane@inani-ingr.co.za</t>
  </si>
  <si>
    <t>PO BOX 556, GROBLERSDAL</t>
  </si>
  <si>
    <t>INTANDO001</t>
  </si>
  <si>
    <t>INTANDO YESINTU TRADING</t>
  </si>
  <si>
    <t>ANGEL  MABOI</t>
  </si>
  <si>
    <t>078 769 8624</t>
  </si>
  <si>
    <t>anmbombi@gmail.com</t>
  </si>
  <si>
    <t>104 ASTOR RD, WELGEDACHT, SPRINGS</t>
  </si>
  <si>
    <t>IFC001</t>
  </si>
  <si>
    <t>INTERFREIGHT CARGO PTY LTD</t>
  </si>
  <si>
    <t xml:space="preserve">SEJENG LEROTHOLI </t>
  </si>
  <si>
    <t>011 452 0520</t>
  </si>
  <si>
    <t>jacob@inter-freight.co.za</t>
  </si>
  <si>
    <t>PO BOX 8543, EDENGLEN</t>
  </si>
  <si>
    <t>INT001</t>
  </si>
  <si>
    <t>INTERSPARES PTY LTD</t>
  </si>
  <si>
    <t xml:space="preserve">THILOSHENI PREMRAJ </t>
  </si>
  <si>
    <t>011 402 3483 / 083 781 6743</t>
  </si>
  <si>
    <t>thilo@interspares.co.za</t>
  </si>
  <si>
    <t>5878 , JOHANNESBURG</t>
  </si>
  <si>
    <t xml:space="preserve">JACOBUS </t>
  </si>
  <si>
    <t>JACOBUS CASPER NEL</t>
  </si>
  <si>
    <t>JACOBUS CASPER  NEL</t>
  </si>
  <si>
    <t>081 5760 701</t>
  </si>
  <si>
    <t>kobusnl@live.com</t>
  </si>
  <si>
    <t>UNIT 53 OLIM PARK, 38 PAUL SMIT STREET, RAVENSWOOD, BOKSBURG 1459</t>
  </si>
  <si>
    <t>JCCM001</t>
  </si>
  <si>
    <t>JCCM AGRI TRADING PTY LTD</t>
  </si>
  <si>
    <t>JOHANN VAN NIEKERK</t>
  </si>
  <si>
    <t>082 608 0999</t>
  </si>
  <si>
    <t>jccmagri@gmail.com</t>
  </si>
  <si>
    <t>PO BOX 52, DERBY, 0347</t>
  </si>
  <si>
    <t>JCJ001</t>
  </si>
  <si>
    <t>JCJ FUEL SERVICES PTY LTD</t>
  </si>
  <si>
    <t>CONSTANT  CLASSEN</t>
  </si>
  <si>
    <t>jcjfuels@gmail.com</t>
  </si>
  <si>
    <t>77 MINNAAR STR, VAALPARK, SASOLBURG, 1947</t>
  </si>
  <si>
    <t>JL COETZER</t>
  </si>
  <si>
    <t>JOHAN COETZER</t>
  </si>
  <si>
    <t>082 956 9721</t>
  </si>
  <si>
    <t>johancoetzer@truenw.co.za</t>
  </si>
  <si>
    <t>PO BOX 413, VENTERSDORP , FARM MORSENZON VENTERDORP A13</t>
  </si>
  <si>
    <t>JOH001</t>
  </si>
  <si>
    <t>JOHAN LOUBSER</t>
  </si>
  <si>
    <t xml:space="preserve">Johan Loubser </t>
  </si>
  <si>
    <t>0825552025</t>
  </si>
  <si>
    <t>loupiejl@gmail.com</t>
  </si>
  <si>
    <t>PO BOX 1592, RUSTENBURG</t>
  </si>
  <si>
    <t>0300</t>
  </si>
  <si>
    <t xml:space="preserve">JOHANNES </t>
  </si>
  <si>
    <t>JOHANNES JUSTUS PITOUT</t>
  </si>
  <si>
    <t>JOHANNES PITOUT</t>
  </si>
  <si>
    <t>0834122795</t>
  </si>
  <si>
    <t>bertha@framework.co.za</t>
  </si>
  <si>
    <t>41 - 6th AVENUE, HIGHLANDS NORTH, 2192</t>
  </si>
  <si>
    <t>JP001</t>
  </si>
  <si>
    <t>JP AND L TRANSPORT SOLUTIONS CC - HANDED OVER</t>
  </si>
  <si>
    <t>JAQUES STRUWIG</t>
  </si>
  <si>
    <t>079 526 6843</t>
  </si>
  <si>
    <t>jplsolutionscc@gmail.com</t>
  </si>
  <si>
    <t>PO BOX 1740, SASOLBURG</t>
  </si>
  <si>
    <t>KARGO LOGISTICS - (HOLDING COMPANY)</t>
  </si>
  <si>
    <t>KARGO LOGISTICS (PTY) LTD - (HOLDING COMPANY)</t>
  </si>
  <si>
    <t xml:space="preserve">SEAN </t>
  </si>
  <si>
    <t>0861152746</t>
  </si>
  <si>
    <t>robert@kargo.co.za</t>
  </si>
  <si>
    <t>P.O. BOX 75100, GARDENVIEW</t>
  </si>
  <si>
    <t>KARGO LONG</t>
  </si>
  <si>
    <t>KARGO LONG DISTANCE PTY LTD</t>
  </si>
  <si>
    <t>STEPHENS SELEKE</t>
  </si>
  <si>
    <t>086 115 2746</t>
  </si>
  <si>
    <t>shaun@kargo.co.za</t>
  </si>
  <si>
    <t>KARGO NATIONAL - (HOLDING COMPANY)</t>
  </si>
  <si>
    <t>KARGO NATIONAL PTY LTD - (HOLDING COMPANY)</t>
  </si>
  <si>
    <t>REBECCA MAJOLA</t>
  </si>
  <si>
    <t>stephens@kargo.co.za</t>
  </si>
  <si>
    <t>KNO001</t>
  </si>
  <si>
    <t>KARIN NOTHNAGEL</t>
  </si>
  <si>
    <t xml:space="preserve">KARIN NOTHNAGEL </t>
  </si>
  <si>
    <t>011 871 0105</t>
  </si>
  <si>
    <t>karin.nothnagel@macsteel.co.za</t>
  </si>
  <si>
    <t>97 VAN BERGEN ST, BRACKENHURST, ALBERTON</t>
  </si>
  <si>
    <t>KENBERT</t>
  </si>
  <si>
    <t>KENBERT LOGISTICS</t>
  </si>
  <si>
    <t xml:space="preserve">ROCKY BAKOS/TRUDY </t>
  </si>
  <si>
    <t>011 865 5849</t>
  </si>
  <si>
    <t>accounts@kenbert.co.za</t>
  </si>
  <si>
    <t>13 COMMERCIAL RD, WADEVILLE</t>
  </si>
  <si>
    <t>KERIZZMA STEEL PTY LTD</t>
  </si>
  <si>
    <t>011 616 7405</t>
  </si>
  <si>
    <t>kelly@kerizzma.co.za</t>
  </si>
  <si>
    <t>PO BOX 53297, TROYVILLE, 2136</t>
  </si>
  <si>
    <t>KLAV001</t>
  </si>
  <si>
    <t>KLAVER PLANT HIRE</t>
  </si>
  <si>
    <t>WYNAND KLAVER</t>
  </si>
  <si>
    <t>wynand@lowveldsprings.co.za</t>
  </si>
  <si>
    <t>20 MACPHERSON STREET, BARBETON, MPUMALANGA</t>
  </si>
  <si>
    <t>LECE001</t>
  </si>
  <si>
    <t>L.E.C.E</t>
  </si>
  <si>
    <t>BRIAND GK MUNETSI</t>
  </si>
  <si>
    <t>0761775260</t>
  </si>
  <si>
    <t>accounts@lece.co.za</t>
  </si>
  <si>
    <t>1 HYACINTH CLOSE, POLOKWANE, LIMPOPO</t>
  </si>
  <si>
    <t>LAT001</t>
  </si>
  <si>
    <t>LATCOMED C</t>
  </si>
  <si>
    <t xml:space="preserve"> MARIETTE</t>
  </si>
  <si>
    <t>083-231-4977</t>
  </si>
  <si>
    <t>marietta@rddacro.co.za</t>
  </si>
  <si>
    <t>PO BOX 92051, Mooikloof</t>
  </si>
  <si>
    <t>0059</t>
  </si>
  <si>
    <t>LEBONE 11 COLLEGE OF THE ROYAL BAFOKENG</t>
  </si>
  <si>
    <t>LEBOGANG KOOPA</t>
  </si>
  <si>
    <t>0145661510</t>
  </si>
  <si>
    <t>lebogangkoopa@lebonecollege.co.za</t>
  </si>
  <si>
    <t>PO BOX 2623, PHOKENG, 0335</t>
  </si>
  <si>
    <t>LINK001</t>
  </si>
  <si>
    <t>LINKTEL CC TA MULTICOMM</t>
  </si>
  <si>
    <t>GRAHAM NOEL MCARTHUR</t>
  </si>
  <si>
    <t>011 918 0771</t>
  </si>
  <si>
    <t>graham@multicomm.co.za</t>
  </si>
  <si>
    <t>1 ENGEL &amp; TRUCHARDT ROAD, RAVENSWOOD BOKSBURG</t>
  </si>
  <si>
    <t>LIZ001</t>
  </si>
  <si>
    <t>LIZELLE NORTJE</t>
  </si>
  <si>
    <t xml:space="preserve">LIZELLE NORTJE </t>
  </si>
  <si>
    <t>083 635 5599</t>
  </si>
  <si>
    <t>lizelle.nortje@za.afrisam.com</t>
  </si>
  <si>
    <t>9 AMARANT STREET, WELTEVREDENPARK, ROODEPOORT</t>
  </si>
  <si>
    <t>LTS001</t>
  </si>
  <si>
    <t>LTS BULK TRANSPORT</t>
  </si>
  <si>
    <t xml:space="preserve">BELINDA </t>
  </si>
  <si>
    <t>011 742 1073</t>
  </si>
  <si>
    <t>info@ltsbulk.co.za</t>
  </si>
  <si>
    <t xml:space="preserve">234 Isando </t>
  </si>
  <si>
    <t>LUBERN</t>
  </si>
  <si>
    <t>LUBERN VEEVOERE (Pty) Ltd</t>
  </si>
  <si>
    <t xml:space="preserve">LUBERN </t>
  </si>
  <si>
    <t>053 474 1685</t>
  </si>
  <si>
    <t>fin@lubern.co.za</t>
  </si>
  <si>
    <t>POSBUS 687, HARTSWATER</t>
  </si>
  <si>
    <t>MAB001</t>
  </si>
  <si>
    <t>MABOI LOGISTICS</t>
  </si>
  <si>
    <t>LEBOGANG  MABOI</t>
  </si>
  <si>
    <t>lebo@maboilogistics.co.za</t>
  </si>
  <si>
    <t>PO BOX 1238, SABIE 1260</t>
  </si>
  <si>
    <t>MCC001</t>
  </si>
  <si>
    <t>MACSTEEL COIL PROCESSING - DIV OF MSCSA  (PTY) LTD</t>
  </si>
  <si>
    <t>011 871 0122</t>
  </si>
  <si>
    <t>P. O. Box 7729, JOHANNESBRUG</t>
  </si>
  <si>
    <t>MACEXP</t>
  </si>
  <si>
    <t>MACSTEEL EXPORTS</t>
  </si>
  <si>
    <t>011 418 1000</t>
  </si>
  <si>
    <t>252 DYSON ROAD, WADEVILLE, GERMISTON</t>
  </si>
  <si>
    <t>AS PER CARINA, THIS BILLING WAS INCORRECT, THIS IS A VECH AND BILLING SHOULD BE 341.03, SO CHANGED WITH BILLING INCREASE IN DEC 2017</t>
  </si>
  <si>
    <t>MEK001</t>
  </si>
  <si>
    <t>MACSTEEL EXPRESS KLERKDORP (PTY) LTD</t>
  </si>
  <si>
    <t>JEANINE VAN TONDER</t>
  </si>
  <si>
    <t>jeanine.vantonder@macsteelexpress.co.za</t>
  </si>
  <si>
    <t>3 TEAK AVE, KLERKINDUSTRIA, KLERKDORP</t>
  </si>
  <si>
    <t>MEN001</t>
  </si>
  <si>
    <t>MACSTEEL EXPRESS NELSPRUIT (PTY) LTD</t>
  </si>
  <si>
    <t>013 785 7160</t>
  </si>
  <si>
    <t>leshia.cardoso@macsteelexpress.co.za</t>
  </si>
  <si>
    <t>858 NELSPRUIT, MBOMBEL, 1200</t>
  </si>
  <si>
    <t>MACSTEEL EXPRESS PTY LTD</t>
  </si>
  <si>
    <t>MICHELLE V.D WESTHUIZEN</t>
  </si>
  <si>
    <t>011 871 4980</t>
  </si>
  <si>
    <t>nicolene.manthe@macsteelexpress.co.za</t>
  </si>
  <si>
    <t>233 BARBARA ROAD, TUNNEY, ISANDO</t>
  </si>
  <si>
    <t>0</t>
  </si>
  <si>
    <t>MEW001</t>
  </si>
  <si>
    <t>MACSTEEL EXPRESS WELKOM (PTY) LTD</t>
  </si>
  <si>
    <t>JEANINE STRYDOM</t>
  </si>
  <si>
    <t>057 391 1181</t>
  </si>
  <si>
    <t>jeanine.strydom@macsteelexpress.co.za</t>
  </si>
  <si>
    <t>12 SECOND STREET, VOORSPOED, WELKOM</t>
  </si>
  <si>
    <t>MACFLUID</t>
  </si>
  <si>
    <t>MACSTEEL FLUID CONTROL - DIV OF MSCSA (PTY) LTD</t>
  </si>
  <si>
    <t>011 871 0395</t>
  </si>
  <si>
    <t>P.O. BOX14585, WADEVILLE</t>
  </si>
  <si>
    <t>REM REC - DD 31/03/2017 - R 19684.00  INV 37677 DD 08/02/2017 - R 399.00 INV 37678 DD 08/02/2017 - R 855.00 INV 37679 DD 08/02/2017 -R 855.00 INV 37778 DD 20/02/2017 - JHB - R7445.58 INV 37789 DD 20/02/2017 - CTP - R 3870.42 INV 37790 DD 20/02/2017 - DBN - R 4879.98 INV 37791 DD 20/02/2017 - R/BAY - R 1379.82</t>
  </si>
  <si>
    <t>MACSECUNDA</t>
  </si>
  <si>
    <t>MACSTEEL FLUID CONTROL SECUNDA</t>
  </si>
  <si>
    <t>011 871 0240</t>
  </si>
  <si>
    <t>PLOT 8908, OLD CHARLES CILLIERS ROADS, EXT 67, SECUNDA, 2301</t>
  </si>
  <si>
    <t>MACHQ</t>
  </si>
  <si>
    <t>MACSTEEL SERVICE CENTRE - DIV OF MSCSA (PTY) LTD</t>
  </si>
  <si>
    <t>011 871 0150</t>
  </si>
  <si>
    <t>P O BOX 7729, JOHANNESBURG</t>
  </si>
  <si>
    <t>MACDUNSWART</t>
  </si>
  <si>
    <t>MACSTEEL SPECIAL STEELS - DIV OF MSCSA  (PTY) LTD</t>
  </si>
  <si>
    <t>011 871 0000</t>
  </si>
  <si>
    <t>P.O. BOX 6130, DUNSWART</t>
  </si>
  <si>
    <t xml:space="preserve">REC REM DD 31/03/2017 (12181.32) INV 37768 </t>
  </si>
  <si>
    <t>MACSPEC</t>
  </si>
  <si>
    <t>MACSTEEL SPECIAL STEELS - KZN - DIV OF MSCSA (PTY) LTD</t>
  </si>
  <si>
    <t>P.O. BOX 1757, DURBAN</t>
  </si>
  <si>
    <t>MACBLOEM</t>
  </si>
  <si>
    <t>MACSTEEL TRADING BLOEMFONTEIN - DIV OF MSCSA (PTY) LTD</t>
  </si>
  <si>
    <t>011 871 0409</t>
  </si>
  <si>
    <t>P.O. BOX 3989, BLOEMFONTEIN</t>
  </si>
  <si>
    <t>MACBRI</t>
  </si>
  <si>
    <t>MACSTEEL TRADING BRIGHT BAR - DIV OF MSCSA  (PTY) LTD</t>
  </si>
  <si>
    <t>011 871 0190</t>
  </si>
  <si>
    <t>P.O. BOX 120, MEYERTON</t>
  </si>
  <si>
    <t>MACCT</t>
  </si>
  <si>
    <t>MACSTEEL TRADING CAPE TOWN - DIV OF MSCSA  (PTY) LTD</t>
  </si>
  <si>
    <t>011 871 0196</t>
  </si>
  <si>
    <t>P.O. BOX 824, BELLVILLE</t>
  </si>
  <si>
    <t>REC REM - DD 31/03/2017 INV 37714 DD 17/02/2017 - R 855.00 INV 37770 DD 20/02/2017 - R 36126.00</t>
  </si>
  <si>
    <t>MACDBN</t>
  </si>
  <si>
    <t>MACSTEEL TRADING DURBAN  - DIV OF MSCSA (PTY) LTD</t>
  </si>
  <si>
    <t xml:space="preserve">REM REC R 39721.25 DD 31/03/2017 INV 37780 DD 20/02/2017 - DBN - R 21 997.44 INV 37794 DD 20/02/2017 - P/SHEP - R 2288.16 INV 37795 20/02/2017 - R/BAY - R 4946.58 INV 37796 20/02/2007 - NEWCAST - R 4845.36 INV 38048 DD 27/02/2017 - R 399.00 INV 38052 DD 27/02/2017 - R 5884.00  </t>
  </si>
  <si>
    <t>MACGERM</t>
  </si>
  <si>
    <t>MACSTEEL TRADING GERMISTON - DIV OF MSCSA 2005 (PTY) LD</t>
  </si>
  <si>
    <t>P.O. BOX 7729, JOHANNESBURG</t>
  </si>
  <si>
    <t>WJJ073GP, CARINA AT TIME OF PRICE INCREASE IN DEC 2017, SAID THIS VECH WAS SOLD, AND I WAS TO REMOVE OFF THE BILLING</t>
  </si>
  <si>
    <t>MACSC</t>
  </si>
  <si>
    <t>MACSTEEL TRADING HEAD OFFICE - DIV OF MSCSA (PTY) LTD</t>
  </si>
  <si>
    <t>011 871 4820</t>
  </si>
  <si>
    <t>P.O. BOX 2762, JOHANNESBURG</t>
  </si>
  <si>
    <t>MACPHAL</t>
  </si>
  <si>
    <t>MACSTEEL TRADING PHALABORWA - DIV OF MSCSA (PTY) LTD</t>
  </si>
  <si>
    <t>P.O. BOX 1699, PHALABORWA</t>
  </si>
  <si>
    <t>REC REM DD 31/03/2017 INV 37748 DD 20/02/2017 - R 5585.88</t>
  </si>
  <si>
    <t>MACWADEVILLE</t>
  </si>
  <si>
    <t>MACSTEEL TRADING PIPES, FITTINGS &amp; FLANGES</t>
  </si>
  <si>
    <t>011 871 0139</t>
  </si>
  <si>
    <t>P.O. BOX 14252, WADEVILLE</t>
  </si>
  <si>
    <t>REC REM - DD 31/03/2017 INV 37760 - DD 20/02/2017 - R 14539.38</t>
  </si>
  <si>
    <t>MACPE</t>
  </si>
  <si>
    <t>MACSTEEL TRADING PORT ELIZABETH - DIV OF MSCSA  (PTY) LTD</t>
  </si>
  <si>
    <t>011 871 0273</t>
  </si>
  <si>
    <t>P.O. BOX 774, PORT ELIZABETH</t>
  </si>
  <si>
    <t>MACTP</t>
  </si>
  <si>
    <t>MACSTEEL TUBE &amp; PIPE PTY LTD - DIV OF MSCSA (PTY) LTD</t>
  </si>
  <si>
    <t>011 871 0258</t>
  </si>
  <si>
    <t>P.O. BOX 13640, WITFIELD</t>
  </si>
  <si>
    <t>MCT001</t>
  </si>
  <si>
    <t>MAIBAZE CRANE &amp; TRUCK HIRE</t>
  </si>
  <si>
    <t xml:space="preserve">DOROTHY SHROEDER </t>
  </si>
  <si>
    <t>011 868 4103</t>
  </si>
  <si>
    <t>dorothys@tmcrane.co.za</t>
  </si>
  <si>
    <t>PO BOX 17880, Randhart, Alberton</t>
  </si>
  <si>
    <t>AS PER CLIENT (E-MAIL DD 15/09/2017) THEIR CORRECT VAT NO IS 4620217572</t>
  </si>
  <si>
    <t>MANI001</t>
  </si>
  <si>
    <t>MANIE VD SCHYFF</t>
  </si>
  <si>
    <t xml:space="preserve">Manie vd Schyff </t>
  </si>
  <si>
    <t>082 568 1456</t>
  </si>
  <si>
    <t>manie.vdschyff@vrn.co.za</t>
  </si>
  <si>
    <t>4 KIEPERSOL AVE, JIM FOUCHE PARK, WELKOM</t>
  </si>
  <si>
    <t xml:space="preserve"> On Tue, 9 Oct 2018 at 09:59, Peggy Zwane &lt; peggy@soltrack.co.za&gt; wrote:  Good day   Leandra - please may you request a beame certificate for this vehicle. HFK735FS - BEAME: 72216144  Karen/Claudia - please update the reg from chassis to the one as mentioned above. Please may you check if we billed this client last month?  thanks ladies  Kind Regards  Peggy Zwane</t>
  </si>
  <si>
    <t>MARCUS</t>
  </si>
  <si>
    <t>MARCUS GOLDRING</t>
  </si>
  <si>
    <t>mgoldring@mweb.co.za</t>
  </si>
  <si>
    <t>92143, 2117 NORWOOD, JOHANNESBURG</t>
  </si>
  <si>
    <t>MIL001</t>
  </si>
  <si>
    <t>MARIUS PETRUS MILLS</t>
  </si>
  <si>
    <t>MARIUS PETRUS  MILLS</t>
  </si>
  <si>
    <t>mariusmills10@gmail.com</t>
  </si>
  <si>
    <t>8 STRAUSS STREET, WITFIELD, BIKSBURG, 1459</t>
  </si>
  <si>
    <t>MARKUS J. STANDER</t>
  </si>
  <si>
    <t>082 551 8372</t>
  </si>
  <si>
    <t>markuss@alliedsteelrode.co.za</t>
  </si>
  <si>
    <t>PLOT 91  5TH STREET, SPAARWATER, HEIDELBERG</t>
  </si>
  <si>
    <t>MAYS2245</t>
  </si>
  <si>
    <t>MAYSENE LOGISTICS  (Pty) Ltd</t>
  </si>
  <si>
    <t>083 272 5895</t>
  </si>
  <si>
    <t>reneiloe@maysene.co.za</t>
  </si>
  <si>
    <t>3105 IBIS DRIVE, WATERFALL COUNTRY ESTATE</t>
  </si>
  <si>
    <t>MIDRAND</t>
  </si>
  <si>
    <t>MELODY001</t>
  </si>
  <si>
    <t>MELODY WOLMARANS</t>
  </si>
  <si>
    <t>melodywolmarans@zoppas.com</t>
  </si>
  <si>
    <t>51 SAPELE STREET, ELSPARK, GERMISTON, 1428</t>
  </si>
  <si>
    <t>MFA001</t>
  </si>
  <si>
    <t>MFANIMPELA STEPHEN NTSHANGASE</t>
  </si>
  <si>
    <t>stephen.ntshangase9@gmail.com</t>
  </si>
  <si>
    <t>38684 SAMOSAMO STREET, TSAKANE 1550</t>
  </si>
  <si>
    <t>MIKE001</t>
  </si>
  <si>
    <t>Mike Jankelowitz</t>
  </si>
  <si>
    <t xml:space="preserve">Mike Jankelowitz </t>
  </si>
  <si>
    <t>mikej@global.co.za</t>
  </si>
  <si>
    <t>52 Dennis Road, Atholhurst, Sandton</t>
  </si>
  <si>
    <t>MIXAFRICA</t>
  </si>
  <si>
    <t>MIX TELEMATICS AFRICA (PTY) LTD</t>
  </si>
  <si>
    <t>ROMEO NDZUKULU</t>
  </si>
  <si>
    <t>011 654 8115/ 8097 - 011 654 8255 / 011 654 8359</t>
  </si>
  <si>
    <t>P.O. BOX 12326, VORNA VALLEY</t>
  </si>
  <si>
    <t>USD</t>
  </si>
  <si>
    <t>MIXENTERPRISE001</t>
  </si>
  <si>
    <t>MIX TELEMATICS ENTERPRISE SA (PTY) LTD</t>
  </si>
  <si>
    <t>PROMISE NGWENYA</t>
  </si>
  <si>
    <t>creditorsfleet@mixtelematics.com</t>
  </si>
  <si>
    <t>12326 VORNA VALLEY, GAUTENG, 1686</t>
  </si>
  <si>
    <t>MNANDI001</t>
  </si>
  <si>
    <t>MNANDI FUEL (PTY) LTD</t>
  </si>
  <si>
    <t xml:space="preserve">FRANCOIS </t>
  </si>
  <si>
    <t>Francois@mnandifuels.co.za</t>
  </si>
  <si>
    <t>LIMEROL BUSINESS PARK, ERF 1824, MAGNER STREET, KNOPPIESLAAGTE 385, CENTURION 0157</t>
  </si>
  <si>
    <t xml:space="preserve">MOTORADIO </t>
  </si>
  <si>
    <t>MOTORADIO PRETORIA CC</t>
  </si>
  <si>
    <t xml:space="preserve">STANLEY NATHAN </t>
  </si>
  <si>
    <t>011 873 0870/1/2</t>
  </si>
  <si>
    <t>P.O. BOX 287, GERMISTON</t>
  </si>
  <si>
    <t>MPUMA001</t>
  </si>
  <si>
    <t>MPUMA WEST TRADING</t>
  </si>
  <si>
    <t>SONIKA CLARKE</t>
  </si>
  <si>
    <t>082 460 6745</t>
  </si>
  <si>
    <t>sonika.clarke@mweb.co.za</t>
  </si>
  <si>
    <t>CNR WATERMEYER  AND, TOTIUS STREET EXT 8, WITBANK, MPUMALANGA, 1035</t>
  </si>
  <si>
    <t xml:space="preserve">NAMA KHOI LOCAL MUNICIPALITY </t>
  </si>
  <si>
    <t>JAN IZAK SWART</t>
  </si>
  <si>
    <t>jan.swartz@namakhoi.gov.za</t>
  </si>
  <si>
    <t>17 SPRINGBOK, 8240</t>
  </si>
  <si>
    <t>NAT001</t>
  </si>
  <si>
    <t>NATIONAL ROAD CARRIERS</t>
  </si>
  <si>
    <t xml:space="preserve">ARNO </t>
  </si>
  <si>
    <t>013 004 0028</t>
  </si>
  <si>
    <t>arno@natroadcarriers.co.za</t>
  </si>
  <si>
    <t>1203 BRONKHORSTSPRUIT, 1020</t>
  </si>
  <si>
    <t>NEV001</t>
  </si>
  <si>
    <t>NEVILLE BROWNLIE</t>
  </si>
  <si>
    <t>0823019246</t>
  </si>
  <si>
    <t>neville@auma.co.za</t>
  </si>
  <si>
    <t>8 SAREL CILLIERS RD, RYNFILED, BENONI , 1501</t>
  </si>
  <si>
    <t>NIG001</t>
  </si>
  <si>
    <t>NIGEL CLIFFORD PROVIS</t>
  </si>
  <si>
    <t xml:space="preserve">Nigel Provis </t>
  </si>
  <si>
    <t>011 871 0250</t>
  </si>
  <si>
    <t>nigelprovis6@gmail.com</t>
  </si>
  <si>
    <t>P O BOX 8370, JOHANNESBURG</t>
  </si>
  <si>
    <t>NN METALS - HOLDING COMPANY</t>
  </si>
  <si>
    <t xml:space="preserve">NN METALS (PTY) LTD </t>
  </si>
  <si>
    <t>PRUDENCE MABHENA</t>
  </si>
  <si>
    <t>010 5911 025</t>
  </si>
  <si>
    <t>prudence@nnmetals.co.za</t>
  </si>
  <si>
    <t>PO BOX 139, LA MONTAGNE, 0184</t>
  </si>
  <si>
    <t>EMG140</t>
  </si>
  <si>
    <t>NNS LOGISTICS (PTY) LTD</t>
  </si>
  <si>
    <t>MERCIA GROENEWALD</t>
  </si>
  <si>
    <t>063 651 6789</t>
  </si>
  <si>
    <t>mercia@nnslogistics.co.za</t>
  </si>
  <si>
    <t>PLOT 228, 4th AVENUE, RIETKOL</t>
  </si>
  <si>
    <t xml:space="preserve">Hi Claudia,   Please update following registrations on Fusion for EMG Coal:   DYF702MP	UPDATE TO - DVF702MP JDC042MP	UPDATE TO - JHC042MP   Thank you,       Kind regards Ivanti Marais </t>
  </si>
  <si>
    <t>NOP001</t>
  </si>
  <si>
    <t>NOVUS PRINT (PTY) LTD</t>
  </si>
  <si>
    <t xml:space="preserve">GILBERT </t>
  </si>
  <si>
    <t>021 550 7461/ 6266</t>
  </si>
  <si>
    <t>creditors.novusprint@novus.holdings</t>
  </si>
  <si>
    <t>P.O. BOX 83594 , SOUTH HILLS</t>
  </si>
  <si>
    <t>ONY001</t>
  </si>
  <si>
    <t>ONYX DISTRIBUTORS CC</t>
  </si>
  <si>
    <t xml:space="preserve">URSULA  </t>
  </si>
  <si>
    <t>011466 3220</t>
  </si>
  <si>
    <t>randy@icon.co.za</t>
  </si>
  <si>
    <t>500 Kyalami Boulevard, Kyalami Business Park, Midrand</t>
  </si>
  <si>
    <t>PRI001</t>
  </si>
  <si>
    <t>PAM PRINGLE</t>
  </si>
  <si>
    <t>PAM  PRINGLE</t>
  </si>
  <si>
    <t>078 802 7533</t>
  </si>
  <si>
    <t>pampringle@gmail.com</t>
  </si>
  <si>
    <t>145 ST. FRUSQUIN ST, MALVERN, 2094</t>
  </si>
  <si>
    <t>1124 - (DEMO)</t>
  </si>
  <si>
    <t>PEDROS FLAME GRILLED CHICKEN - (DEMO)</t>
  </si>
  <si>
    <t>ZAHIERA HOOSEN</t>
  </si>
  <si>
    <t>031 940 8677</t>
  </si>
  <si>
    <t>zahiera@pedroschicken.co.za</t>
  </si>
  <si>
    <t>4-6 SUZUKA RD, WESTMEAD, PINETOWN</t>
  </si>
  <si>
    <t>PBT001</t>
  </si>
  <si>
    <t>PETERBILL TRANSPORT (PTY) LTD</t>
  </si>
  <si>
    <t xml:space="preserve">WENDY </t>
  </si>
  <si>
    <t>011 894 7661</t>
  </si>
  <si>
    <t>wendy@peterbill.co.za</t>
  </si>
  <si>
    <t>P.O. BOX 26790, EAST RAND</t>
  </si>
  <si>
    <t>PETRUS001</t>
  </si>
  <si>
    <t>PETRUS FRANCOIS VAN WYK</t>
  </si>
  <si>
    <t xml:space="preserve">PETRUS VAN WYK </t>
  </si>
  <si>
    <t>082 485 9234</t>
  </si>
  <si>
    <t>pvanwyk@vodamail.co.za</t>
  </si>
  <si>
    <t>PLOT 3, JUICE STREET, HONEYDEW</t>
  </si>
  <si>
    <t>PILLAR</t>
  </si>
  <si>
    <t>PILLAR MAINTENANCE PTY LTD</t>
  </si>
  <si>
    <t>JACKIE JENKIN</t>
  </si>
  <si>
    <t>011 481 7444</t>
  </si>
  <si>
    <t>candice@framework.co.za</t>
  </si>
  <si>
    <t>P.O. BOX 1161, HIGHLANDS NORTH</t>
  </si>
  <si>
    <t>MPFT</t>
  </si>
  <si>
    <t>PIMSTEIN (MICHAEL) FAMILY TRUST</t>
  </si>
  <si>
    <t>MRS PIMSTEIN PIMSTEIN</t>
  </si>
  <si>
    <t>pimstein@worldonline.co.za</t>
  </si>
  <si>
    <t>P.O. BOX 76228, WENDYWOOD</t>
  </si>
  <si>
    <t>POL001</t>
  </si>
  <si>
    <t>POLYWHIZ TRADING (PTY) LTD</t>
  </si>
  <si>
    <t>LEANDRI MYBURGH</t>
  </si>
  <si>
    <t>011 452 0918</t>
  </si>
  <si>
    <t>leandri@polyzilla.com</t>
  </si>
  <si>
    <t>PO BOX 712, FLORIDA HILLS, ROODEPOORT, 1716</t>
  </si>
  <si>
    <t>RADIO SHOP</t>
  </si>
  <si>
    <t>MERVIN REDDY</t>
  </si>
  <si>
    <t>072 109 9691</t>
  </si>
  <si>
    <t>mervinreddy@me.com</t>
  </si>
  <si>
    <t>P.O. BOX 7182, EMPANGENI RAIL</t>
  </si>
  <si>
    <t>Durban</t>
  </si>
  <si>
    <t>KwaZulu-Natal</t>
  </si>
  <si>
    <t>RAPID FREIGHT AND LOGISTICS (PTY) LTD</t>
  </si>
  <si>
    <t>RAS001 - SKY</t>
  </si>
  <si>
    <t>RED ANT SECURITY RELOCATION &amp; EVICTION SERVICES (PTY) LTD - ACC ON HOLD</t>
  </si>
  <si>
    <t>RUAAN STEENBERG</t>
  </si>
  <si>
    <t>010 001 0520</t>
  </si>
  <si>
    <t>admin6@redantsecurity.co.za</t>
  </si>
  <si>
    <t>P O BOX 5762, RIVONIA</t>
  </si>
  <si>
    <t>REEL PAPERS (PTY) LTD</t>
  </si>
  <si>
    <t>KERRYN JONKER</t>
  </si>
  <si>
    <t>011 0277098</t>
  </si>
  <si>
    <t>accounts@reelpapers.co.za</t>
  </si>
  <si>
    <t>REMCO FREIGHT</t>
  </si>
  <si>
    <t>RCC001</t>
  </si>
  <si>
    <t>RIGHT CORRUGATED CONTAINERS</t>
  </si>
  <si>
    <t xml:space="preserve">MICHELLE </t>
  </si>
  <si>
    <t>011 917 5034</t>
  </si>
  <si>
    <t>andreaE@rightcor.co.za</t>
  </si>
  <si>
    <t>PO BOX 16720, Atlasville</t>
  </si>
  <si>
    <t>RON001</t>
  </si>
  <si>
    <t>RON HINDE</t>
  </si>
  <si>
    <t>083 256 6303</t>
  </si>
  <si>
    <t>ronhinde@telkomsa.net</t>
  </si>
  <si>
    <t>62 THE INANDAS, 58 RIVONIA RD, INANDA, JOHANNESBURG</t>
  </si>
  <si>
    <t>ROOFING001</t>
  </si>
  <si>
    <t>ROOFING GAUTENG - 2351</t>
  </si>
  <si>
    <t>PO BOX 420, BRAKPAN</t>
  </si>
  <si>
    <t>2R001</t>
  </si>
  <si>
    <t>SA WATER</t>
  </si>
  <si>
    <t>ROBERT BROOKS</t>
  </si>
  <si>
    <t>admin@sawaterleak.co.za</t>
  </si>
  <si>
    <t>9 ELFRA CRESCENT, ROUXVILLE, JHB, 2192</t>
  </si>
  <si>
    <t>SAL001</t>
  </si>
  <si>
    <t>SALOMIEN FERREIRA - (ACC CLOSED)</t>
  </si>
  <si>
    <t xml:space="preserve">Salomien Ferreira </t>
  </si>
  <si>
    <t>082 933 0485</t>
  </si>
  <si>
    <t>isferreira@lantic.net</t>
  </si>
  <si>
    <t>PO BOX 1978, Montana Park</t>
  </si>
  <si>
    <t>0159</t>
  </si>
  <si>
    <t>PMT REF 174085 - IS THE R/D PMT FOR INV 62091 - R 128.93 DEBIT ORDER ORIG RAN 28/02/2019 R/D CAME BACK ON 01/03/2019 CLIENT STATED THAT SHE WOULD PAY MANUALLY BY THE 31ST MARCH 2019 END OF MARCH DEBIT ORDER WILL ONLY BE FOR FEB INV 62663 - R 128.93</t>
  </si>
  <si>
    <t>FAITHWHEELS</t>
  </si>
  <si>
    <t xml:space="preserve">SEVEN DAYS TRADING 125 (Pty) Ltd </t>
  </si>
  <si>
    <t xml:space="preserve">Mark Fourie </t>
  </si>
  <si>
    <t>082 256 1538</t>
  </si>
  <si>
    <t>elmarie@faithwheels.co.za</t>
  </si>
  <si>
    <t>PostNet Suite #86, Private Bag X1028, LYTTELTON</t>
  </si>
  <si>
    <t>0140</t>
  </si>
  <si>
    <t>SUPER</t>
  </si>
  <si>
    <t>SG MOBILITY - DIV OF SUPER GROUP TRADING</t>
  </si>
  <si>
    <t>NICOLE PAUL</t>
  </si>
  <si>
    <t>011 387 3122</t>
  </si>
  <si>
    <t>nicole.paul@supergrp.com</t>
  </si>
  <si>
    <t>PRIVATE BAG X 10, EAST RAND</t>
  </si>
  <si>
    <t>SHE001</t>
  </si>
  <si>
    <t>SHEENA HEIKEL</t>
  </si>
  <si>
    <t xml:space="preserve">Sheena </t>
  </si>
  <si>
    <t>082 559 8073</t>
  </si>
  <si>
    <t>sheenaheikel@hotmail.com</t>
  </si>
  <si>
    <t>43 RIVERSIDE CLOSE, CARON ROAD, REMBRANDT PARK</t>
  </si>
  <si>
    <t>STEELGRAIN</t>
  </si>
  <si>
    <t>STEEL GRAIN LOGISTICS (PTY) LTD</t>
  </si>
  <si>
    <t>SURITA VAN HEERDEN</t>
  </si>
  <si>
    <t>053 841 0831/082 774 5378</t>
  </si>
  <si>
    <t>ops@telkomsa.net</t>
  </si>
  <si>
    <t>P.O. BOX 3562, DIAMOND</t>
  </si>
  <si>
    <t>SUN001</t>
  </si>
  <si>
    <t>SUNIGEN HOLDINGS (PTY) LTD</t>
  </si>
  <si>
    <t>JENNIFER  DE JONG</t>
  </si>
  <si>
    <t>011 465 5857</t>
  </si>
  <si>
    <t>jennifer@sunigen.co.za</t>
  </si>
  <si>
    <t>P.O. BOX 1378, MAGALIES SIG</t>
  </si>
  <si>
    <t>TACIT001</t>
  </si>
  <si>
    <t>TACIT LOGISTICS PTY LTD</t>
  </si>
  <si>
    <t>PRINCE PHIRI</t>
  </si>
  <si>
    <t>prince@tacitlogistics.co.za</t>
  </si>
  <si>
    <t>47 MENIN CIRCUS, DELVILLE, GERMISTON</t>
  </si>
  <si>
    <t>TAL001</t>
  </si>
  <si>
    <t>TALISMAN FOUNDATION</t>
  </si>
  <si>
    <t xml:space="preserve">Timothy Makoni </t>
  </si>
  <si>
    <t>011 435 0727</t>
  </si>
  <si>
    <t>timothy@talisman.org.za</t>
  </si>
  <si>
    <t>P.O. BOX 1777, ROSETTENVILLE, JOHANNESBURG, 2130</t>
  </si>
  <si>
    <t>SPAR001</t>
  </si>
  <si>
    <t>THE SPAR GROUP (HOLDING ACCOUNT)</t>
  </si>
  <si>
    <t>P O Box 1589, Pinetown</t>
  </si>
  <si>
    <t>LEI001</t>
  </si>
  <si>
    <t xml:space="preserve">TOURPLAN SOUTHERN AFRICA (PTY) LTD </t>
  </si>
  <si>
    <t xml:space="preserve">LEIGH INGLE </t>
  </si>
  <si>
    <t>011 918 0031</t>
  </si>
  <si>
    <t>leigh.ingle@icloud.com</t>
  </si>
  <si>
    <t>81 SUNNY ROAD, LADEFIELD, BENONI</t>
  </si>
  <si>
    <t xml:space="preserve">TRENT TRUCKING </t>
  </si>
  <si>
    <t xml:space="preserve">CHARMAINE </t>
  </si>
  <si>
    <t>086 1873 688</t>
  </si>
  <si>
    <t>charmaine@trentrucking.co.za</t>
  </si>
  <si>
    <t>PO BOX 1776, VANDEBIJLPARK</t>
  </si>
  <si>
    <t>TRIANGLE001</t>
  </si>
  <si>
    <t>TRIANGLE SERVICES VAAL (PTY) LTD</t>
  </si>
  <si>
    <t xml:space="preserve">JANITA </t>
  </si>
  <si>
    <t>087 527 0557</t>
  </si>
  <si>
    <t>janita@triangleholdings.co.za</t>
  </si>
  <si>
    <t>POSTNET SUITE 53, PRIVATE BAG X068, VANDEBIJLPARK</t>
  </si>
  <si>
    <t>TSHI001</t>
  </si>
  <si>
    <t>TSHIFHIWA THERONE NEMAPAKONI</t>
  </si>
  <si>
    <t>therone@goodearthgroup.co.za</t>
  </si>
  <si>
    <t>199 UYS, BENONII</t>
  </si>
  <si>
    <t>TT Express Services (PTY) LTD</t>
  </si>
  <si>
    <t>TT FMCG Transit Solutions (PTY) LTD</t>
  </si>
  <si>
    <t>TT001</t>
  </si>
  <si>
    <t>TT LINEHAUL SOLUTIONS (PTY) LTD</t>
  </si>
  <si>
    <t>SHEREEN  BOTES-PIETERSE</t>
  </si>
  <si>
    <t>shereen@plsolutions.co.za</t>
  </si>
  <si>
    <t>607 CHEVROLET STREET, MARKMAN  GQEBERA, EASTERN CAPE, 1210</t>
  </si>
  <si>
    <t>MJB001</t>
  </si>
  <si>
    <t>TT NO BORDERS LOGISTICS (PTY) Ltd</t>
  </si>
  <si>
    <t>JOLANDE DOMAN</t>
  </si>
  <si>
    <t>083 776 0018 / 072 821 0689</t>
  </si>
  <si>
    <t>nicola@plxb.co.za</t>
  </si>
  <si>
    <t>SUITE 502 THE POINT MALL, 76 REGENT ROAD SEA POINT, CAPE TOWN</t>
  </si>
  <si>
    <t>TUR001</t>
  </si>
  <si>
    <t>TURNOVER TRADING 72 CC - TA ITUMELENG</t>
  </si>
  <si>
    <t>ANNE-MANE RENSBURG</t>
  </si>
  <si>
    <t>084 208 6275</t>
  </si>
  <si>
    <t>cycad.la@lantic.net</t>
  </si>
  <si>
    <t>PO BOX 261, LEPHALALE, 0555</t>
  </si>
  <si>
    <t>TYREL001</t>
  </si>
  <si>
    <t>TYREL HENDRIKZ</t>
  </si>
  <si>
    <t>071 602 1758</t>
  </si>
  <si>
    <t>thendrikz@gmail.com</t>
  </si>
  <si>
    <t>8 SWIFF STR, ELSPARK, 1428</t>
  </si>
  <si>
    <t>TYR001</t>
  </si>
  <si>
    <t>TYRELL SMITH</t>
  </si>
  <si>
    <t>084 799 7242</t>
  </si>
  <si>
    <t>tyza0607@gmail.com</t>
  </si>
  <si>
    <t>36 FIFTH STREET, NORTHMEAD, BENONI</t>
  </si>
  <si>
    <t xml:space="preserve">U-RENT JHB </t>
  </si>
  <si>
    <t>LYNETTE NDLOVU</t>
  </si>
  <si>
    <t>0871351350</t>
  </si>
  <si>
    <t>accounts@urentsa.co.za</t>
  </si>
  <si>
    <t>PO Box 902, EDENVALE</t>
  </si>
  <si>
    <t>VDM001</t>
  </si>
  <si>
    <t>VDM BUSINESS ENTERPRISE CC</t>
  </si>
  <si>
    <t xml:space="preserve">MARK </t>
  </si>
  <si>
    <t>010 591 4444</t>
  </si>
  <si>
    <t>mark@vdmb.co.za</t>
  </si>
  <si>
    <t>P O BOX 9103, EDENGLEN</t>
  </si>
  <si>
    <t>VEC001</t>
  </si>
  <si>
    <t>VECV SA</t>
  </si>
  <si>
    <t>BLOCK C GROUND FLOOR, LAKEFIELD OFFICE PARK, 272 WEST AVE, CENTURION</t>
  </si>
  <si>
    <t>FOURW</t>
  </si>
  <si>
    <t>VEEJAY SERVICES PTY LTD</t>
  </si>
  <si>
    <t>RONEL  HARPER</t>
  </si>
  <si>
    <t>011 467 4525</t>
  </si>
  <si>
    <t>ronel@fcr.co.za</t>
  </si>
  <si>
    <t>P.O. BOX 2924, FOURWAYS</t>
  </si>
  <si>
    <t>VRNDBN</t>
  </si>
  <si>
    <t>VRN DURBAN</t>
  </si>
  <si>
    <t>031 791 0115</t>
  </si>
  <si>
    <t>P.O. BOX 3803, DURBAN</t>
  </si>
  <si>
    <t>VRNGAU</t>
  </si>
  <si>
    <t xml:space="preserve">VRN GAUTENG </t>
  </si>
  <si>
    <t>011 871 0238</t>
  </si>
  <si>
    <t>P.O. BOX 123813, ALRODE</t>
  </si>
  <si>
    <t>VRNKAT</t>
  </si>
  <si>
    <t>VRN KATHU</t>
  </si>
  <si>
    <t>053 723 2357</t>
  </si>
  <si>
    <t>P.O. BOX 1166, KATHU</t>
  </si>
  <si>
    <t>VRNKLER</t>
  </si>
  <si>
    <t>VRN KLERKSDORP</t>
  </si>
  <si>
    <t>018 469 4282</t>
  </si>
  <si>
    <t>P.O. BOX 1677, KLERKSDORP</t>
  </si>
  <si>
    <t>VRNPE</t>
  </si>
  <si>
    <t>VRN PORT ELIZABETH</t>
  </si>
  <si>
    <t>041 463 3540</t>
  </si>
  <si>
    <t>P.O. BOX 2046, NORTHEND</t>
  </si>
  <si>
    <t>REM REC -  R 5854.89 FOR 31ST MARCH 2017</t>
  </si>
  <si>
    <t>VRN001</t>
  </si>
  <si>
    <t>VRN RUSTENBURG - DIV OF MSCSA (PTY) LTD</t>
  </si>
  <si>
    <t>014 596 5042</t>
  </si>
  <si>
    <t>A DIV OF VRN STEEL PTY LTD, P.O. BOX 1592, RUSTENBURG</t>
  </si>
  <si>
    <t>VRNSPR</t>
  </si>
  <si>
    <t>VRN SPRINGBOK</t>
  </si>
  <si>
    <t>027 718 1984</t>
  </si>
  <si>
    <t>PO BOX 265, SPRUNGBOK</t>
  </si>
  <si>
    <t>VRNCT</t>
  </si>
  <si>
    <t>VRN STEEL - C.T. (PTY) LTD</t>
  </si>
  <si>
    <t>021 386 6813</t>
  </si>
  <si>
    <t>P.O. BOX 64, SANLAMHOF</t>
  </si>
  <si>
    <t>VRNWITB</t>
  </si>
  <si>
    <t>VRN WITBANK</t>
  </si>
  <si>
    <t>013 696 2713</t>
  </si>
  <si>
    <t>P.O. BOX 2386, WITBANK</t>
  </si>
  <si>
    <t>VT LOGISTICS SA (PTY) LTD</t>
  </si>
  <si>
    <t>WATERFORD - (HOLDING ACC ONLY)</t>
  </si>
  <si>
    <t>CHRISTINE GERBER GHRISTINE GERBER</t>
  </si>
  <si>
    <t>082 859 0712/ 087 095 1010</t>
  </si>
  <si>
    <t>creditors@waterfordcarriers.co.za</t>
  </si>
  <si>
    <t>89 MAIN REEF ROAD, WYCHWOOD EXT 1, GERMISTON</t>
  </si>
  <si>
    <t>WAY001</t>
  </si>
  <si>
    <t>WAYNE VAN ZYL</t>
  </si>
  <si>
    <t>waynevanzyl198.wvz@gmail.com</t>
  </si>
  <si>
    <t>57TH STREET MARLANDS, GERMISTON, 1401</t>
  </si>
  <si>
    <t>WEF001</t>
  </si>
  <si>
    <t>WEFIN CAR RENTALS PTY LTD</t>
  </si>
  <si>
    <t>WESLEY FINLAY</t>
  </si>
  <si>
    <t>0765066902</t>
  </si>
  <si>
    <t>wesley@wefincarrentals.co.za</t>
  </si>
  <si>
    <t>14 KNOXHILL ESTATE, KNOX ROAD, LONEHILL 2191</t>
  </si>
  <si>
    <t>CLIENT</t>
  </si>
  <si>
    <t>CONTACT</t>
  </si>
  <si>
    <t>PHONE</t>
  </si>
  <si>
    <t>EMAIL</t>
  </si>
  <si>
    <t>ACCOUNT STATUS</t>
  </si>
  <si>
    <t>PAYMENT TERMS</t>
  </si>
  <si>
    <t>CATEGORY</t>
  </si>
  <si>
    <t>POSTAL ADDRESS</t>
  </si>
  <si>
    <t>CITY</t>
  </si>
  <si>
    <t>REGION</t>
  </si>
  <si>
    <t>COUNTRY</t>
  </si>
  <si>
    <t>POST CODE</t>
  </si>
  <si>
    <t>SOLUTIONS REP.</t>
  </si>
  <si>
    <t>LAST PAYMENT DATE</t>
  </si>
  <si>
    <t>LAST PAYMENT</t>
  </si>
  <si>
    <t>AVG. DAYS TO PAY</t>
  </si>
  <si>
    <t>DEBTOR NOTE</t>
  </si>
  <si>
    <t>CREDIT LIMIT</t>
  </si>
  <si>
    <t>CURRENCY</t>
  </si>
  <si>
    <t>CURRENT</t>
  </si>
  <si>
    <t>30 DAYS</t>
  </si>
  <si>
    <t>60 DAYS</t>
  </si>
  <si>
    <t>90 DAYS</t>
  </si>
  <si>
    <t>120+ DAYS</t>
  </si>
  <si>
    <t>OUTSTANDING BALANCE</t>
  </si>
  <si>
    <t>Debtors Age Analysis: [Soltrack (PTY) LTD] 28/02/2026</t>
  </si>
  <si>
    <t>Soltrack (PTY) LTD</t>
  </si>
  <si>
    <t xml:space="preserve">User:  FinQuest </t>
  </si>
  <si>
    <t>Date &amp; Time Exported:  2026/03/31 - 10:58</t>
  </si>
  <si>
    <t>Exported Rows:  186</t>
  </si>
  <si>
    <t>WWW.FUSIONSOFTWARE.CO.ZA</t>
  </si>
  <si>
    <t>0861 FUSION</t>
  </si>
  <si>
    <t>ACCOUNT FUSION</t>
  </si>
  <si>
    <t>ACCOUNT SOLFLO</t>
  </si>
  <si>
    <t>ADRI-0001</t>
  </si>
  <si>
    <t>AFHU-0001</t>
  </si>
  <si>
    <t>AERZ-0001</t>
  </si>
  <si>
    <t>AIPE-0001</t>
  </si>
  <si>
    <t>AJSC-0001</t>
  </si>
  <si>
    <t>ALBE-0001</t>
  </si>
  <si>
    <t>ALL--0001</t>
  </si>
  <si>
    <t>ALST-0001</t>
  </si>
  <si>
    <t>ANKR-0001</t>
  </si>
  <si>
    <t>ASKA-0001</t>
  </si>
  <si>
    <t>ATVX-0001</t>
  </si>
  <si>
    <t>AVVA-0001</t>
  </si>
  <si>
    <t>BACA-0001</t>
  </si>
  <si>
    <t>BLUE-0001</t>
  </si>
  <si>
    <t>BUSI-0001</t>
  </si>
  <si>
    <t>BUBE-0001</t>
  </si>
  <si>
    <t>CARG-0001</t>
  </si>
  <si>
    <t>CAJA-0001</t>
  </si>
  <si>
    <t>CHAR-0001</t>
  </si>
  <si>
    <t>CONC-0001</t>
  </si>
  <si>
    <t>COUN-0001</t>
  </si>
  <si>
    <t>CRIS-0001</t>
  </si>
  <si>
    <t>ROIN-0001</t>
  </si>
  <si>
    <t>DACO-0001</t>
  </si>
  <si>
    <t>DELA-0001</t>
  </si>
  <si>
    <t>DONB-0001</t>
  </si>
  <si>
    <t>E.CO-0001</t>
  </si>
  <si>
    <t>EDGE-0019</t>
  </si>
  <si>
    <t>ELIZ-0001</t>
  </si>
  <si>
    <t>ENER-0001</t>
  </si>
  <si>
    <t>EUXX-0001</t>
  </si>
  <si>
    <t>TTGX-0015</t>
  </si>
  <si>
    <t>FIRS-0001</t>
  </si>
  <si>
    <t>FRSU-0001</t>
  </si>
  <si>
    <t>FUEL-0001</t>
  </si>
  <si>
    <t>GAMU-0001</t>
  </si>
  <si>
    <t>GASH-0001</t>
  </si>
  <si>
    <t>GRAV-0001</t>
  </si>
  <si>
    <t>GOEA-0001</t>
  </si>
  <si>
    <t>ANNE-0001</t>
  </si>
  <si>
    <t>HANN-0001</t>
  </si>
  <si>
    <t>MACS-0001</t>
  </si>
  <si>
    <t>HIMA-0001</t>
  </si>
  <si>
    <t>HICO-0001</t>
  </si>
  <si>
    <t>ICON-0001</t>
  </si>
  <si>
    <t>INAN-0001</t>
  </si>
  <si>
    <t>INTA-0001</t>
  </si>
  <si>
    <t>INTE-0001</t>
  </si>
  <si>
    <t>JACO-0001</t>
  </si>
  <si>
    <t>JCAG-0001</t>
  </si>
  <si>
    <t>JCJX-0001</t>
  </si>
  <si>
    <t>JLCO-0001</t>
  </si>
  <si>
    <t>JOLO-0001</t>
  </si>
  <si>
    <t>JOHA-0001</t>
  </si>
  <si>
    <t>KARG-0001</t>
  </si>
  <si>
    <t>KARG-0006</t>
  </si>
  <si>
    <t>KARG-0008</t>
  </si>
  <si>
    <t>KANO-0001</t>
  </si>
  <si>
    <t>KELO-0001</t>
  </si>
  <si>
    <t>KERI-0001</t>
  </si>
  <si>
    <t>KLAV-0001</t>
  </si>
  <si>
    <t>L.(L-0001</t>
  </si>
  <si>
    <t>LECO-0001</t>
  </si>
  <si>
    <t>LIMU-0001</t>
  </si>
  <si>
    <t>LIZE-0001</t>
  </si>
  <si>
    <t>LTSX-0001</t>
  </si>
  <si>
    <t>LUVE-0001</t>
  </si>
  <si>
    <t>MACS-0003</t>
  </si>
  <si>
    <t>MACS-0004</t>
  </si>
  <si>
    <t>MACS-0007</t>
  </si>
  <si>
    <t>MACS-0006</t>
  </si>
  <si>
    <t>MACS-0010</t>
  </si>
  <si>
    <t>MACS-0015</t>
  </si>
  <si>
    <t>MACS-0016</t>
  </si>
  <si>
    <t>MACS-0018</t>
  </si>
  <si>
    <t>MACS-0019</t>
  </si>
  <si>
    <t>MACS-0020</t>
  </si>
  <si>
    <t>MACS-0023</t>
  </si>
  <si>
    <t>MACS-0024</t>
  </si>
  <si>
    <t>MACS-0025</t>
  </si>
  <si>
    <t>MACS-0026</t>
  </si>
  <si>
    <t>MACS-0028</t>
  </si>
  <si>
    <t>MACS-0029</t>
  </si>
  <si>
    <t>MACS-0027</t>
  </si>
  <si>
    <t>MACS-0030</t>
  </si>
  <si>
    <t>MACR-0001</t>
  </si>
  <si>
    <t>MAVA-0001</t>
  </si>
  <si>
    <t>MAGO-0001</t>
  </si>
  <si>
    <t>MAYS-0001</t>
  </si>
  <si>
    <t>MFAN-0001</t>
  </si>
  <si>
    <t>MIJA-0001</t>
  </si>
  <si>
    <t>MNFU-0001</t>
  </si>
  <si>
    <t>MPUM-0001</t>
  </si>
  <si>
    <t>NIGE-0001</t>
  </si>
  <si>
    <t>META-0001</t>
  </si>
  <si>
    <t>NNLO-0001</t>
  </si>
  <si>
    <t>NOVU-0001</t>
  </si>
  <si>
    <t>PETE-0001</t>
  </si>
  <si>
    <t>ETRU-0001</t>
  </si>
  <si>
    <t>PILL-0001</t>
  </si>
  <si>
    <t>PI(M-0001</t>
  </si>
  <si>
    <t>POLY-0001</t>
  </si>
  <si>
    <t>TTGX-0012</t>
  </si>
  <si>
    <t>REPA-0001</t>
  </si>
  <si>
    <t>TTGX-0013</t>
  </si>
  <si>
    <t>RICO-0001</t>
  </si>
  <si>
    <t>RONH-0001</t>
  </si>
  <si>
    <t>MACS-0002</t>
  </si>
  <si>
    <t>SAWA-0001</t>
  </si>
  <si>
    <t>SEVE-0001</t>
  </si>
  <si>
    <t>SGMO-0003</t>
  </si>
  <si>
    <t>SHEE-0001</t>
  </si>
  <si>
    <t>STEE-0001</t>
  </si>
  <si>
    <t>SUNI-0001</t>
  </si>
  <si>
    <t>TACI-0001</t>
  </si>
  <si>
    <t>TAFO-0001</t>
  </si>
  <si>
    <t>SPAR-0002</t>
  </si>
  <si>
    <t>TRIA-0001</t>
  </si>
  <si>
    <t>TSHI-0001</t>
  </si>
  <si>
    <t>TTGX-0010</t>
  </si>
  <si>
    <t>TTGX-0011</t>
  </si>
  <si>
    <t>TTGX-0009</t>
  </si>
  <si>
    <t>PRCR-0001</t>
  </si>
  <si>
    <t>TURN-0001</t>
  </si>
  <si>
    <t>TYRE-0001</t>
  </si>
  <si>
    <t>U-JH-0001</t>
  </si>
  <si>
    <t>VDMB-0001</t>
  </si>
  <si>
    <t>VECV-0001</t>
  </si>
  <si>
    <t>MACS-0021</t>
  </si>
  <si>
    <t>MACS-0031</t>
  </si>
  <si>
    <t>MACS-0032</t>
  </si>
  <si>
    <t>MACS-0033</t>
  </si>
  <si>
    <t>MACS-0034</t>
  </si>
  <si>
    <t>MACS-0035</t>
  </si>
  <si>
    <t>MACS-0036</t>
  </si>
  <si>
    <t>MACS-0037</t>
  </si>
  <si>
    <t>MACS-0038</t>
  </si>
  <si>
    <t>TTGX-0014</t>
  </si>
  <si>
    <t>WACA-0001</t>
  </si>
  <si>
    <t>WAYN-0001</t>
  </si>
  <si>
    <t>WEFI-0001</t>
  </si>
  <si>
    <t>FRAM-0001</t>
  </si>
  <si>
    <t>Amount</t>
  </si>
  <si>
    <t>Date</t>
  </si>
  <si>
    <t>rael</t>
  </si>
  <si>
    <t>claudine</t>
  </si>
  <si>
    <t>total pay</t>
  </si>
  <si>
    <t>diff</t>
  </si>
  <si>
    <t>March nivioces genertaetd in fusion</t>
  </si>
  <si>
    <t>TAKE ON AGE ANALYSIS FROM FUSION</t>
  </si>
  <si>
    <t>ALLOCATION OF MONTHLY RECEIPTS TO CLIENT</t>
  </si>
  <si>
    <t>02/03/2026</t>
  </si>
  <si>
    <t>Neville Brownlie Nev001</t>
  </si>
  <si>
    <t>04/03/2026</t>
  </si>
  <si>
    <t>Onyx Distributor ONY001</t>
  </si>
  <si>
    <t>07/03/2026</t>
  </si>
  <si>
    <t>05/03/2026</t>
  </si>
  <si>
    <t>ABSA BANK KN001 / 117973</t>
  </si>
  <si>
    <t>06/03/2026</t>
  </si>
  <si>
    <t>SPAR GROUP CO</t>
  </si>
  <si>
    <t>16/03/2026</t>
  </si>
  <si>
    <t>ABSA BANK Invoice 117451</t>
  </si>
  <si>
    <t>U-RENT SA</t>
  </si>
  <si>
    <t>GOO001 FEB STMNT</t>
  </si>
  <si>
    <t>DCC TECHNOLOGIES DCC</t>
  </si>
  <si>
    <t>NN METALS</t>
  </si>
  <si>
    <t>LECE</t>
  </si>
  <si>
    <t>26/03/2026</t>
  </si>
  <si>
    <t>14/03/2026</t>
  </si>
  <si>
    <t>03/03/2026</t>
  </si>
  <si>
    <t>JCCM AGRI TRADING (PTY) LTD</t>
  </si>
  <si>
    <t>27/03/2026</t>
  </si>
  <si>
    <t>SEVEN DAYS TRADING</t>
  </si>
  <si>
    <t>109899 - Kargo National (Pty)</t>
  </si>
  <si>
    <t>LEBONE 11 COLLEGE</t>
  </si>
  <si>
    <t>RIGHT CORRUGATED</t>
  </si>
  <si>
    <t>110038 - Kargo International L</t>
  </si>
  <si>
    <t>AERZEN AIRGAS</t>
  </si>
  <si>
    <t>All Danquah</t>
  </si>
  <si>
    <t>13/03/2026</t>
  </si>
  <si>
    <t>NNS LOGISTICS</t>
  </si>
  <si>
    <t>12/03/2026</t>
  </si>
  <si>
    <t>ICONIC VENTURES</t>
  </si>
  <si>
    <t>30/03/2026</t>
  </si>
  <si>
    <t>LTS BULK KENZAM TRANSPORT</t>
  </si>
  <si>
    <t>110090 - Kargo Long Distance (</t>
  </si>
  <si>
    <t>J.L. COETZER</t>
  </si>
  <si>
    <t>10/03/2026</t>
  </si>
  <si>
    <t>TRIANGLE SERVICES VA</t>
  </si>
  <si>
    <t>SG MOBILITY</t>
  </si>
  <si>
    <t>AUMA SOUTH AFRICA (PTY)LTD</t>
  </si>
  <si>
    <t>KERIZZMA STEEL (PTY) LTD</t>
  </si>
  <si>
    <t>MAYSENE LOGISTICS</t>
  </si>
  <si>
    <t>109898 - Kargo National (Pty)</t>
  </si>
  <si>
    <t>PRE001 AVIS VAN RENT</t>
  </si>
  <si>
    <t>20/03/2026</t>
  </si>
  <si>
    <t>ENERGYEASE</t>
  </si>
  <si>
    <t>WATERFORD CARRIERS</t>
  </si>
  <si>
    <t>ABSA BANK EdgeTelematics</t>
  </si>
  <si>
    <t>ABSA BANK FSI001</t>
  </si>
  <si>
    <t>CASHFOCUS HITACHI APPY0000228</t>
  </si>
  <si>
    <t>reason</t>
  </si>
  <si>
    <t>should we take on balance</t>
  </si>
  <si>
    <t>not applic</t>
  </si>
  <si>
    <t>write off closed</t>
  </si>
  <si>
    <t>31/03/2026</t>
  </si>
  <si>
    <t>TT NO BORDERS LOGISTICS</t>
  </si>
  <si>
    <t>capture in march</t>
  </si>
  <si>
    <t>Busisiwe Ramatsui</t>
  </si>
  <si>
    <t>GERRIT PIETER REPSOLD</t>
  </si>
  <si>
    <t>MARIE VAN ROOYEN</t>
  </si>
  <si>
    <t>Wayne van Zyl</t>
  </si>
  <si>
    <t>CJP VAN VUUREN</t>
  </si>
  <si>
    <t>JORDAN SHANDLER</t>
  </si>
  <si>
    <t>HENDRIE COETZER</t>
  </si>
  <si>
    <t>MARIUS MILLS</t>
  </si>
  <si>
    <t>Hilton Mark</t>
  </si>
  <si>
    <t>Ron Hinde</t>
  </si>
  <si>
    <t>TOURPLAN SA</t>
  </si>
  <si>
    <t>AMANDA NOORTMAN</t>
  </si>
  <si>
    <t>A.H. Van Der Schyff</t>
  </si>
  <si>
    <t>Sheena Heikel</t>
  </si>
  <si>
    <t>Hannes vd Walt</t>
  </si>
  <si>
    <t>B.E. VAN DER LAAN</t>
  </si>
  <si>
    <t>ADRIAAN SCHROEDER</t>
  </si>
  <si>
    <t>S.A. WATER</t>
  </si>
  <si>
    <t>MARIUS VAN ZYL</t>
  </si>
  <si>
    <t>KEYLAND</t>
  </si>
  <si>
    <t>KIM ALLAN</t>
  </si>
  <si>
    <t>CARINA VAN ZYL</t>
  </si>
  <si>
    <t>A.G. LOUW</t>
  </si>
  <si>
    <t>DILLAN HOUSTON</t>
  </si>
  <si>
    <t>DK MYBURGH</t>
  </si>
  <si>
    <t>P.J. FOURIE</t>
  </si>
  <si>
    <t>ANDRIES PANEL AND PAINT</t>
  </si>
  <si>
    <t>SA LOADBODIE PARTS (PTY) LTD</t>
  </si>
  <si>
    <t>Magda Venter</t>
  </si>
  <si>
    <t>CASHFOCUS INV118017 / SOLPROPS</t>
  </si>
  <si>
    <t>SCOUTLAND TRADING (PTY) LTD</t>
  </si>
  <si>
    <t>CASHFOCUS FWC001</t>
  </si>
  <si>
    <t>Inani Ingredients</t>
  </si>
  <si>
    <t>SILVERFERN ANGITU (PTY) LTD</t>
  </si>
  <si>
    <t>DCS Africa</t>
  </si>
  <si>
    <t>MASS PETROLEUM (PTY) LTD</t>
  </si>
  <si>
    <t>Du Plessis Sand</t>
  </si>
  <si>
    <t>SPAR SR 104115001892</t>
  </si>
  <si>
    <t>GOOD EARTH DEVELOPMENTS</t>
  </si>
  <si>
    <t>MACSTEEL</t>
  </si>
  <si>
    <t>Albert Benett</t>
  </si>
  <si>
    <t>Nigel Provis</t>
  </si>
  <si>
    <t>CARGO CRANKSHAFT REBUILDERS</t>
  </si>
  <si>
    <t>LIZELLE NORTJIE</t>
  </si>
  <si>
    <t>LINKTEL  TA   MULTICOMM</t>
  </si>
  <si>
    <t>FIRST GLOVE</t>
  </si>
  <si>
    <t>EUROSTEEL</t>
  </si>
  <si>
    <t>CHRISTOPHER FRITZ</t>
  </si>
  <si>
    <t>VDM Business</t>
  </si>
  <si>
    <t>NOVUS PRINT</t>
  </si>
  <si>
    <t>JCJ FUELS</t>
  </si>
  <si>
    <t>BLUE SKIES FRESH PRODUCE (PTY)</t>
  </si>
  <si>
    <t>BUZZAIR CC</t>
  </si>
  <si>
    <t>BARLINE CATERING &amp; HOSPITALITY</t>
  </si>
  <si>
    <t>NAMA-KHOI MUNCIPALITY</t>
  </si>
  <si>
    <t>MACSTEEL EXPRESS NELSPRUIT</t>
  </si>
  <si>
    <t>MACSTEEL EXPRESS PRE</t>
  </si>
  <si>
    <t>MACSTEEL EXPRESS KLERKSDORP</t>
  </si>
  <si>
    <t>MACSTEEL EXPRESS W -MEW001</t>
  </si>
  <si>
    <t>WEFIN CARS RENTAL (PTY) LTD</t>
  </si>
  <si>
    <t>TURNOVER TRADING 72 CC</t>
  </si>
  <si>
    <t>Interspares (PTY) Ltd</t>
  </si>
  <si>
    <t>ABSA BANK STEEL GRAIN LOGISTIC</t>
  </si>
  <si>
    <t>MNANDI FUEL PTY LTD</t>
  </si>
  <si>
    <t>Maibaze Crane &amp; Truck Hire</t>
  </si>
  <si>
    <t>CASHFOCUS EPS001 EPS COURIER S</t>
  </si>
  <si>
    <t>TOTAL</t>
  </si>
  <si>
    <t>closed</t>
  </si>
  <si>
    <t>create</t>
  </si>
  <si>
    <t>change name fourways</t>
  </si>
  <si>
    <t xml:space="preserve">create </t>
  </si>
  <si>
    <t>demo</t>
  </si>
  <si>
    <t>dlete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</si>
</sst>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color theme="3" tint="0.39994506668294322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9" fontId="0" fillId="0" borderId="1" xfId="0" applyNumberFormat="1" applyBorder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0" fontId="1" fillId="3" borderId="0" xfId="0" applyFont="1" applyFill="1"/>
    <xf numFmtId="4" fontId="0" fillId="0" borderId="0" xfId="0" applyNumberFormat="1"/>
    <xf numFmtId="4" fontId="0" fillId="4" borderId="1" xfId="0" applyNumberFormat="1" applyFill="1" applyBorder="1"/>
    <xf numFmtId="4" fontId="0" fillId="4" borderId="0" xfId="0" applyNumberFormat="1" applyFill="1"/>
    <xf numFmtId="0" fontId="0" fillId="0" borderId="3" xfId="0" applyBorder="1"/>
    <xf numFmtId="4" fontId="0" fillId="0" borderId="3" xfId="0" applyNumberFormat="1" applyBorder="1"/>
    <xf numFmtId="4" fontId="0" fillId="4" borderId="3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4" fontId="0" fillId="3" borderId="1" xfId="0" applyNumberFormat="1" applyFill="1" applyBorder="1"/>
    <xf numFmtId="0" fontId="1" fillId="2" borderId="4" xfId="0" applyFont="1" applyFill="1" applyBorder="1"/>
    <xf numFmtId="0" fontId="0" fillId="0" borderId="2" xfId="0" applyBorder="1"/>
    <xf numFmtId="4" fontId="0" fillId="0" borderId="2" xfId="0" applyNumberFormat="1" applyBorder="1"/>
    <xf numFmtId="4" fontId="0" fillId="4" borderId="2" xfId="0" applyNumberFormat="1" applyFill="1" applyBorder="1"/>
    <xf numFmtId="4" fontId="0" fillId="5" borderId="0" xfId="0" applyNumberFormat="1" applyFill="1"/>
    <xf numFmtId="0" fontId="1" fillId="2" borderId="5" xfId="0" applyFont="1" applyFill="1" applyBorder="1" applyAlignment="1">
      <alignment horizontal="left"/>
    </xf>
    <xf numFmtId="0" fontId="1" fillId="2" borderId="5" xfId="0" applyFont="1" applyFill="1" applyBorder="1"/>
    <xf numFmtId="0" fontId="1" fillId="2" borderId="12" xfId="0" applyFont="1" applyFill="1" applyBorder="1"/>
    <xf numFmtId="0" fontId="0" fillId="0" borderId="13" xfId="0" applyBorder="1"/>
    <xf numFmtId="4" fontId="0" fillId="0" borderId="13" xfId="0" applyNumberFormat="1" applyBorder="1"/>
    <xf numFmtId="4" fontId="0" fillId="4" borderId="13" xfId="0" applyNumberFormat="1" applyFill="1" applyBorder="1"/>
    <xf numFmtId="0" fontId="1" fillId="0" borderId="2" xfId="0" applyFont="1" applyBorder="1"/>
    <xf numFmtId="3" fontId="0" fillId="0" borderId="0" xfId="0" applyNumberFormat="1"/>
    <xf numFmtId="4" fontId="0" fillId="3" borderId="0" xfId="0" applyNumberFormat="1" applyFill="1"/>
    <xf numFmtId="0" fontId="1" fillId="2" borderId="14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14" fontId="0" fillId="4" borderId="1" xfId="0" applyNumberFormat="1" applyFill="1" applyBorder="1"/>
    <xf numFmtId="0" fontId="0" fillId="4" borderId="0" xfId="0" applyFill="1"/>
    <xf numFmtId="0" fontId="0" fillId="4" borderId="2" xfId="0" applyFill="1" applyBorder="1"/>
    <xf numFmtId="0" fontId="0" fillId="4" borderId="3" xfId="0" applyFill="1" applyBorder="1"/>
    <xf numFmtId="0" fontId="0" fillId="0" borderId="15" xfId="0" applyBorder="1"/>
    <xf numFmtId="49" fontId="0" fillId="4" borderId="1" xfId="0" applyNumberFormat="1" applyFill="1" applyBorder="1" applyAlignment="1">
      <alignment horizontal="right"/>
    </xf>
    <xf numFmtId="0" fontId="0" fillId="4" borderId="13" xfId="0" applyFill="1" applyBorder="1"/>
    <xf numFmtId="0" fontId="0" fillId="4" borderId="3" xfId="0" applyFill="1" applyBorder="1" applyAlignment="1">
      <alignment horizontal="left"/>
    </xf>
    <xf numFmtId="0" fontId="0" fillId="5" borderId="1" xfId="0" applyFill="1" applyBorder="1"/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/>
    <xf numFmtId="4" fontId="0" fillId="6" borderId="0" xfId="0" applyNumberFormat="1" applyFill="1"/>
    <xf numFmtId="0" fontId="0" fillId="5" borderId="2" xfId="0" applyFill="1" applyBorder="1"/>
    <xf numFmtId="4" fontId="0" fillId="6" borderId="1" xfId="0" applyNumberFormat="1" applyFill="1" applyBorder="1"/>
    <xf numFmtId="0" fontId="0" fillId="6" borderId="1" xfId="0" applyFill="1" applyBorder="1"/>
    <xf numFmtId="4" fontId="0" fillId="3" borderId="2" xfId="0" applyNumberFormat="1" applyFill="1" applyBorder="1"/>
    <xf numFmtId="0" fontId="0" fillId="3" borderId="2" xfId="0" applyFill="1" applyBorder="1"/>
    <xf numFmtId="4" fontId="0" fillId="3" borderId="16" xfId="0" applyNumberFormat="1" applyFill="1" applyBorder="1"/>
    <xf numFmtId="4" fontId="0" fillId="3" borderId="17" xfId="0" applyNumberFormat="1" applyFill="1" applyBorder="1"/>
    <xf numFmtId="4" fontId="0" fillId="3" borderId="18" xfId="0" applyNumberFormat="1" applyFill="1" applyBorder="1"/>
    <xf numFmtId="0" fontId="1" fillId="0" borderId="15" xfId="0" applyFont="1" applyBorder="1"/>
    <xf numFmtId="0" fontId="1" fillId="0" borderId="5" xfId="0" applyFont="1" applyBorder="1" applyAlignment="1">
      <alignment horizontal="left"/>
    </xf>
    <xf numFmtId="0" fontId="1" fillId="0" borderId="5" xfId="0" applyFont="1" applyBorder="1"/>
    <xf numFmtId="3" fontId="1" fillId="0" borderId="0" xfId="0" applyNumberFormat="1" applyFont="1"/>
    <xf numFmtId="0" fontId="0" fillId="7" borderId="0" xfId="0" applyFill="1"/>
    <xf numFmtId="0" fontId="0" fillId="7" borderId="1" xfId="0" applyFill="1" applyBorder="1" applyAlignment="1">
      <alignment horizontal="left"/>
    </xf>
    <xf numFmtId="0" fontId="0" fillId="7" borderId="1" xfId="0" applyFill="1" applyBorder="1"/>
    <xf numFmtId="14" fontId="0" fillId="7" borderId="1" xfId="0" applyNumberFormat="1" applyFill="1" applyBorder="1"/>
    <xf numFmtId="4" fontId="0" fillId="7" borderId="1" xfId="0" applyNumberFormat="1" applyFill="1" applyBorder="1"/>
    <xf numFmtId="4" fontId="0" fillId="0" borderId="17" xfId="0" applyNumberFormat="1" applyBorder="1"/>
    <xf numFmtId="4" fontId="0" fillId="0" borderId="16" xfId="0" applyNumberFormat="1" applyBorder="1"/>
    <xf numFmtId="4" fontId="0" fillId="0" borderId="18" xfId="0" applyNumberFormat="1" applyBorder="1"/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4" fontId="0" fillId="0" borderId="0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aadel\nedredc.csv" TargetMode="External"/><Relationship Id="rId1" Type="http://schemas.openxmlformats.org/officeDocument/2006/relationships/externalLinkPath" Target="file:///C:\Aaadel\nedredc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el%20Tichauer\AppData\Local\Microsoft\Windows\INetCache\Content.Outlook\QWBMR787\Book7.xlsx" TargetMode="External"/><Relationship Id="rId1" Type="http://schemas.openxmlformats.org/officeDocument/2006/relationships/externalLinkPath" Target="file:///C:\Users\Rael%20Tichauer\AppData\Local\Microsoft\Windows\INetCache\Content.Outlook\QWBMR787\Book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dredc"/>
      <sheetName val="Sheet2"/>
    </sheetNames>
    <sheetDataSet>
      <sheetData sheetId="0" refreshError="1">
        <row r="2">
          <cell r="A2" t="str">
            <v>02/03/2026</v>
          </cell>
          <cell r="C2">
            <v>113.85</v>
          </cell>
        </row>
        <row r="3">
          <cell r="A3" t="str">
            <v>04/03/2026</v>
          </cell>
          <cell r="B3" t="str">
            <v>Onyx Distributor ONY001</v>
          </cell>
          <cell r="C3">
            <v>583.03</v>
          </cell>
        </row>
        <row r="4">
          <cell r="A4" t="str">
            <v>07/03/2026</v>
          </cell>
          <cell r="B4" t="str">
            <v>TYRELL SMITH</v>
          </cell>
          <cell r="C4">
            <v>589.95000000000005</v>
          </cell>
        </row>
        <row r="5">
          <cell r="A5" t="str">
            <v>05/03/2026</v>
          </cell>
          <cell r="B5" t="str">
            <v>ABSA BANK KN001 / 117973</v>
          </cell>
          <cell r="C5">
            <v>637.30999999999995</v>
          </cell>
        </row>
        <row r="6">
          <cell r="A6" t="str">
            <v>06/03/2026</v>
          </cell>
          <cell r="B6" t="str">
            <v>SPAR GROUP CO</v>
          </cell>
          <cell r="C6">
            <v>654.76</v>
          </cell>
        </row>
        <row r="8">
          <cell r="A8" t="str">
            <v>05/03/2026</v>
          </cell>
          <cell r="B8" t="str">
            <v>U-RENT SA</v>
          </cell>
          <cell r="C8">
            <v>893.55</v>
          </cell>
        </row>
        <row r="9">
          <cell r="A9" t="str">
            <v>06/03/2026</v>
          </cell>
          <cell r="B9" t="str">
            <v>GOO001 FEB STMNT</v>
          </cell>
          <cell r="C9">
            <v>1207.5</v>
          </cell>
        </row>
        <row r="10">
          <cell r="A10" t="str">
            <v>02/03/2026</v>
          </cell>
          <cell r="B10" t="str">
            <v>DCC TECHNOLOGIES DCC</v>
          </cell>
          <cell r="C10">
            <v>1293.75</v>
          </cell>
        </row>
        <row r="11">
          <cell r="A11" t="str">
            <v>16/03/2026</v>
          </cell>
          <cell r="B11" t="str">
            <v>NN METALS</v>
          </cell>
          <cell r="C11">
            <v>1437.51</v>
          </cell>
        </row>
        <row r="12">
          <cell r="A12" t="str">
            <v>07/03/2026</v>
          </cell>
          <cell r="B12" t="str">
            <v>LECE</v>
          </cell>
          <cell r="C12">
            <v>2561.11</v>
          </cell>
        </row>
        <row r="13">
          <cell r="A13" t="str">
            <v>07/03/2026</v>
          </cell>
          <cell r="B13" t="str">
            <v>KENBERT</v>
          </cell>
          <cell r="C13">
            <v>2725.96</v>
          </cell>
        </row>
        <row r="14">
          <cell r="A14" t="str">
            <v>26/03/2026</v>
          </cell>
          <cell r="B14" t="str">
            <v>MPFT</v>
          </cell>
          <cell r="C14">
            <v>2817.5</v>
          </cell>
        </row>
        <row r="15">
          <cell r="A15" t="str">
            <v>14/03/2026</v>
          </cell>
          <cell r="B15" t="str">
            <v>MIXENTERPRISE001</v>
          </cell>
          <cell r="C15">
            <v>3117.65</v>
          </cell>
        </row>
        <row r="16">
          <cell r="A16" t="str">
            <v>06/03/2026</v>
          </cell>
          <cell r="B16" t="str">
            <v>COU001</v>
          </cell>
          <cell r="C16">
            <v>3438.5</v>
          </cell>
        </row>
        <row r="17">
          <cell r="A17" t="str">
            <v>03/03/2026</v>
          </cell>
          <cell r="B17" t="str">
            <v>JCCM AGRI TRADING (PTY) LTD</v>
          </cell>
          <cell r="C17">
            <v>4635.0600000000004</v>
          </cell>
        </row>
        <row r="18">
          <cell r="A18" t="str">
            <v>27/03/2026</v>
          </cell>
          <cell r="B18" t="str">
            <v>SEVEN DAYS TRADING</v>
          </cell>
          <cell r="C18">
            <v>5017</v>
          </cell>
        </row>
        <row r="19">
          <cell r="A19" t="str">
            <v>07/03/2026</v>
          </cell>
          <cell r="B19" t="str">
            <v>TACIT LOGISTICS PTY LTD</v>
          </cell>
          <cell r="C19">
            <v>5828.2</v>
          </cell>
        </row>
        <row r="20">
          <cell r="A20" t="str">
            <v>04/03/2026</v>
          </cell>
          <cell r="B20" t="str">
            <v>109899 - Kargo National (Pty)</v>
          </cell>
          <cell r="C20">
            <v>6082.02</v>
          </cell>
        </row>
        <row r="21">
          <cell r="A21" t="str">
            <v>03/03/2026</v>
          </cell>
          <cell r="B21" t="str">
            <v>LEBONE 11 COLLEGE</v>
          </cell>
          <cell r="C21">
            <v>10102.219999999999</v>
          </cell>
        </row>
        <row r="22">
          <cell r="A22" t="str">
            <v>06/03/2026</v>
          </cell>
          <cell r="B22" t="str">
            <v>RIGHT CORRUGATED</v>
          </cell>
          <cell r="C22">
            <v>10860.68</v>
          </cell>
        </row>
        <row r="23">
          <cell r="A23" t="str">
            <v>04/03/2026</v>
          </cell>
          <cell r="B23" t="str">
            <v>110038 - Kargo International L</v>
          </cell>
          <cell r="C23">
            <v>11083.7</v>
          </cell>
        </row>
        <row r="24">
          <cell r="A24" t="str">
            <v>26/03/2026</v>
          </cell>
          <cell r="B24" t="str">
            <v>AERZEN AIRGAS</v>
          </cell>
          <cell r="C24">
            <v>11807.1</v>
          </cell>
        </row>
        <row r="25">
          <cell r="A25" t="str">
            <v>14/03/2026</v>
          </cell>
          <cell r="B25" t="str">
            <v>All Danquah</v>
          </cell>
          <cell r="C25">
            <v>11962.51</v>
          </cell>
        </row>
        <row r="26">
          <cell r="A26" t="str">
            <v>07/03/2026</v>
          </cell>
          <cell r="B26" t="str">
            <v>CONCISE PERFORMANCE FUELS</v>
          </cell>
          <cell r="C26">
            <v>13511</v>
          </cell>
        </row>
        <row r="27">
          <cell r="A27" t="str">
            <v>04/03/2026</v>
          </cell>
          <cell r="B27">
            <v>118236</v>
          </cell>
          <cell r="C27">
            <v>13627.5</v>
          </cell>
        </row>
        <row r="28">
          <cell r="A28" t="str">
            <v>13/03/2026</v>
          </cell>
          <cell r="B28" t="str">
            <v>NNS LOGISTICS</v>
          </cell>
          <cell r="C28">
            <v>14934.9</v>
          </cell>
        </row>
        <row r="29">
          <cell r="A29" t="str">
            <v>12/03/2026</v>
          </cell>
          <cell r="B29" t="str">
            <v>ICONIC VENTURES</v>
          </cell>
          <cell r="C29">
            <v>15000</v>
          </cell>
        </row>
        <row r="30">
          <cell r="A30" t="str">
            <v>30/03/2026</v>
          </cell>
          <cell r="B30" t="str">
            <v>LTS BULK KENZAM TRANSPORT</v>
          </cell>
          <cell r="C30">
            <v>17493.34</v>
          </cell>
        </row>
        <row r="31">
          <cell r="A31" t="str">
            <v>04/03/2026</v>
          </cell>
          <cell r="B31" t="str">
            <v>110090 - Kargo Long Distance (</v>
          </cell>
          <cell r="C31">
            <v>18247.05</v>
          </cell>
        </row>
        <row r="32">
          <cell r="A32" t="str">
            <v>03/03/2026</v>
          </cell>
          <cell r="B32" t="str">
            <v>J.L. COETZER</v>
          </cell>
          <cell r="C32">
            <v>19251.919999999998</v>
          </cell>
        </row>
        <row r="33">
          <cell r="A33" t="str">
            <v>10/03/2026</v>
          </cell>
          <cell r="B33" t="str">
            <v>TRIANGLE SERVICES VA</v>
          </cell>
          <cell r="C33">
            <v>23840.65</v>
          </cell>
        </row>
        <row r="34">
          <cell r="A34" t="str">
            <v>02/03/2026</v>
          </cell>
          <cell r="B34" t="str">
            <v>SG MOBILITY</v>
          </cell>
          <cell r="C34">
            <v>23990.9</v>
          </cell>
        </row>
        <row r="35">
          <cell r="A35" t="str">
            <v>27/03/2026</v>
          </cell>
          <cell r="B35" t="str">
            <v>AUMA SOUTH AFRICA (PTY)LTD</v>
          </cell>
          <cell r="C35">
            <v>26226.81</v>
          </cell>
        </row>
        <row r="36">
          <cell r="A36" t="str">
            <v>03/03/2026</v>
          </cell>
          <cell r="B36" t="str">
            <v>KERIZZMA STEEL (PTY) LTD</v>
          </cell>
          <cell r="C36">
            <v>28723.53</v>
          </cell>
        </row>
        <row r="37">
          <cell r="A37" t="str">
            <v>05/03/2026</v>
          </cell>
          <cell r="B37" t="str">
            <v>MAYSENE LOGISTICS</v>
          </cell>
          <cell r="C37">
            <v>30000</v>
          </cell>
        </row>
        <row r="38">
          <cell r="A38" t="str">
            <v>04/03/2026</v>
          </cell>
          <cell r="B38" t="str">
            <v>109898 - Kargo National (Pty)</v>
          </cell>
          <cell r="C38">
            <v>36516.94</v>
          </cell>
        </row>
        <row r="39">
          <cell r="A39" t="str">
            <v>16/03/2026</v>
          </cell>
          <cell r="B39" t="str">
            <v>PRE001 AVIS VAN RENT</v>
          </cell>
          <cell r="C39">
            <v>37641.760000000002</v>
          </cell>
        </row>
        <row r="40">
          <cell r="A40" t="str">
            <v>20/03/2026</v>
          </cell>
          <cell r="B40" t="str">
            <v>ENERGYEASE</v>
          </cell>
          <cell r="C40">
            <v>65519</v>
          </cell>
        </row>
        <row r="41">
          <cell r="A41" t="str">
            <v>02/03/2026</v>
          </cell>
          <cell r="B41" t="str">
            <v>STEEL001</v>
          </cell>
          <cell r="C41">
            <v>73466.600000000006</v>
          </cell>
        </row>
        <row r="42">
          <cell r="A42" t="str">
            <v>03/03/2026</v>
          </cell>
          <cell r="B42" t="str">
            <v>NN METALS</v>
          </cell>
          <cell r="C42">
            <v>76939.83</v>
          </cell>
        </row>
        <row r="43">
          <cell r="A43" t="str">
            <v>10/03/2026</v>
          </cell>
          <cell r="B43" t="str">
            <v>WATERFORD CARRIERS</v>
          </cell>
          <cell r="C43">
            <v>134422.32999999999</v>
          </cell>
        </row>
        <row r="44">
          <cell r="A44" t="str">
            <v>10/03/2026</v>
          </cell>
          <cell r="B44" t="str">
            <v>ABSA BANK EdgeTelematics</v>
          </cell>
          <cell r="C44">
            <v>134623.64000000001</v>
          </cell>
        </row>
        <row r="45">
          <cell r="A45" t="str">
            <v>06/03/2026</v>
          </cell>
          <cell r="B45" t="str">
            <v>ABSA BANK FSI001</v>
          </cell>
          <cell r="C45">
            <v>168267.56</v>
          </cell>
        </row>
        <row r="46">
          <cell r="A46" t="str">
            <v>16/03/2026</v>
          </cell>
          <cell r="B46" t="str">
            <v>PRE001 AVIS VAN RENT</v>
          </cell>
          <cell r="C46">
            <v>200000</v>
          </cell>
        </row>
        <row r="47">
          <cell r="A47" t="str">
            <v>27/03/2026</v>
          </cell>
          <cell r="B47" t="str">
            <v>CASHFOCUS HITACHI APPY0000228</v>
          </cell>
          <cell r="C47">
            <v>210027.61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 refreshError="1">
        <row r="50">
          <cell r="B50" t="str">
            <v>31/03/2026</v>
          </cell>
          <cell r="C50" t="str">
            <v>TT NO BORDERS LOGISTICS</v>
          </cell>
          <cell r="D50">
            <v>101242.55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C0D8F-B422-41C5-AD0E-A47E65D0636B}">
  <dimension ref="A2:I89"/>
  <sheetViews>
    <sheetView workbookViewId="0">
      <selection sqref="A1:XFD1048576"/>
    </sheetView>
  </sheetViews>
  <sheetFormatPr defaultRowHeight="15" x14ac:dyDescent="0.25"/>
  <cols>
    <col min="1" max="1" width="17.42578125" customWidth="1"/>
    <col min="2" max="2" width="38.28515625" customWidth="1"/>
    <col min="3" max="3" width="12.42578125" style="15" customWidth="1"/>
  </cols>
  <sheetData>
    <row r="2" spans="1:9" x14ac:dyDescent="0.25">
      <c r="A2" t="s">
        <v>1147</v>
      </c>
      <c r="B2" t="s">
        <v>1148</v>
      </c>
      <c r="C2" s="15">
        <v>113.85</v>
      </c>
      <c r="G2" s="15"/>
    </row>
    <row r="3" spans="1:9" x14ac:dyDescent="0.25">
      <c r="A3" t="s">
        <v>1149</v>
      </c>
      <c r="B3" t="s">
        <v>1150</v>
      </c>
      <c r="C3" s="15">
        <v>583.03</v>
      </c>
      <c r="E3" s="15"/>
    </row>
    <row r="4" spans="1:9" x14ac:dyDescent="0.25">
      <c r="A4" t="s">
        <v>1151</v>
      </c>
      <c r="B4" t="s">
        <v>885</v>
      </c>
      <c r="C4" s="15">
        <v>589.95000000000005</v>
      </c>
      <c r="F4" s="15"/>
    </row>
    <row r="5" spans="1:9" x14ac:dyDescent="0.25">
      <c r="A5" t="s">
        <v>1152</v>
      </c>
      <c r="B5" t="s">
        <v>1153</v>
      </c>
      <c r="C5" s="15">
        <v>637.30999999999995</v>
      </c>
    </row>
    <row r="6" spans="1:9" x14ac:dyDescent="0.25">
      <c r="A6" t="s">
        <v>1154</v>
      </c>
      <c r="B6" t="s">
        <v>1155</v>
      </c>
      <c r="C6" s="15">
        <v>654.76</v>
      </c>
    </row>
    <row r="7" spans="1:9" x14ac:dyDescent="0.25">
      <c r="A7" s="13" t="s">
        <v>1156</v>
      </c>
      <c r="B7" s="13" t="s">
        <v>1157</v>
      </c>
      <c r="C7" s="37">
        <v>857.11</v>
      </c>
    </row>
    <row r="8" spans="1:9" x14ac:dyDescent="0.25">
      <c r="A8" t="s">
        <v>1152</v>
      </c>
      <c r="B8" t="s">
        <v>1158</v>
      </c>
      <c r="C8" s="15">
        <v>893.55</v>
      </c>
    </row>
    <row r="9" spans="1:9" x14ac:dyDescent="0.25">
      <c r="A9" t="s">
        <v>1154</v>
      </c>
      <c r="B9" t="s">
        <v>1159</v>
      </c>
      <c r="C9" s="15">
        <v>1207.5</v>
      </c>
    </row>
    <row r="10" spans="1:9" x14ac:dyDescent="0.25">
      <c r="A10" t="s">
        <v>1147</v>
      </c>
      <c r="B10" t="s">
        <v>1160</v>
      </c>
      <c r="C10" s="15">
        <v>1293.75</v>
      </c>
    </row>
    <row r="11" spans="1:9" x14ac:dyDescent="0.25">
      <c r="A11" t="s">
        <v>1156</v>
      </c>
      <c r="B11" t="s">
        <v>1161</v>
      </c>
      <c r="C11" s="15">
        <v>1437.51</v>
      </c>
      <c r="I11" s="15"/>
    </row>
    <row r="12" spans="1:9" x14ac:dyDescent="0.25">
      <c r="A12" t="s">
        <v>1151</v>
      </c>
      <c r="B12" t="s">
        <v>1162</v>
      </c>
      <c r="C12" s="15">
        <v>2561.11</v>
      </c>
    </row>
    <row r="13" spans="1:9" x14ac:dyDescent="0.25">
      <c r="A13" t="s">
        <v>1151</v>
      </c>
      <c r="B13" t="s">
        <v>433</v>
      </c>
      <c r="C13" s="15">
        <v>2725.96</v>
      </c>
    </row>
    <row r="14" spans="1:9" x14ac:dyDescent="0.25">
      <c r="A14" t="s">
        <v>1163</v>
      </c>
      <c r="B14" t="s">
        <v>737</v>
      </c>
      <c r="C14" s="15">
        <v>2817.5</v>
      </c>
    </row>
    <row r="15" spans="1:9" x14ac:dyDescent="0.25">
      <c r="A15" t="s">
        <v>1164</v>
      </c>
      <c r="B15" t="s">
        <v>640</v>
      </c>
      <c r="C15" s="15">
        <v>3117.65</v>
      </c>
    </row>
    <row r="16" spans="1:9" x14ac:dyDescent="0.25">
      <c r="A16" t="s">
        <v>1154</v>
      </c>
      <c r="B16" t="s">
        <v>154</v>
      </c>
      <c r="C16" s="15">
        <v>3438.5</v>
      </c>
    </row>
    <row r="17" spans="1:3" x14ac:dyDescent="0.25">
      <c r="A17" t="s">
        <v>1165</v>
      </c>
      <c r="B17" t="s">
        <v>1166</v>
      </c>
      <c r="C17" s="15">
        <v>4635.0600000000004</v>
      </c>
    </row>
    <row r="18" spans="1:3" x14ac:dyDescent="0.25">
      <c r="A18" t="s">
        <v>1167</v>
      </c>
      <c r="B18" t="s">
        <v>1168</v>
      </c>
      <c r="C18" s="15">
        <v>5017</v>
      </c>
    </row>
    <row r="19" spans="1:3" x14ac:dyDescent="0.25">
      <c r="A19" t="s">
        <v>1151</v>
      </c>
      <c r="B19" t="s">
        <v>826</v>
      </c>
      <c r="C19" s="15">
        <v>5828.2</v>
      </c>
    </row>
    <row r="20" spans="1:3" x14ac:dyDescent="0.25">
      <c r="A20" t="s">
        <v>1149</v>
      </c>
      <c r="B20" t="s">
        <v>1169</v>
      </c>
      <c r="C20" s="15">
        <v>6082.02</v>
      </c>
    </row>
    <row r="21" spans="1:3" x14ac:dyDescent="0.25">
      <c r="A21" t="s">
        <v>1165</v>
      </c>
      <c r="B21" t="s">
        <v>1170</v>
      </c>
      <c r="C21" s="15">
        <v>10102.219999999999</v>
      </c>
    </row>
    <row r="22" spans="1:3" x14ac:dyDescent="0.25">
      <c r="A22" t="s">
        <v>1154</v>
      </c>
      <c r="B22" t="s">
        <v>1171</v>
      </c>
      <c r="C22" s="15">
        <v>10860.68</v>
      </c>
    </row>
    <row r="23" spans="1:3" x14ac:dyDescent="0.25">
      <c r="A23" t="s">
        <v>1149</v>
      </c>
      <c r="B23" t="s">
        <v>1172</v>
      </c>
      <c r="C23" s="15">
        <v>11083.7</v>
      </c>
    </row>
    <row r="24" spans="1:3" x14ac:dyDescent="0.25">
      <c r="A24" t="s">
        <v>1163</v>
      </c>
      <c r="B24" t="s">
        <v>1173</v>
      </c>
      <c r="C24" s="15">
        <v>11807.1</v>
      </c>
    </row>
    <row r="25" spans="1:3" x14ac:dyDescent="0.25">
      <c r="A25" t="s">
        <v>1164</v>
      </c>
      <c r="B25" t="s">
        <v>1174</v>
      </c>
      <c r="C25" s="15">
        <v>11962.51</v>
      </c>
    </row>
    <row r="26" spans="1:3" x14ac:dyDescent="0.25">
      <c r="A26" t="s">
        <v>1151</v>
      </c>
      <c r="B26" t="s">
        <v>150</v>
      </c>
      <c r="C26" s="15">
        <v>13511</v>
      </c>
    </row>
    <row r="27" spans="1:3" x14ac:dyDescent="0.25">
      <c r="A27" t="s">
        <v>1149</v>
      </c>
      <c r="B27">
        <v>118236</v>
      </c>
      <c r="C27" s="15">
        <v>13627.5</v>
      </c>
    </row>
    <row r="28" spans="1:3" x14ac:dyDescent="0.25">
      <c r="A28" t="s">
        <v>1175</v>
      </c>
      <c r="B28" t="s">
        <v>1176</v>
      </c>
      <c r="C28" s="15">
        <v>14934.9</v>
      </c>
    </row>
    <row r="29" spans="1:3" x14ac:dyDescent="0.25">
      <c r="A29" t="s">
        <v>1177</v>
      </c>
      <c r="B29" t="s">
        <v>1178</v>
      </c>
      <c r="C29" s="15">
        <v>15000</v>
      </c>
    </row>
    <row r="30" spans="1:3" x14ac:dyDescent="0.25">
      <c r="A30" t="s">
        <v>1179</v>
      </c>
      <c r="B30" t="s">
        <v>1180</v>
      </c>
      <c r="C30" s="15">
        <v>17493.34</v>
      </c>
    </row>
    <row r="31" spans="1:3" x14ac:dyDescent="0.25">
      <c r="A31" t="s">
        <v>1149</v>
      </c>
      <c r="B31" t="s">
        <v>1181</v>
      </c>
      <c r="C31" s="15">
        <v>18247.05</v>
      </c>
    </row>
    <row r="32" spans="1:3" x14ac:dyDescent="0.25">
      <c r="A32" t="s">
        <v>1165</v>
      </c>
      <c r="B32" t="s">
        <v>1182</v>
      </c>
      <c r="C32" s="15">
        <v>19251.919999999998</v>
      </c>
    </row>
    <row r="33" spans="1:3" x14ac:dyDescent="0.25">
      <c r="A33" t="s">
        <v>1183</v>
      </c>
      <c r="B33" t="s">
        <v>1184</v>
      </c>
      <c r="C33" s="15">
        <v>23840.65</v>
      </c>
    </row>
    <row r="34" spans="1:3" x14ac:dyDescent="0.25">
      <c r="A34" t="s">
        <v>1147</v>
      </c>
      <c r="B34" t="s">
        <v>1185</v>
      </c>
      <c r="C34" s="15">
        <v>23990.9</v>
      </c>
    </row>
    <row r="35" spans="1:3" x14ac:dyDescent="0.25">
      <c r="A35" t="s">
        <v>1167</v>
      </c>
      <c r="B35" t="s">
        <v>1186</v>
      </c>
      <c r="C35" s="15">
        <v>26226.81</v>
      </c>
    </row>
    <row r="36" spans="1:3" x14ac:dyDescent="0.25">
      <c r="A36" t="s">
        <v>1165</v>
      </c>
      <c r="B36" t="s">
        <v>1187</v>
      </c>
      <c r="C36" s="15">
        <v>28723.53</v>
      </c>
    </row>
    <row r="37" spans="1:3" x14ac:dyDescent="0.25">
      <c r="A37" t="s">
        <v>1152</v>
      </c>
      <c r="B37" t="s">
        <v>1188</v>
      </c>
      <c r="C37" s="15">
        <v>30000</v>
      </c>
    </row>
    <row r="38" spans="1:3" x14ac:dyDescent="0.25">
      <c r="A38" t="s">
        <v>1149</v>
      </c>
      <c r="B38" t="s">
        <v>1189</v>
      </c>
      <c r="C38" s="15">
        <v>36516.94</v>
      </c>
    </row>
    <row r="39" spans="1:3" x14ac:dyDescent="0.25">
      <c r="A39" t="s">
        <v>1156</v>
      </c>
      <c r="B39" t="s">
        <v>1190</v>
      </c>
      <c r="C39" s="15">
        <v>37641.760000000002</v>
      </c>
    </row>
    <row r="40" spans="1:3" x14ac:dyDescent="0.25">
      <c r="A40" t="s">
        <v>1191</v>
      </c>
      <c r="B40" t="s">
        <v>1192</v>
      </c>
      <c r="C40" s="15">
        <v>65519</v>
      </c>
    </row>
    <row r="41" spans="1:3" x14ac:dyDescent="0.25">
      <c r="A41" t="s">
        <v>1147</v>
      </c>
      <c r="B41" t="s">
        <v>57</v>
      </c>
      <c r="C41" s="15">
        <v>73466.600000000006</v>
      </c>
    </row>
    <row r="42" spans="1:3" x14ac:dyDescent="0.25">
      <c r="A42" t="s">
        <v>1165</v>
      </c>
      <c r="B42" t="s">
        <v>1161</v>
      </c>
      <c r="C42" s="15">
        <v>76939.83</v>
      </c>
    </row>
    <row r="43" spans="1:3" x14ac:dyDescent="0.25">
      <c r="A43" t="s">
        <v>1183</v>
      </c>
      <c r="B43" t="s">
        <v>1193</v>
      </c>
      <c r="C43" s="15">
        <v>134422.32999999999</v>
      </c>
    </row>
    <row r="44" spans="1:3" x14ac:dyDescent="0.25">
      <c r="A44" t="s">
        <v>1183</v>
      </c>
      <c r="B44" t="s">
        <v>1194</v>
      </c>
      <c r="C44" s="15">
        <v>134623.64000000001</v>
      </c>
    </row>
    <row r="45" spans="1:3" x14ac:dyDescent="0.25">
      <c r="A45" t="s">
        <v>1154</v>
      </c>
      <c r="B45" t="s">
        <v>1195</v>
      </c>
      <c r="C45" s="15">
        <v>168267.56</v>
      </c>
    </row>
    <row r="46" spans="1:3" x14ac:dyDescent="0.25">
      <c r="A46" t="s">
        <v>1156</v>
      </c>
      <c r="B46" t="s">
        <v>1190</v>
      </c>
      <c r="C46" s="15">
        <v>200000</v>
      </c>
    </row>
    <row r="47" spans="1:3" x14ac:dyDescent="0.25">
      <c r="A47" t="s">
        <v>1167</v>
      </c>
      <c r="B47" t="s">
        <v>1196</v>
      </c>
      <c r="C47" s="15">
        <v>210027.61</v>
      </c>
    </row>
    <row r="48" spans="1:3" x14ac:dyDescent="0.25">
      <c r="A48" t="s">
        <v>1201</v>
      </c>
      <c r="B48" t="s">
        <v>1202</v>
      </c>
      <c r="C48" s="37">
        <v>101242.55</v>
      </c>
    </row>
    <row r="49" spans="1:4" x14ac:dyDescent="0.25">
      <c r="A49" t="s">
        <v>1201</v>
      </c>
      <c r="B49" t="s">
        <v>1244</v>
      </c>
      <c r="C49" s="37">
        <v>321.32</v>
      </c>
    </row>
    <row r="50" spans="1:4" x14ac:dyDescent="0.25">
      <c r="A50" t="s">
        <v>1201</v>
      </c>
      <c r="B50" t="s">
        <v>1245</v>
      </c>
      <c r="C50" s="37">
        <v>338.25</v>
      </c>
    </row>
    <row r="51" spans="1:4" x14ac:dyDescent="0.25">
      <c r="A51" t="s">
        <v>1201</v>
      </c>
      <c r="B51" t="s">
        <v>1246</v>
      </c>
      <c r="C51" s="37">
        <v>354.66</v>
      </c>
    </row>
    <row r="52" spans="1:4" x14ac:dyDescent="0.25">
      <c r="A52" t="s">
        <v>1201</v>
      </c>
      <c r="B52" t="s">
        <v>281</v>
      </c>
      <c r="C52" s="37">
        <v>358.11</v>
      </c>
    </row>
    <row r="53" spans="1:4" x14ac:dyDescent="0.25">
      <c r="A53" t="s">
        <v>1201</v>
      </c>
      <c r="B53" t="s">
        <v>1247</v>
      </c>
      <c r="C53" s="37">
        <v>358.59</v>
      </c>
      <c r="D53" s="15"/>
    </row>
    <row r="54" spans="1:4" x14ac:dyDescent="0.25">
      <c r="A54" t="s">
        <v>1201</v>
      </c>
      <c r="B54" t="s">
        <v>35</v>
      </c>
      <c r="C54" s="37">
        <v>641.70000000000005</v>
      </c>
    </row>
    <row r="55" spans="1:4" x14ac:dyDescent="0.25">
      <c r="A55" t="s">
        <v>1201</v>
      </c>
      <c r="B55" t="s">
        <v>1248</v>
      </c>
      <c r="C55" s="37">
        <v>646.30999999999995</v>
      </c>
    </row>
    <row r="56" spans="1:4" x14ac:dyDescent="0.25">
      <c r="A56" t="s">
        <v>1201</v>
      </c>
      <c r="B56" t="s">
        <v>115</v>
      </c>
      <c r="C56" s="37">
        <v>734.3</v>
      </c>
    </row>
    <row r="57" spans="1:4" x14ac:dyDescent="0.25">
      <c r="A57" t="s">
        <v>1201</v>
      </c>
      <c r="B57" t="s">
        <v>630</v>
      </c>
      <c r="C57" s="37">
        <v>742.72</v>
      </c>
    </row>
    <row r="58" spans="1:4" x14ac:dyDescent="0.25">
      <c r="A58" t="s">
        <v>1201</v>
      </c>
      <c r="B58" t="s">
        <v>215</v>
      </c>
      <c r="C58" s="37">
        <v>1069.79</v>
      </c>
    </row>
    <row r="59" spans="1:4" x14ac:dyDescent="0.25">
      <c r="A59" t="s">
        <v>1201</v>
      </c>
      <c r="B59" t="s">
        <v>1249</v>
      </c>
      <c r="C59" s="37">
        <v>1300.3699999999999</v>
      </c>
    </row>
    <row r="60" spans="1:4" x14ac:dyDescent="0.25">
      <c r="A60" t="s">
        <v>1201</v>
      </c>
      <c r="B60" t="s">
        <v>1250</v>
      </c>
      <c r="C60" s="37">
        <v>1303.3699999999999</v>
      </c>
    </row>
    <row r="61" spans="1:4" x14ac:dyDescent="0.25">
      <c r="A61" t="s">
        <v>1201</v>
      </c>
      <c r="B61" t="s">
        <v>1251</v>
      </c>
      <c r="C61" s="37">
        <v>1442.1</v>
      </c>
    </row>
    <row r="62" spans="1:4" x14ac:dyDescent="0.25">
      <c r="A62" t="s">
        <v>1201</v>
      </c>
      <c r="B62" t="s">
        <v>1252</v>
      </c>
      <c r="C62" s="37">
        <v>1478.53</v>
      </c>
    </row>
    <row r="63" spans="1:4" x14ac:dyDescent="0.25">
      <c r="A63" t="s">
        <v>1201</v>
      </c>
      <c r="B63" t="s">
        <v>1253</v>
      </c>
      <c r="C63" s="37">
        <v>1682.26</v>
      </c>
    </row>
    <row r="64" spans="1:4" x14ac:dyDescent="0.25">
      <c r="A64" t="s">
        <v>1201</v>
      </c>
      <c r="B64" t="s">
        <v>1254</v>
      </c>
      <c r="C64" s="37">
        <v>1730.75</v>
      </c>
    </row>
    <row r="65" spans="1:3" x14ac:dyDescent="0.25">
      <c r="A65" t="s">
        <v>1201</v>
      </c>
      <c r="B65" t="s">
        <v>1255</v>
      </c>
      <c r="C65" s="37">
        <v>1940.51</v>
      </c>
    </row>
    <row r="66" spans="1:3" x14ac:dyDescent="0.25">
      <c r="A66" t="s">
        <v>1201</v>
      </c>
      <c r="B66" t="s">
        <v>1256</v>
      </c>
      <c r="C66" s="37">
        <v>1949.08</v>
      </c>
    </row>
    <row r="67" spans="1:3" x14ac:dyDescent="0.25">
      <c r="A67" t="s">
        <v>1201</v>
      </c>
      <c r="B67" t="s">
        <v>172</v>
      </c>
      <c r="C67" s="37">
        <v>2005.36</v>
      </c>
    </row>
    <row r="68" spans="1:3" x14ac:dyDescent="0.25">
      <c r="A68" t="s">
        <v>1201</v>
      </c>
      <c r="B68">
        <v>1151</v>
      </c>
      <c r="C68" s="37">
        <v>2250.8200000000002</v>
      </c>
    </row>
    <row r="69" spans="1:3" x14ac:dyDescent="0.25">
      <c r="A69" t="s">
        <v>1201</v>
      </c>
      <c r="B69">
        <v>1151</v>
      </c>
      <c r="C69" s="37">
        <v>2250.8200000000002</v>
      </c>
    </row>
    <row r="70" spans="1:3" x14ac:dyDescent="0.25">
      <c r="A70" t="s">
        <v>1201</v>
      </c>
      <c r="B70" t="s">
        <v>1257</v>
      </c>
      <c r="C70" s="37">
        <v>2390.2600000000002</v>
      </c>
    </row>
    <row r="71" spans="1:3" x14ac:dyDescent="0.25">
      <c r="A71" t="s">
        <v>1201</v>
      </c>
      <c r="B71" t="s">
        <v>1258</v>
      </c>
      <c r="C71" s="37">
        <v>2458.6999999999998</v>
      </c>
    </row>
    <row r="72" spans="1:3" x14ac:dyDescent="0.25">
      <c r="A72" t="s">
        <v>1201</v>
      </c>
      <c r="B72" t="s">
        <v>1259</v>
      </c>
      <c r="C72" s="37">
        <v>2870.02</v>
      </c>
    </row>
    <row r="73" spans="1:3" x14ac:dyDescent="0.25">
      <c r="A73" t="s">
        <v>1201</v>
      </c>
      <c r="B73">
        <v>1151</v>
      </c>
      <c r="C73" s="37">
        <v>3071.6</v>
      </c>
    </row>
    <row r="74" spans="1:3" x14ac:dyDescent="0.25">
      <c r="A74" t="s">
        <v>1201</v>
      </c>
      <c r="B74" t="s">
        <v>1260</v>
      </c>
      <c r="C74" s="37">
        <v>3108.81</v>
      </c>
    </row>
    <row r="75" spans="1:3" x14ac:dyDescent="0.25">
      <c r="A75" t="s">
        <v>1201</v>
      </c>
      <c r="B75" t="s">
        <v>1261</v>
      </c>
      <c r="C75" s="37">
        <v>3908.2</v>
      </c>
    </row>
    <row r="76" spans="1:3" x14ac:dyDescent="0.25">
      <c r="A76" t="s">
        <v>1201</v>
      </c>
      <c r="B76" t="s">
        <v>1262</v>
      </c>
      <c r="C76" s="37">
        <v>4012.77</v>
      </c>
    </row>
    <row r="77" spans="1:3" ht="15.75" thickBot="1" x14ac:dyDescent="0.3">
      <c r="A77" t="s">
        <v>1201</v>
      </c>
      <c r="B77" t="s">
        <v>1263</v>
      </c>
      <c r="C77" s="37">
        <v>4400.6099999999997</v>
      </c>
    </row>
    <row r="78" spans="1:3" x14ac:dyDescent="0.25">
      <c r="A78" t="s">
        <v>1201</v>
      </c>
      <c r="B78" t="s">
        <v>762</v>
      </c>
      <c r="C78" s="60">
        <v>5559.8</v>
      </c>
    </row>
    <row r="79" spans="1:3" ht="15.75" thickBot="1" x14ac:dyDescent="0.3">
      <c r="A79" t="s">
        <v>1201</v>
      </c>
      <c r="B79" t="s">
        <v>193</v>
      </c>
      <c r="C79" s="61">
        <v>6944.85</v>
      </c>
    </row>
    <row r="80" spans="1:3" x14ac:dyDescent="0.25">
      <c r="A80" t="s">
        <v>1201</v>
      </c>
      <c r="B80" t="s">
        <v>1264</v>
      </c>
      <c r="C80" s="60">
        <v>7664.75</v>
      </c>
    </row>
    <row r="81" spans="1:3" x14ac:dyDescent="0.25">
      <c r="A81" t="s">
        <v>1201</v>
      </c>
      <c r="B81" t="s">
        <v>1265</v>
      </c>
      <c r="C81" s="62">
        <v>8083.26</v>
      </c>
    </row>
    <row r="82" spans="1:3" x14ac:dyDescent="0.25">
      <c r="A82" t="s">
        <v>1201</v>
      </c>
      <c r="B82" t="s">
        <v>1266</v>
      </c>
      <c r="C82" s="62">
        <v>9359.0499999999993</v>
      </c>
    </row>
    <row r="83" spans="1:3" ht="15.75" thickBot="1" x14ac:dyDescent="0.3">
      <c r="A83" t="s">
        <v>1201</v>
      </c>
      <c r="B83" t="s">
        <v>1266</v>
      </c>
      <c r="C83" s="61">
        <v>10105</v>
      </c>
    </row>
    <row r="84" spans="1:3" x14ac:dyDescent="0.25">
      <c r="A84" t="s">
        <v>1201</v>
      </c>
      <c r="B84" t="s">
        <v>263</v>
      </c>
      <c r="C84" s="37">
        <v>10832.23</v>
      </c>
    </row>
    <row r="85" spans="1:3" x14ac:dyDescent="0.25">
      <c r="A85" t="s">
        <v>1201</v>
      </c>
      <c r="B85" t="s">
        <v>1267</v>
      </c>
      <c r="C85" s="37">
        <v>20861</v>
      </c>
    </row>
    <row r="86" spans="1:3" x14ac:dyDescent="0.25">
      <c r="A86" t="s">
        <v>1201</v>
      </c>
      <c r="B86" t="s">
        <v>1268</v>
      </c>
      <c r="C86" s="37">
        <v>65469.06</v>
      </c>
    </row>
    <row r="87" spans="1:3" x14ac:dyDescent="0.25">
      <c r="A87" t="s">
        <v>1201</v>
      </c>
      <c r="B87" t="s">
        <v>1269</v>
      </c>
      <c r="C87" s="37">
        <v>211548.25</v>
      </c>
    </row>
    <row r="89" spans="1:3" x14ac:dyDescent="0.25">
      <c r="C89" s="15">
        <f>SUM(C2:C88)</f>
        <v>1991370.8900000013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0099D-B4BD-4B46-BA84-ED10FE3E15F1}">
  <dimension ref="A1:E55"/>
  <sheetViews>
    <sheetView topLeftCell="A22" workbookViewId="0">
      <selection activeCell="D54" sqref="D54"/>
    </sheetView>
  </sheetViews>
  <sheetFormatPr defaultRowHeight="15" x14ac:dyDescent="0.25"/>
  <cols>
    <col min="3" max="3" width="16.42578125" customWidth="1"/>
    <col min="4" max="4" width="10.85546875" customWidth="1"/>
  </cols>
  <sheetData>
    <row r="1" spans="1:5" x14ac:dyDescent="0.25">
      <c r="A1">
        <v>77</v>
      </c>
      <c r="B1" t="s">
        <v>1201</v>
      </c>
      <c r="C1" t="s">
        <v>111</v>
      </c>
      <c r="D1" s="15">
        <v>79.349999999999994</v>
      </c>
      <c r="E1" t="s">
        <v>1203</v>
      </c>
    </row>
    <row r="2" spans="1:5" x14ac:dyDescent="0.25">
      <c r="A2">
        <v>78</v>
      </c>
      <c r="B2" t="s">
        <v>1201</v>
      </c>
      <c r="C2" t="s">
        <v>1204</v>
      </c>
      <c r="D2" s="15">
        <v>79.349999999999994</v>
      </c>
      <c r="E2" t="s">
        <v>1203</v>
      </c>
    </row>
    <row r="3" spans="1:5" x14ac:dyDescent="0.25">
      <c r="A3">
        <v>79</v>
      </c>
      <c r="B3" t="s">
        <v>1201</v>
      </c>
      <c r="C3" t="s">
        <v>1205</v>
      </c>
      <c r="D3" s="15">
        <v>79.349999999999994</v>
      </c>
      <c r="E3" t="s">
        <v>1203</v>
      </c>
    </row>
    <row r="4" spans="1:5" x14ac:dyDescent="0.25">
      <c r="A4">
        <v>80</v>
      </c>
      <c r="B4" t="s">
        <v>1201</v>
      </c>
      <c r="C4" t="s">
        <v>1206</v>
      </c>
      <c r="D4" s="15">
        <v>79.349999999999994</v>
      </c>
      <c r="E4" t="s">
        <v>1203</v>
      </c>
    </row>
    <row r="5" spans="1:5" x14ac:dyDescent="0.25">
      <c r="A5">
        <v>81</v>
      </c>
      <c r="B5" t="s">
        <v>1201</v>
      </c>
      <c r="C5" t="s">
        <v>1207</v>
      </c>
      <c r="D5" s="15">
        <v>79.349999999999994</v>
      </c>
      <c r="E5" t="s">
        <v>1203</v>
      </c>
    </row>
    <row r="6" spans="1:5" x14ac:dyDescent="0.25">
      <c r="A6">
        <v>76</v>
      </c>
      <c r="B6" t="s">
        <v>1201</v>
      </c>
      <c r="C6" t="s">
        <v>880</v>
      </c>
      <c r="D6" s="15">
        <v>90.85</v>
      </c>
      <c r="E6" t="s">
        <v>1203</v>
      </c>
    </row>
    <row r="7" spans="1:5" x14ac:dyDescent="0.25">
      <c r="A7">
        <v>75</v>
      </c>
      <c r="B7" t="s">
        <v>1201</v>
      </c>
      <c r="C7" t="s">
        <v>1208</v>
      </c>
      <c r="D7" s="15">
        <v>94.48</v>
      </c>
      <c r="E7" t="s">
        <v>1203</v>
      </c>
    </row>
    <row r="8" spans="1:5" x14ac:dyDescent="0.25">
      <c r="A8">
        <v>74</v>
      </c>
      <c r="B8" t="s">
        <v>1201</v>
      </c>
      <c r="C8" t="s">
        <v>1208</v>
      </c>
      <c r="D8" s="15">
        <v>102.05</v>
      </c>
      <c r="E8" t="s">
        <v>1203</v>
      </c>
    </row>
    <row r="9" spans="1:5" x14ac:dyDescent="0.25">
      <c r="A9">
        <v>73</v>
      </c>
      <c r="B9" t="s">
        <v>1201</v>
      </c>
      <c r="C9" t="s">
        <v>1209</v>
      </c>
      <c r="D9" s="15">
        <v>116.07</v>
      </c>
      <c r="E9" t="s">
        <v>1203</v>
      </c>
    </row>
    <row r="10" spans="1:5" x14ac:dyDescent="0.25">
      <c r="A10">
        <v>72</v>
      </c>
      <c r="B10" t="s">
        <v>1201</v>
      </c>
      <c r="C10" t="s">
        <v>275</v>
      </c>
      <c r="D10" s="15">
        <v>126.17</v>
      </c>
      <c r="E10" t="s">
        <v>1203</v>
      </c>
    </row>
    <row r="11" spans="1:5" x14ac:dyDescent="0.25">
      <c r="A11">
        <v>71</v>
      </c>
      <c r="B11" t="s">
        <v>1201</v>
      </c>
      <c r="C11" t="s">
        <v>1210</v>
      </c>
      <c r="D11" s="15">
        <v>126.72</v>
      </c>
      <c r="E11" t="s">
        <v>1203</v>
      </c>
    </row>
    <row r="12" spans="1:5" x14ac:dyDescent="0.25">
      <c r="A12">
        <v>70</v>
      </c>
      <c r="B12" t="s">
        <v>1201</v>
      </c>
      <c r="C12" t="s">
        <v>622</v>
      </c>
      <c r="D12" s="15">
        <v>128.80000000000001</v>
      </c>
      <c r="E12" t="s">
        <v>1203</v>
      </c>
    </row>
    <row r="13" spans="1:5" x14ac:dyDescent="0.25">
      <c r="A13">
        <v>69</v>
      </c>
      <c r="B13" t="s">
        <v>1201</v>
      </c>
      <c r="C13" t="s">
        <v>1211</v>
      </c>
      <c r="D13" s="15">
        <v>131.80000000000001</v>
      </c>
      <c r="E13" t="s">
        <v>1203</v>
      </c>
    </row>
    <row r="14" spans="1:5" x14ac:dyDescent="0.25">
      <c r="A14">
        <v>68</v>
      </c>
      <c r="B14" t="s">
        <v>1201</v>
      </c>
      <c r="C14" t="s">
        <v>1212</v>
      </c>
      <c r="D14" s="15">
        <v>139.1</v>
      </c>
      <c r="E14" t="s">
        <v>1203</v>
      </c>
    </row>
    <row r="15" spans="1:5" x14ac:dyDescent="0.25">
      <c r="A15">
        <v>67</v>
      </c>
      <c r="B15" t="s">
        <v>1201</v>
      </c>
      <c r="C15" t="s">
        <v>372</v>
      </c>
      <c r="D15" s="15">
        <v>142.54</v>
      </c>
      <c r="E15" t="s">
        <v>1203</v>
      </c>
    </row>
    <row r="16" spans="1:5" x14ac:dyDescent="0.25">
      <c r="A16">
        <v>66</v>
      </c>
      <c r="B16" t="s">
        <v>1201</v>
      </c>
      <c r="C16" t="s">
        <v>71</v>
      </c>
      <c r="D16" s="15">
        <v>147.16999999999999</v>
      </c>
      <c r="E16" t="s">
        <v>1203</v>
      </c>
    </row>
    <row r="17" spans="1:5" x14ac:dyDescent="0.25">
      <c r="A17">
        <v>65</v>
      </c>
      <c r="B17" t="s">
        <v>1201</v>
      </c>
      <c r="C17" t="s">
        <v>130</v>
      </c>
      <c r="D17" s="15">
        <v>153.53</v>
      </c>
      <c r="E17" t="s">
        <v>1203</v>
      </c>
    </row>
    <row r="18" spans="1:5" x14ac:dyDescent="0.25">
      <c r="A18">
        <v>64</v>
      </c>
      <c r="B18" t="s">
        <v>1201</v>
      </c>
      <c r="C18" t="s">
        <v>1213</v>
      </c>
      <c r="D18" s="15">
        <v>162.97999999999999</v>
      </c>
      <c r="E18" t="s">
        <v>1203</v>
      </c>
    </row>
    <row r="19" spans="1:5" x14ac:dyDescent="0.25">
      <c r="A19">
        <v>63</v>
      </c>
      <c r="B19" t="s">
        <v>1201</v>
      </c>
      <c r="C19" t="s">
        <v>1214</v>
      </c>
      <c r="D19" s="15">
        <v>165.8</v>
      </c>
      <c r="E19" t="s">
        <v>1203</v>
      </c>
    </row>
    <row r="20" spans="1:5" x14ac:dyDescent="0.25">
      <c r="A20">
        <v>62</v>
      </c>
      <c r="B20" t="s">
        <v>1201</v>
      </c>
      <c r="C20" t="s">
        <v>1215</v>
      </c>
      <c r="D20" s="15">
        <v>170.56</v>
      </c>
      <c r="E20" t="s">
        <v>1203</v>
      </c>
    </row>
    <row r="21" spans="1:5" x14ac:dyDescent="0.25">
      <c r="A21">
        <v>61</v>
      </c>
      <c r="B21" t="s">
        <v>1201</v>
      </c>
      <c r="C21" t="s">
        <v>1216</v>
      </c>
      <c r="D21" s="15">
        <v>175.18</v>
      </c>
      <c r="E21" t="s">
        <v>1203</v>
      </c>
    </row>
    <row r="22" spans="1:5" x14ac:dyDescent="0.25">
      <c r="A22">
        <v>60</v>
      </c>
      <c r="B22" t="s">
        <v>1201</v>
      </c>
      <c r="C22" t="s">
        <v>1217</v>
      </c>
      <c r="D22" s="15">
        <v>188.7</v>
      </c>
      <c r="E22" t="s">
        <v>1203</v>
      </c>
    </row>
    <row r="23" spans="1:5" x14ac:dyDescent="0.25">
      <c r="A23">
        <v>59</v>
      </c>
      <c r="B23" t="s">
        <v>1201</v>
      </c>
      <c r="C23" t="s">
        <v>84</v>
      </c>
      <c r="D23" s="15">
        <v>204.69</v>
      </c>
      <c r="E23" t="s">
        <v>1203</v>
      </c>
    </row>
    <row r="24" spans="1:5" x14ac:dyDescent="0.25">
      <c r="A24">
        <v>58</v>
      </c>
      <c r="B24" t="s">
        <v>1201</v>
      </c>
      <c r="C24" t="s">
        <v>820</v>
      </c>
      <c r="D24" s="15">
        <v>204.7</v>
      </c>
      <c r="E24" t="s">
        <v>1203</v>
      </c>
    </row>
    <row r="25" spans="1:5" x14ac:dyDescent="0.25">
      <c r="A25">
        <v>57</v>
      </c>
      <c r="B25" t="s">
        <v>1201</v>
      </c>
      <c r="C25" t="s">
        <v>831</v>
      </c>
      <c r="D25" s="15">
        <v>227.7</v>
      </c>
      <c r="E25" t="s">
        <v>1203</v>
      </c>
    </row>
    <row r="26" spans="1:5" x14ac:dyDescent="0.25">
      <c r="A26">
        <v>56</v>
      </c>
      <c r="B26" t="s">
        <v>1201</v>
      </c>
      <c r="C26" t="s">
        <v>1218</v>
      </c>
      <c r="D26" s="15">
        <v>230.35</v>
      </c>
      <c r="E26" t="s">
        <v>1203</v>
      </c>
    </row>
    <row r="27" spans="1:5" x14ac:dyDescent="0.25">
      <c r="A27">
        <v>55</v>
      </c>
      <c r="B27" t="s">
        <v>1201</v>
      </c>
      <c r="C27" t="s">
        <v>743</v>
      </c>
      <c r="D27" s="15">
        <v>232.14</v>
      </c>
      <c r="E27" t="s">
        <v>1203</v>
      </c>
    </row>
    <row r="28" spans="1:5" x14ac:dyDescent="0.25">
      <c r="A28">
        <v>54</v>
      </c>
      <c r="B28" t="s">
        <v>1201</v>
      </c>
      <c r="C28" t="s">
        <v>1219</v>
      </c>
      <c r="D28" s="15">
        <v>244.78</v>
      </c>
      <c r="E28" t="s">
        <v>1203</v>
      </c>
    </row>
    <row r="29" spans="1:5" x14ac:dyDescent="0.25">
      <c r="A29">
        <v>53</v>
      </c>
      <c r="B29" t="s">
        <v>1201</v>
      </c>
      <c r="C29" t="s">
        <v>1220</v>
      </c>
      <c r="D29" s="15">
        <v>255.51</v>
      </c>
      <c r="E29" t="s">
        <v>1203</v>
      </c>
    </row>
    <row r="30" spans="1:5" x14ac:dyDescent="0.25">
      <c r="A30">
        <v>52</v>
      </c>
      <c r="B30" t="s">
        <v>1201</v>
      </c>
      <c r="C30" t="s">
        <v>65</v>
      </c>
      <c r="D30" s="15">
        <v>284.67</v>
      </c>
      <c r="E30" t="s">
        <v>1203</v>
      </c>
    </row>
    <row r="31" spans="1:5" x14ac:dyDescent="0.25">
      <c r="A31">
        <v>51</v>
      </c>
      <c r="B31" t="s">
        <v>1201</v>
      </c>
      <c r="C31" t="s">
        <v>1221</v>
      </c>
      <c r="D31" s="15">
        <v>297.85000000000002</v>
      </c>
      <c r="E31" t="s">
        <v>1203</v>
      </c>
    </row>
    <row r="32" spans="1:5" x14ac:dyDescent="0.25">
      <c r="A32">
        <v>50</v>
      </c>
      <c r="B32" t="s">
        <v>1201</v>
      </c>
      <c r="C32" t="s">
        <v>1222</v>
      </c>
      <c r="D32" s="15">
        <v>313.57</v>
      </c>
      <c r="E32" t="s">
        <v>1203</v>
      </c>
    </row>
    <row r="33" spans="1:5" x14ac:dyDescent="0.25">
      <c r="A33">
        <v>44</v>
      </c>
      <c r="B33" t="s">
        <v>1201</v>
      </c>
      <c r="C33" t="s">
        <v>1223</v>
      </c>
      <c r="D33" s="15">
        <v>378.59</v>
      </c>
      <c r="E33" t="s">
        <v>1203</v>
      </c>
    </row>
    <row r="34" spans="1:5" x14ac:dyDescent="0.25">
      <c r="A34">
        <v>43</v>
      </c>
      <c r="B34" t="s">
        <v>1201</v>
      </c>
      <c r="C34" t="s">
        <v>1224</v>
      </c>
      <c r="D34" s="15">
        <v>457.7</v>
      </c>
      <c r="E34" t="s">
        <v>1203</v>
      </c>
    </row>
    <row r="35" spans="1:5" x14ac:dyDescent="0.25">
      <c r="A35">
        <v>42</v>
      </c>
      <c r="B35" t="s">
        <v>1201</v>
      </c>
      <c r="C35" t="s">
        <v>1225</v>
      </c>
      <c r="D35" s="15">
        <v>488.75</v>
      </c>
      <c r="E35" t="s">
        <v>1203</v>
      </c>
    </row>
    <row r="36" spans="1:5" x14ac:dyDescent="0.25">
      <c r="A36">
        <v>41</v>
      </c>
      <c r="B36" t="s">
        <v>1201</v>
      </c>
      <c r="C36" t="s">
        <v>1226</v>
      </c>
      <c r="D36" s="15">
        <v>545.41</v>
      </c>
      <c r="E36" t="s">
        <v>1203</v>
      </c>
    </row>
    <row r="37" spans="1:5" x14ac:dyDescent="0.25">
      <c r="A37">
        <v>40</v>
      </c>
      <c r="B37" t="s">
        <v>1201</v>
      </c>
      <c r="C37" t="s">
        <v>1227</v>
      </c>
      <c r="D37" s="15">
        <v>632.66999999999996</v>
      </c>
      <c r="E37" t="s">
        <v>1203</v>
      </c>
    </row>
    <row r="38" spans="1:5" x14ac:dyDescent="0.25">
      <c r="A38">
        <v>36</v>
      </c>
      <c r="B38" t="s">
        <v>1201</v>
      </c>
      <c r="C38" t="s">
        <v>1228</v>
      </c>
      <c r="D38" s="15">
        <v>683.28</v>
      </c>
      <c r="E38" t="s">
        <v>1203</v>
      </c>
    </row>
    <row r="39" spans="1:5" x14ac:dyDescent="0.25">
      <c r="A39">
        <v>37</v>
      </c>
      <c r="B39" t="s">
        <v>1201</v>
      </c>
      <c r="C39" t="s">
        <v>1229</v>
      </c>
      <c r="D39" s="15">
        <v>683.28</v>
      </c>
      <c r="E39" t="s">
        <v>1203</v>
      </c>
    </row>
    <row r="40" spans="1:5" x14ac:dyDescent="0.25">
      <c r="A40">
        <v>33</v>
      </c>
      <c r="B40" t="s">
        <v>1201</v>
      </c>
      <c r="C40" t="s">
        <v>1230</v>
      </c>
      <c r="D40" s="15">
        <v>836.65</v>
      </c>
      <c r="E40" t="s">
        <v>1203</v>
      </c>
    </row>
    <row r="41" spans="1:5" x14ac:dyDescent="0.25">
      <c r="A41">
        <v>32</v>
      </c>
      <c r="B41" t="s">
        <v>1201</v>
      </c>
      <c r="C41" t="s">
        <v>1231</v>
      </c>
      <c r="D41" s="15">
        <v>881.4</v>
      </c>
      <c r="E41" t="s">
        <v>1203</v>
      </c>
    </row>
    <row r="42" spans="1:5" x14ac:dyDescent="0.25">
      <c r="A42">
        <v>94</v>
      </c>
      <c r="B42" t="s">
        <v>1201</v>
      </c>
      <c r="C42" t="s">
        <v>1160</v>
      </c>
      <c r="D42" s="15">
        <v>1017.75</v>
      </c>
      <c r="E42" t="s">
        <v>1203</v>
      </c>
    </row>
    <row r="43" spans="1:5" x14ac:dyDescent="0.25">
      <c r="A43">
        <v>31</v>
      </c>
      <c r="B43" t="s">
        <v>1201</v>
      </c>
      <c r="C43" t="s">
        <v>1232</v>
      </c>
      <c r="D43" s="15">
        <v>1024.25</v>
      </c>
      <c r="E43" t="s">
        <v>1203</v>
      </c>
    </row>
    <row r="44" spans="1:5" x14ac:dyDescent="0.25">
      <c r="A44">
        <v>93</v>
      </c>
      <c r="B44" t="s">
        <v>1201</v>
      </c>
      <c r="C44" t="s">
        <v>1233</v>
      </c>
      <c r="D44" s="15">
        <v>1029.25</v>
      </c>
      <c r="E44" t="s">
        <v>1203</v>
      </c>
    </row>
    <row r="45" spans="1:5" x14ac:dyDescent="0.25">
      <c r="A45">
        <v>29</v>
      </c>
      <c r="B45" t="s">
        <v>1201</v>
      </c>
      <c r="C45" t="s">
        <v>1234</v>
      </c>
      <c r="D45" s="15">
        <v>1122.4000000000001</v>
      </c>
      <c r="E45" t="s">
        <v>1203</v>
      </c>
    </row>
    <row r="46" spans="1:5" x14ac:dyDescent="0.25">
      <c r="A46">
        <v>92</v>
      </c>
      <c r="B46" t="s">
        <v>1201</v>
      </c>
      <c r="C46" t="s">
        <v>1235</v>
      </c>
      <c r="D46" s="15">
        <v>1225.9000000000001</v>
      </c>
      <c r="E46" t="s">
        <v>1203</v>
      </c>
    </row>
    <row r="47" spans="1:5" x14ac:dyDescent="0.25">
      <c r="A47">
        <v>25</v>
      </c>
      <c r="B47" t="s">
        <v>1201</v>
      </c>
      <c r="C47" t="s">
        <v>1226</v>
      </c>
      <c r="D47" s="15">
        <v>1467.84</v>
      </c>
      <c r="E47" t="s">
        <v>1203</v>
      </c>
    </row>
    <row r="48" spans="1:5" x14ac:dyDescent="0.25">
      <c r="A48">
        <v>17</v>
      </c>
      <c r="B48" t="s">
        <v>1201</v>
      </c>
      <c r="C48" t="s">
        <v>1236</v>
      </c>
      <c r="D48" s="15">
        <v>2697.9</v>
      </c>
      <c r="E48" t="s">
        <v>1203</v>
      </c>
    </row>
    <row r="49" spans="1:5" x14ac:dyDescent="0.25">
      <c r="A49">
        <v>15</v>
      </c>
      <c r="B49" t="s">
        <v>1201</v>
      </c>
      <c r="C49" t="s">
        <v>1237</v>
      </c>
      <c r="D49" s="15">
        <v>3556.83</v>
      </c>
      <c r="E49" t="s">
        <v>1203</v>
      </c>
    </row>
    <row r="50" spans="1:5" x14ac:dyDescent="0.25">
      <c r="A50">
        <v>10</v>
      </c>
      <c r="B50" t="s">
        <v>1201</v>
      </c>
      <c r="C50" t="s">
        <v>1238</v>
      </c>
      <c r="D50" s="15">
        <v>6204.14</v>
      </c>
      <c r="E50" t="s">
        <v>1203</v>
      </c>
    </row>
    <row r="51" spans="1:5" x14ac:dyDescent="0.25">
      <c r="A51">
        <v>9</v>
      </c>
      <c r="B51" t="s">
        <v>1201</v>
      </c>
      <c r="C51" t="s">
        <v>1239</v>
      </c>
      <c r="D51" s="15">
        <v>6470.16</v>
      </c>
      <c r="E51" t="s">
        <v>1203</v>
      </c>
    </row>
    <row r="52" spans="1:5" x14ac:dyDescent="0.25">
      <c r="A52">
        <v>8</v>
      </c>
      <c r="B52" t="s">
        <v>1201</v>
      </c>
      <c r="C52" t="s">
        <v>1240</v>
      </c>
      <c r="D52" s="15">
        <v>6779.6</v>
      </c>
      <c r="E52" t="s">
        <v>1203</v>
      </c>
    </row>
    <row r="53" spans="1:5" x14ac:dyDescent="0.25">
      <c r="A53">
        <v>84</v>
      </c>
      <c r="B53" t="s">
        <v>1201</v>
      </c>
      <c r="C53" t="s">
        <v>1241</v>
      </c>
      <c r="D53" s="15">
        <v>14906.12</v>
      </c>
      <c r="E53" t="s">
        <v>1203</v>
      </c>
    </row>
    <row r="54" spans="1:5" x14ac:dyDescent="0.25">
      <c r="A54">
        <v>2</v>
      </c>
      <c r="B54" t="s">
        <v>1201</v>
      </c>
      <c r="C54" t="s">
        <v>1242</v>
      </c>
      <c r="D54" s="15">
        <v>61050.92</v>
      </c>
      <c r="E54" t="s">
        <v>1203</v>
      </c>
    </row>
    <row r="55" spans="1:5" x14ac:dyDescent="0.25">
      <c r="A55">
        <v>82</v>
      </c>
      <c r="B55" t="s">
        <v>1201</v>
      </c>
      <c r="C55" t="s">
        <v>1243</v>
      </c>
      <c r="D55" s="15">
        <v>239654.76</v>
      </c>
      <c r="E55" t="s">
        <v>1203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7AD2-9D01-4DD2-B504-A2F5BEF1DB2A}">
  <dimension ref="A2:I88"/>
  <sheetViews>
    <sheetView topLeftCell="A64" workbookViewId="0">
      <selection sqref="A1:XFD1048576"/>
    </sheetView>
  </sheetViews>
  <sheetFormatPr defaultRowHeight="15" x14ac:dyDescent="0.25"/>
  <cols>
    <col min="1" max="1" width="17.42578125" customWidth="1"/>
    <col min="2" max="2" width="38.28515625" customWidth="1"/>
    <col min="3" max="3" width="12.42578125" style="15" customWidth="1"/>
  </cols>
  <sheetData>
    <row r="2" spans="1:7" x14ac:dyDescent="0.25">
      <c r="A2" t="s">
        <v>1147</v>
      </c>
      <c r="B2" t="s">
        <v>1148</v>
      </c>
      <c r="C2" s="15">
        <v>113.85</v>
      </c>
      <c r="G2" s="15"/>
    </row>
    <row r="3" spans="1:7" x14ac:dyDescent="0.25">
      <c r="A3" t="s">
        <v>1201</v>
      </c>
      <c r="B3" t="s">
        <v>1244</v>
      </c>
      <c r="C3" s="37">
        <v>321.32</v>
      </c>
    </row>
    <row r="4" spans="1:7" x14ac:dyDescent="0.25">
      <c r="A4" t="s">
        <v>1201</v>
      </c>
      <c r="B4" t="s">
        <v>1245</v>
      </c>
      <c r="C4" s="37">
        <v>338.25</v>
      </c>
    </row>
    <row r="5" spans="1:7" x14ac:dyDescent="0.25">
      <c r="A5" t="s">
        <v>1201</v>
      </c>
      <c r="B5" t="s">
        <v>1246</v>
      </c>
      <c r="C5" s="37">
        <v>354.66</v>
      </c>
    </row>
    <row r="6" spans="1:7" x14ac:dyDescent="0.25">
      <c r="A6" t="s">
        <v>1201</v>
      </c>
      <c r="B6" t="s">
        <v>281</v>
      </c>
      <c r="C6" s="37">
        <v>358.11</v>
      </c>
    </row>
    <row r="7" spans="1:7" x14ac:dyDescent="0.25">
      <c r="A7" t="s">
        <v>1201</v>
      </c>
      <c r="B7" t="s">
        <v>1247</v>
      </c>
      <c r="C7" s="37">
        <v>358.59</v>
      </c>
      <c r="D7" s="15"/>
    </row>
    <row r="8" spans="1:7" x14ac:dyDescent="0.25">
      <c r="A8" t="s">
        <v>1149</v>
      </c>
      <c r="B8" t="s">
        <v>1150</v>
      </c>
      <c r="C8" s="15">
        <v>583.03</v>
      </c>
      <c r="E8" s="15"/>
    </row>
    <row r="9" spans="1:7" x14ac:dyDescent="0.25">
      <c r="A9" t="s">
        <v>1151</v>
      </c>
      <c r="B9" t="s">
        <v>885</v>
      </c>
      <c r="C9" s="15">
        <v>589.95000000000005</v>
      </c>
      <c r="F9" s="15"/>
    </row>
    <row r="10" spans="1:7" x14ac:dyDescent="0.25">
      <c r="A10" t="s">
        <v>1152</v>
      </c>
      <c r="B10" t="s">
        <v>1153</v>
      </c>
      <c r="C10" s="15">
        <v>637.30999999999995</v>
      </c>
    </row>
    <row r="11" spans="1:7" x14ac:dyDescent="0.25">
      <c r="A11" t="s">
        <v>1201</v>
      </c>
      <c r="B11" t="s">
        <v>35</v>
      </c>
      <c r="C11" s="37">
        <v>641.70000000000005</v>
      </c>
    </row>
    <row r="12" spans="1:7" x14ac:dyDescent="0.25">
      <c r="A12" t="s">
        <v>1201</v>
      </c>
      <c r="B12" t="s">
        <v>1248</v>
      </c>
      <c r="C12" s="37">
        <v>646.30999999999995</v>
      </c>
    </row>
    <row r="13" spans="1:7" x14ac:dyDescent="0.25">
      <c r="A13" t="s">
        <v>1154</v>
      </c>
      <c r="B13" t="s">
        <v>1155</v>
      </c>
      <c r="C13" s="15">
        <v>654.76</v>
      </c>
    </row>
    <row r="14" spans="1:7" x14ac:dyDescent="0.25">
      <c r="A14" t="s">
        <v>1201</v>
      </c>
      <c r="B14" t="s">
        <v>115</v>
      </c>
      <c r="C14" s="37">
        <v>734.3</v>
      </c>
    </row>
    <row r="15" spans="1:7" x14ac:dyDescent="0.25">
      <c r="A15" t="s">
        <v>1201</v>
      </c>
      <c r="B15" t="s">
        <v>630</v>
      </c>
      <c r="C15" s="37">
        <v>742.72</v>
      </c>
    </row>
    <row r="16" spans="1:7" x14ac:dyDescent="0.25">
      <c r="A16" s="13" t="s">
        <v>1156</v>
      </c>
      <c r="B16" s="13" t="s">
        <v>1157</v>
      </c>
      <c r="C16" s="37">
        <v>857.11</v>
      </c>
    </row>
    <row r="17" spans="1:9" x14ac:dyDescent="0.25">
      <c r="A17" t="s">
        <v>1152</v>
      </c>
      <c r="B17" t="s">
        <v>1158</v>
      </c>
      <c r="C17" s="15">
        <v>893.55</v>
      </c>
    </row>
    <row r="18" spans="1:9" x14ac:dyDescent="0.25">
      <c r="A18" t="s">
        <v>1201</v>
      </c>
      <c r="B18" t="s">
        <v>215</v>
      </c>
      <c r="C18" s="37">
        <v>1069.79</v>
      </c>
    </row>
    <row r="19" spans="1:9" x14ac:dyDescent="0.25">
      <c r="A19" t="s">
        <v>1154</v>
      </c>
      <c r="B19" t="s">
        <v>1159</v>
      </c>
      <c r="C19" s="15">
        <v>1207.5</v>
      </c>
    </row>
    <row r="20" spans="1:9" x14ac:dyDescent="0.25">
      <c r="A20" t="s">
        <v>1147</v>
      </c>
      <c r="B20" t="s">
        <v>1160</v>
      </c>
      <c r="C20" s="15">
        <v>1293.75</v>
      </c>
    </row>
    <row r="21" spans="1:9" x14ac:dyDescent="0.25">
      <c r="A21" t="s">
        <v>1201</v>
      </c>
      <c r="B21" t="s">
        <v>1249</v>
      </c>
      <c r="C21" s="37">
        <v>1300.3699999999999</v>
      </c>
    </row>
    <row r="22" spans="1:9" x14ac:dyDescent="0.25">
      <c r="A22" t="s">
        <v>1201</v>
      </c>
      <c r="B22" t="s">
        <v>1250</v>
      </c>
      <c r="C22" s="37">
        <v>1303.3699999999999</v>
      </c>
    </row>
    <row r="23" spans="1:9" x14ac:dyDescent="0.25">
      <c r="A23" t="s">
        <v>1156</v>
      </c>
      <c r="B23" t="s">
        <v>1161</v>
      </c>
      <c r="C23" s="15">
        <v>1437.51</v>
      </c>
      <c r="I23" s="15"/>
    </row>
    <row r="24" spans="1:9" x14ac:dyDescent="0.25">
      <c r="A24" t="s">
        <v>1201</v>
      </c>
      <c r="B24" t="s">
        <v>1251</v>
      </c>
      <c r="C24" s="37">
        <v>1442.1</v>
      </c>
    </row>
    <row r="25" spans="1:9" x14ac:dyDescent="0.25">
      <c r="A25" t="s">
        <v>1201</v>
      </c>
      <c r="B25" t="s">
        <v>1252</v>
      </c>
      <c r="C25" s="37">
        <v>1478.53</v>
      </c>
    </row>
    <row r="26" spans="1:9" x14ac:dyDescent="0.25">
      <c r="A26" t="s">
        <v>1201</v>
      </c>
      <c r="B26" t="s">
        <v>1253</v>
      </c>
      <c r="C26" s="37">
        <v>1682.26</v>
      </c>
    </row>
    <row r="27" spans="1:9" x14ac:dyDescent="0.25">
      <c r="A27" t="s">
        <v>1201</v>
      </c>
      <c r="B27" t="s">
        <v>1254</v>
      </c>
      <c r="C27" s="37">
        <v>1730.75</v>
      </c>
    </row>
    <row r="28" spans="1:9" x14ac:dyDescent="0.25">
      <c r="A28" t="s">
        <v>1201</v>
      </c>
      <c r="B28" t="s">
        <v>1255</v>
      </c>
      <c r="C28" s="37">
        <v>1940.51</v>
      </c>
    </row>
    <row r="29" spans="1:9" x14ac:dyDescent="0.25">
      <c r="A29" t="s">
        <v>1201</v>
      </c>
      <c r="B29" t="s">
        <v>1256</v>
      </c>
      <c r="C29" s="37">
        <v>1949.08</v>
      </c>
    </row>
    <row r="30" spans="1:9" x14ac:dyDescent="0.25">
      <c r="A30" t="s">
        <v>1201</v>
      </c>
      <c r="B30" t="s">
        <v>172</v>
      </c>
      <c r="C30" s="37">
        <v>2005.36</v>
      </c>
    </row>
    <row r="31" spans="1:9" x14ac:dyDescent="0.25">
      <c r="A31" t="s">
        <v>1201</v>
      </c>
      <c r="B31">
        <v>1151</v>
      </c>
      <c r="C31" s="37">
        <v>2250.8200000000002</v>
      </c>
    </row>
    <row r="32" spans="1:9" x14ac:dyDescent="0.25">
      <c r="A32" t="s">
        <v>1201</v>
      </c>
      <c r="B32">
        <v>1151</v>
      </c>
      <c r="C32" s="37">
        <v>2250.8200000000002</v>
      </c>
    </row>
    <row r="33" spans="1:3" x14ac:dyDescent="0.25">
      <c r="A33" t="s">
        <v>1201</v>
      </c>
      <c r="B33" t="s">
        <v>1257</v>
      </c>
      <c r="C33" s="37">
        <v>2390.2600000000002</v>
      </c>
    </row>
    <row r="34" spans="1:3" x14ac:dyDescent="0.25">
      <c r="A34" t="s">
        <v>1201</v>
      </c>
      <c r="B34" t="s">
        <v>1258</v>
      </c>
      <c r="C34" s="37">
        <v>2458.6999999999998</v>
      </c>
    </row>
    <row r="35" spans="1:3" x14ac:dyDescent="0.25">
      <c r="A35" t="s">
        <v>1151</v>
      </c>
      <c r="B35" t="s">
        <v>1162</v>
      </c>
      <c r="C35" s="15">
        <v>2561.11</v>
      </c>
    </row>
    <row r="36" spans="1:3" x14ac:dyDescent="0.25">
      <c r="A36" t="s">
        <v>1151</v>
      </c>
      <c r="B36" t="s">
        <v>433</v>
      </c>
      <c r="C36" s="15">
        <v>2725.96</v>
      </c>
    </row>
    <row r="37" spans="1:3" x14ac:dyDescent="0.25">
      <c r="A37" t="s">
        <v>1163</v>
      </c>
      <c r="B37" t="s">
        <v>737</v>
      </c>
      <c r="C37" s="15">
        <v>2817.5</v>
      </c>
    </row>
    <row r="38" spans="1:3" x14ac:dyDescent="0.25">
      <c r="A38" t="s">
        <v>1201</v>
      </c>
      <c r="B38" t="s">
        <v>1259</v>
      </c>
      <c r="C38" s="37">
        <v>2870.02</v>
      </c>
    </row>
    <row r="39" spans="1:3" x14ac:dyDescent="0.25">
      <c r="A39" t="s">
        <v>1201</v>
      </c>
      <c r="B39">
        <v>1151</v>
      </c>
      <c r="C39" s="37">
        <v>3071.6</v>
      </c>
    </row>
    <row r="40" spans="1:3" x14ac:dyDescent="0.25">
      <c r="A40" t="s">
        <v>1201</v>
      </c>
      <c r="B40" t="s">
        <v>1260</v>
      </c>
      <c r="C40" s="37">
        <v>3108.81</v>
      </c>
    </row>
    <row r="41" spans="1:3" x14ac:dyDescent="0.25">
      <c r="A41" t="s">
        <v>1164</v>
      </c>
      <c r="B41" t="s">
        <v>640</v>
      </c>
      <c r="C41" s="15">
        <v>3117.65</v>
      </c>
    </row>
    <row r="42" spans="1:3" x14ac:dyDescent="0.25">
      <c r="A42" t="s">
        <v>1154</v>
      </c>
      <c r="B42" t="s">
        <v>154</v>
      </c>
      <c r="C42" s="15">
        <v>3438.5</v>
      </c>
    </row>
    <row r="43" spans="1:3" x14ac:dyDescent="0.25">
      <c r="A43" t="s">
        <v>1201</v>
      </c>
      <c r="B43" t="s">
        <v>1261</v>
      </c>
      <c r="C43" s="37">
        <v>3908.2</v>
      </c>
    </row>
    <row r="44" spans="1:3" x14ac:dyDescent="0.25">
      <c r="A44" t="s">
        <v>1201</v>
      </c>
      <c r="B44" t="s">
        <v>1262</v>
      </c>
      <c r="C44" s="37">
        <v>4012.77</v>
      </c>
    </row>
    <row r="45" spans="1:3" x14ac:dyDescent="0.25">
      <c r="A45" t="s">
        <v>1201</v>
      </c>
      <c r="B45" t="s">
        <v>1263</v>
      </c>
      <c r="C45" s="37">
        <v>4400.6099999999997</v>
      </c>
    </row>
    <row r="46" spans="1:3" x14ac:dyDescent="0.25">
      <c r="A46" t="s">
        <v>1165</v>
      </c>
      <c r="B46" t="s">
        <v>1166</v>
      </c>
      <c r="C46" s="15">
        <v>4635.0600000000004</v>
      </c>
    </row>
    <row r="47" spans="1:3" x14ac:dyDescent="0.25">
      <c r="A47" t="s">
        <v>1167</v>
      </c>
      <c r="B47" t="s">
        <v>1168</v>
      </c>
      <c r="C47" s="15">
        <v>5017</v>
      </c>
    </row>
    <row r="48" spans="1:3" x14ac:dyDescent="0.25">
      <c r="A48" t="s">
        <v>1201</v>
      </c>
      <c r="B48" t="s">
        <v>762</v>
      </c>
      <c r="C48" s="37">
        <v>5559.8</v>
      </c>
    </row>
    <row r="49" spans="1:3" x14ac:dyDescent="0.25">
      <c r="A49" t="s">
        <v>1151</v>
      </c>
      <c r="B49" t="s">
        <v>826</v>
      </c>
      <c r="C49" s="15">
        <v>5828.2</v>
      </c>
    </row>
    <row r="50" spans="1:3" x14ac:dyDescent="0.25">
      <c r="A50" t="s">
        <v>1149</v>
      </c>
      <c r="B50" t="s">
        <v>1169</v>
      </c>
      <c r="C50" s="15">
        <v>6082.02</v>
      </c>
    </row>
    <row r="51" spans="1:3" x14ac:dyDescent="0.25">
      <c r="A51" t="s">
        <v>1201</v>
      </c>
      <c r="B51" t="s">
        <v>193</v>
      </c>
      <c r="C51" s="37">
        <v>6944.85</v>
      </c>
    </row>
    <row r="52" spans="1:3" x14ac:dyDescent="0.25">
      <c r="A52" t="s">
        <v>1201</v>
      </c>
      <c r="B52" t="s">
        <v>1264</v>
      </c>
      <c r="C52" s="37">
        <v>7664.75</v>
      </c>
    </row>
    <row r="53" spans="1:3" x14ac:dyDescent="0.25">
      <c r="A53" t="s">
        <v>1201</v>
      </c>
      <c r="B53" t="s">
        <v>1265</v>
      </c>
      <c r="C53" s="37">
        <v>8083.26</v>
      </c>
    </row>
    <row r="54" spans="1:3" x14ac:dyDescent="0.25">
      <c r="A54" t="s">
        <v>1201</v>
      </c>
      <c r="B54" t="s">
        <v>1266</v>
      </c>
      <c r="C54" s="37">
        <v>9359.0499999999993</v>
      </c>
    </row>
    <row r="55" spans="1:3" x14ac:dyDescent="0.25">
      <c r="A55" t="s">
        <v>1165</v>
      </c>
      <c r="B55" t="s">
        <v>1170</v>
      </c>
      <c r="C55" s="15">
        <v>10102.219999999999</v>
      </c>
    </row>
    <row r="56" spans="1:3" x14ac:dyDescent="0.25">
      <c r="A56" t="s">
        <v>1201</v>
      </c>
      <c r="B56" t="s">
        <v>1266</v>
      </c>
      <c r="C56" s="37">
        <v>10105</v>
      </c>
    </row>
    <row r="57" spans="1:3" x14ac:dyDescent="0.25">
      <c r="A57" t="s">
        <v>1201</v>
      </c>
      <c r="B57" t="s">
        <v>263</v>
      </c>
      <c r="C57" s="37">
        <v>10832.23</v>
      </c>
    </row>
    <row r="58" spans="1:3" x14ac:dyDescent="0.25">
      <c r="A58" t="s">
        <v>1154</v>
      </c>
      <c r="B58" t="s">
        <v>1171</v>
      </c>
      <c r="C58" s="15">
        <v>10860.68</v>
      </c>
    </row>
    <row r="59" spans="1:3" x14ac:dyDescent="0.25">
      <c r="A59" t="s">
        <v>1149</v>
      </c>
      <c r="B59" t="s">
        <v>1172</v>
      </c>
      <c r="C59" s="15">
        <v>11083.7</v>
      </c>
    </row>
    <row r="60" spans="1:3" x14ac:dyDescent="0.25">
      <c r="A60" t="s">
        <v>1163</v>
      </c>
      <c r="B60" t="s">
        <v>1173</v>
      </c>
      <c r="C60" s="15">
        <v>11807.1</v>
      </c>
    </row>
    <row r="61" spans="1:3" x14ac:dyDescent="0.25">
      <c r="A61" t="s">
        <v>1164</v>
      </c>
      <c r="B61" t="s">
        <v>1174</v>
      </c>
      <c r="C61" s="15">
        <v>11962.51</v>
      </c>
    </row>
    <row r="62" spans="1:3" x14ac:dyDescent="0.25">
      <c r="A62" t="s">
        <v>1151</v>
      </c>
      <c r="B62" t="s">
        <v>150</v>
      </c>
      <c r="C62" s="15">
        <v>13511</v>
      </c>
    </row>
    <row r="63" spans="1:3" x14ac:dyDescent="0.25">
      <c r="A63" t="s">
        <v>1149</v>
      </c>
      <c r="B63">
        <v>118236</v>
      </c>
      <c r="C63" s="15">
        <v>13627.5</v>
      </c>
    </row>
    <row r="64" spans="1:3" x14ac:dyDescent="0.25">
      <c r="A64" t="s">
        <v>1175</v>
      </c>
      <c r="B64" t="s">
        <v>1176</v>
      </c>
      <c r="C64" s="15">
        <v>14934.9</v>
      </c>
    </row>
    <row r="65" spans="1:3" x14ac:dyDescent="0.25">
      <c r="A65" t="s">
        <v>1177</v>
      </c>
      <c r="B65" t="s">
        <v>1178</v>
      </c>
      <c r="C65" s="15">
        <v>15000</v>
      </c>
    </row>
    <row r="66" spans="1:3" x14ac:dyDescent="0.25">
      <c r="A66" t="s">
        <v>1179</v>
      </c>
      <c r="B66" t="s">
        <v>1180</v>
      </c>
      <c r="C66" s="15">
        <v>17493.34</v>
      </c>
    </row>
    <row r="67" spans="1:3" x14ac:dyDescent="0.25">
      <c r="A67" t="s">
        <v>1149</v>
      </c>
      <c r="B67" t="s">
        <v>1181</v>
      </c>
      <c r="C67" s="15">
        <v>18247.05</v>
      </c>
    </row>
    <row r="68" spans="1:3" x14ac:dyDescent="0.25">
      <c r="A68" t="s">
        <v>1165</v>
      </c>
      <c r="B68" t="s">
        <v>1182</v>
      </c>
      <c r="C68" s="15">
        <v>19251.919999999998</v>
      </c>
    </row>
    <row r="69" spans="1:3" x14ac:dyDescent="0.25">
      <c r="A69" t="s">
        <v>1201</v>
      </c>
      <c r="B69" t="s">
        <v>1267</v>
      </c>
      <c r="C69" s="37">
        <v>20861</v>
      </c>
    </row>
    <row r="70" spans="1:3" x14ac:dyDescent="0.25">
      <c r="A70" t="s">
        <v>1183</v>
      </c>
      <c r="B70" t="s">
        <v>1184</v>
      </c>
      <c r="C70" s="15">
        <v>23840.65</v>
      </c>
    </row>
    <row r="71" spans="1:3" x14ac:dyDescent="0.25">
      <c r="A71" t="s">
        <v>1147</v>
      </c>
      <c r="B71" t="s">
        <v>1185</v>
      </c>
      <c r="C71" s="15">
        <v>23990.9</v>
      </c>
    </row>
    <row r="72" spans="1:3" x14ac:dyDescent="0.25">
      <c r="A72" t="s">
        <v>1167</v>
      </c>
      <c r="B72" t="s">
        <v>1186</v>
      </c>
      <c r="C72" s="15">
        <v>26226.81</v>
      </c>
    </row>
    <row r="73" spans="1:3" x14ac:dyDescent="0.25">
      <c r="A73" t="s">
        <v>1165</v>
      </c>
      <c r="B73" t="s">
        <v>1187</v>
      </c>
      <c r="C73" s="15">
        <v>28723.53</v>
      </c>
    </row>
    <row r="74" spans="1:3" x14ac:dyDescent="0.25">
      <c r="A74" t="s">
        <v>1152</v>
      </c>
      <c r="B74" t="s">
        <v>1188</v>
      </c>
      <c r="C74" s="15">
        <v>30000</v>
      </c>
    </row>
    <row r="75" spans="1:3" x14ac:dyDescent="0.25">
      <c r="A75" t="s">
        <v>1149</v>
      </c>
      <c r="B75" t="s">
        <v>1189</v>
      </c>
      <c r="C75" s="15">
        <v>36516.94</v>
      </c>
    </row>
    <row r="76" spans="1:3" x14ac:dyDescent="0.25">
      <c r="A76" t="s">
        <v>1156</v>
      </c>
      <c r="B76" t="s">
        <v>1190</v>
      </c>
      <c r="C76" s="15">
        <v>37641.760000000002</v>
      </c>
    </row>
    <row r="77" spans="1:3" ht="15.75" thickBot="1" x14ac:dyDescent="0.3">
      <c r="A77" t="s">
        <v>1201</v>
      </c>
      <c r="B77" t="s">
        <v>1268</v>
      </c>
      <c r="C77" s="37">
        <v>65469.06</v>
      </c>
    </row>
    <row r="78" spans="1:3" x14ac:dyDescent="0.25">
      <c r="A78" t="s">
        <v>1191</v>
      </c>
      <c r="B78" t="s">
        <v>1192</v>
      </c>
      <c r="C78" s="73">
        <v>65519</v>
      </c>
    </row>
    <row r="79" spans="1:3" ht="15.75" thickBot="1" x14ac:dyDescent="0.3">
      <c r="A79" t="s">
        <v>1147</v>
      </c>
      <c r="B79" t="s">
        <v>57</v>
      </c>
      <c r="C79" s="72">
        <v>73466.600000000006</v>
      </c>
    </row>
    <row r="80" spans="1:3" x14ac:dyDescent="0.25">
      <c r="A80" t="s">
        <v>1165</v>
      </c>
      <c r="B80" t="s">
        <v>1161</v>
      </c>
      <c r="C80" s="73">
        <v>76939.83</v>
      </c>
    </row>
    <row r="81" spans="1:3" x14ac:dyDescent="0.25">
      <c r="A81" t="s">
        <v>1201</v>
      </c>
      <c r="B81" t="s">
        <v>1202</v>
      </c>
      <c r="C81" s="62">
        <v>101242.55</v>
      </c>
    </row>
    <row r="82" spans="1:3" x14ac:dyDescent="0.25">
      <c r="A82" t="s">
        <v>1183</v>
      </c>
      <c r="B82" t="s">
        <v>1193</v>
      </c>
      <c r="C82" s="74">
        <v>134422.32999999999</v>
      </c>
    </row>
    <row r="83" spans="1:3" ht="15.75" thickBot="1" x14ac:dyDescent="0.3">
      <c r="A83" t="s">
        <v>1183</v>
      </c>
      <c r="B83" t="s">
        <v>1194</v>
      </c>
      <c r="C83" s="72">
        <v>134623.64000000001</v>
      </c>
    </row>
    <row r="84" spans="1:3" x14ac:dyDescent="0.25">
      <c r="A84" t="s">
        <v>1154</v>
      </c>
      <c r="B84" t="s">
        <v>1195</v>
      </c>
      <c r="C84" s="15">
        <v>168267.56</v>
      </c>
    </row>
    <row r="85" spans="1:3" x14ac:dyDescent="0.25">
      <c r="A85" t="s">
        <v>1156</v>
      </c>
      <c r="B85" t="s">
        <v>1190</v>
      </c>
      <c r="C85" s="15">
        <v>200000</v>
      </c>
    </row>
    <row r="86" spans="1:3" x14ac:dyDescent="0.25">
      <c r="A86" t="s">
        <v>1167</v>
      </c>
      <c r="B86" t="s">
        <v>1196</v>
      </c>
      <c r="C86" s="15">
        <v>210027.61</v>
      </c>
    </row>
    <row r="87" spans="1:3" x14ac:dyDescent="0.25">
      <c r="A87" t="s">
        <v>1201</v>
      </c>
      <c r="B87" t="s">
        <v>1269</v>
      </c>
      <c r="C87" s="37">
        <v>211548.25</v>
      </c>
    </row>
    <row r="88" spans="1:3" x14ac:dyDescent="0.25">
      <c r="C88" s="15">
        <f>SUM(C1:C87)</f>
        <v>1991370.8900000001</v>
      </c>
    </row>
  </sheetData>
  <sortState xmlns:xlrd2="http://schemas.microsoft.com/office/spreadsheetml/2017/richdata2" ref="A2:I89">
    <sortCondition ref="C2:C8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D627-3C59-4F51-890B-B5F33F943666}">
  <sheetPr>
    <pageSetUpPr fitToPage="1"/>
  </sheetPr>
  <dimension ref="A1:AO198"/>
  <sheetViews>
    <sheetView showGridLines="0" topLeftCell="A7" zoomScale="130" zoomScaleNormal="130" workbookViewId="0">
      <pane ySplit="1" topLeftCell="A146" activePane="bottomLeft" state="frozen"/>
      <selection activeCell="T7" sqref="T7"/>
      <selection pane="bottomLeft" activeCell="A7" sqref="A1:XFD1048576"/>
    </sheetView>
  </sheetViews>
  <sheetFormatPr defaultRowHeight="15" x14ac:dyDescent="0.25"/>
  <cols>
    <col min="1" max="1" width="15.140625" style="12" customWidth="1"/>
    <col min="2" max="2" width="17" style="12" hidden="1" customWidth="1"/>
    <col min="3" max="4" width="35" customWidth="1"/>
    <col min="5" max="5" width="43" customWidth="1"/>
    <col min="6" max="6" width="46.7109375" customWidth="1"/>
    <col min="7" max="7" width="17.5703125" customWidth="1"/>
    <col min="8" max="8" width="16.28515625" customWidth="1"/>
    <col min="9" max="9" width="17.42578125" customWidth="1"/>
    <col min="10" max="10" width="84.140625" customWidth="1"/>
    <col min="11" max="11" width="13.5703125" customWidth="1"/>
    <col min="12" max="12" width="14.28515625" customWidth="1"/>
    <col min="13" max="14" width="11.5703125" customWidth="1"/>
    <col min="15" max="15" width="16.140625" customWidth="1"/>
    <col min="16" max="16" width="19.7109375" customWidth="1"/>
    <col min="17" max="17" width="14.42578125" customWidth="1"/>
    <col min="18" max="18" width="17.5703125" customWidth="1"/>
    <col min="19" max="19" width="29.140625" customWidth="1"/>
    <col min="20" max="20" width="13.140625" customWidth="1"/>
    <col min="21" max="21" width="11.42578125" customWidth="1"/>
    <col min="22" max="23" width="11.7109375" customWidth="1"/>
    <col min="24" max="24" width="11.42578125" customWidth="1"/>
    <col min="25" max="25" width="10.140625" customWidth="1"/>
    <col min="26" max="27" width="14.28515625" customWidth="1"/>
    <col min="28" max="28" width="8.7109375" style="13" customWidth="1"/>
    <col min="29" max="29" width="13.42578125" customWidth="1"/>
    <col min="30" max="30" width="3.85546875" customWidth="1"/>
    <col min="31" max="31" width="11.140625" customWidth="1"/>
    <col min="32" max="33" width="11.7109375" customWidth="1"/>
    <col min="34" max="34" width="11.140625" customWidth="1"/>
    <col min="35" max="35" width="9.140625" customWidth="1"/>
    <col min="36" max="36" width="10.28515625" customWidth="1"/>
    <col min="37" max="37" width="11.5703125" customWidth="1"/>
    <col min="38" max="38" width="10.7109375" customWidth="1"/>
    <col min="39" max="39" width="10.85546875" customWidth="1"/>
    <col min="40" max="40" width="12.7109375" customWidth="1"/>
  </cols>
  <sheetData>
    <row r="1" spans="1:40" x14ac:dyDescent="0.25">
      <c r="A1" s="7" t="s">
        <v>987</v>
      </c>
      <c r="B1" s="7"/>
    </row>
    <row r="2" spans="1:40" x14ac:dyDescent="0.25">
      <c r="A2" s="7" t="s">
        <v>988</v>
      </c>
      <c r="B2" s="7"/>
    </row>
    <row r="3" spans="1:40" x14ac:dyDescent="0.25">
      <c r="A3" s="8"/>
      <c r="B3" s="8"/>
    </row>
    <row r="4" spans="1:40" x14ac:dyDescent="0.25">
      <c r="A4" s="8" t="s">
        <v>989</v>
      </c>
      <c r="B4" s="8"/>
    </row>
    <row r="5" spans="1:40" x14ac:dyDescent="0.25">
      <c r="A5" s="8" t="s">
        <v>990</v>
      </c>
      <c r="B5" s="8"/>
    </row>
    <row r="6" spans="1:40" x14ac:dyDescent="0.25">
      <c r="A6" s="8" t="s">
        <v>991</v>
      </c>
      <c r="B6" s="8"/>
    </row>
    <row r="7" spans="1:40" s="1" customFormat="1" x14ac:dyDescent="0.25">
      <c r="A7" s="9" t="s">
        <v>994</v>
      </c>
      <c r="B7" s="9" t="s">
        <v>995</v>
      </c>
      <c r="C7" s="2" t="s">
        <v>962</v>
      </c>
      <c r="D7" s="2" t="s">
        <v>963</v>
      </c>
      <c r="E7" s="2" t="s">
        <v>964</v>
      </c>
      <c r="F7" s="2" t="s">
        <v>965</v>
      </c>
      <c r="G7" s="2" t="s">
        <v>966</v>
      </c>
      <c r="H7" s="2" t="s">
        <v>967</v>
      </c>
      <c r="I7" s="2" t="s">
        <v>968</v>
      </c>
      <c r="J7" s="2" t="s">
        <v>969</v>
      </c>
      <c r="K7" s="2" t="s">
        <v>970</v>
      </c>
      <c r="L7" s="2" t="s">
        <v>971</v>
      </c>
      <c r="M7" s="2" t="s">
        <v>972</v>
      </c>
      <c r="N7" s="2" t="s">
        <v>973</v>
      </c>
      <c r="O7" s="2" t="s">
        <v>974</v>
      </c>
      <c r="P7" s="2" t="s">
        <v>975</v>
      </c>
      <c r="Q7" s="2" t="s">
        <v>976</v>
      </c>
      <c r="R7" s="2" t="s">
        <v>977</v>
      </c>
      <c r="S7" s="2" t="s">
        <v>978</v>
      </c>
      <c r="T7" s="2" t="s">
        <v>979</v>
      </c>
      <c r="U7" s="2" t="s">
        <v>980</v>
      </c>
      <c r="V7" s="2" t="s">
        <v>981</v>
      </c>
      <c r="W7" s="2" t="s">
        <v>982</v>
      </c>
      <c r="X7" s="2" t="s">
        <v>983</v>
      </c>
      <c r="Y7" s="2" t="s">
        <v>984</v>
      </c>
      <c r="Z7" s="2" t="s">
        <v>985</v>
      </c>
      <c r="AA7" s="2" t="s">
        <v>986</v>
      </c>
      <c r="AB7" s="14"/>
      <c r="AC7" s="1" t="s">
        <v>1139</v>
      </c>
      <c r="AE7" s="1" t="s">
        <v>1138</v>
      </c>
      <c r="AF7" s="24" t="s">
        <v>981</v>
      </c>
      <c r="AG7" s="2" t="s">
        <v>982</v>
      </c>
      <c r="AH7" s="2" t="s">
        <v>983</v>
      </c>
      <c r="AI7" s="2" t="s">
        <v>984</v>
      </c>
      <c r="AJ7" s="2" t="s">
        <v>985</v>
      </c>
      <c r="AK7" s="1" t="s">
        <v>1142</v>
      </c>
      <c r="AL7" s="1" t="s">
        <v>1140</v>
      </c>
      <c r="AM7" s="1" t="s">
        <v>1141</v>
      </c>
      <c r="AN7" s="1" t="s">
        <v>1143</v>
      </c>
    </row>
    <row r="8" spans="1:40" x14ac:dyDescent="0.25">
      <c r="A8" s="10" t="s">
        <v>0</v>
      </c>
      <c r="B8" s="10"/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/>
      <c r="J8" s="3" t="s">
        <v>7</v>
      </c>
      <c r="K8" s="3"/>
      <c r="L8" s="3"/>
      <c r="M8" s="3"/>
      <c r="N8" s="3">
        <v>1609</v>
      </c>
      <c r="O8" s="3"/>
      <c r="P8" s="4">
        <v>45472</v>
      </c>
      <c r="Q8" s="5">
        <v>113.85</v>
      </c>
      <c r="R8" s="3">
        <v>2500</v>
      </c>
      <c r="S8" s="3"/>
      <c r="T8" s="3">
        <v>0</v>
      </c>
      <c r="U8" s="3" t="s">
        <v>8</v>
      </c>
      <c r="V8" s="3">
        <v>0</v>
      </c>
      <c r="W8" s="3">
        <v>0</v>
      </c>
      <c r="X8" s="3">
        <v>0</v>
      </c>
      <c r="Y8" s="3">
        <v>0</v>
      </c>
      <c r="Z8" s="5">
        <v>-113.85</v>
      </c>
      <c r="AA8" s="5">
        <v>-113.85</v>
      </c>
      <c r="AF8" s="25"/>
      <c r="AG8" s="18"/>
      <c r="AH8" s="3"/>
      <c r="AI8" s="3"/>
      <c r="AJ8" s="5"/>
      <c r="AK8" s="15">
        <f t="shared" ref="AK8:AK73" si="0">AG8+AH8+AI8+AJ8+AF8</f>
        <v>0</v>
      </c>
      <c r="AL8" s="15">
        <f>AA8-AK8</f>
        <v>-113.85</v>
      </c>
      <c r="AN8" s="15">
        <f t="shared" ref="AN8:AN74" si="1">AL8-AM8</f>
        <v>-113.85</v>
      </c>
    </row>
    <row r="9" spans="1:40" x14ac:dyDescent="0.25">
      <c r="A9" s="10" t="s">
        <v>9</v>
      </c>
      <c r="B9" s="10" t="s">
        <v>997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6</v>
      </c>
      <c r="I9" s="3" t="s">
        <v>15</v>
      </c>
      <c r="J9" s="3" t="s">
        <v>16</v>
      </c>
      <c r="K9" s="3"/>
      <c r="L9" s="3"/>
      <c r="M9" s="3"/>
      <c r="N9" s="3">
        <v>1411</v>
      </c>
      <c r="O9" s="3"/>
      <c r="P9" s="4">
        <v>46081</v>
      </c>
      <c r="Q9" s="5">
        <v>836.65</v>
      </c>
      <c r="R9" s="3">
        <v>148</v>
      </c>
      <c r="S9" s="3"/>
      <c r="T9" s="3">
        <v>0</v>
      </c>
      <c r="U9" s="3" t="s">
        <v>8</v>
      </c>
      <c r="V9" s="5">
        <v>836.65</v>
      </c>
      <c r="W9" s="3">
        <v>0</v>
      </c>
      <c r="X9" s="3">
        <v>0</v>
      </c>
      <c r="Y9" s="3">
        <v>0</v>
      </c>
      <c r="Z9" s="3">
        <v>0</v>
      </c>
      <c r="AA9" s="5">
        <v>836.65</v>
      </c>
      <c r="AF9" s="25"/>
      <c r="AG9" s="18"/>
      <c r="AH9" s="3"/>
      <c r="AI9" s="3"/>
      <c r="AJ9" s="3"/>
      <c r="AK9" s="15">
        <f t="shared" si="0"/>
        <v>0</v>
      </c>
      <c r="AL9" s="15">
        <f t="shared" ref="AL9:AL74" si="2">AA9-AK9</f>
        <v>836.65</v>
      </c>
      <c r="AM9">
        <v>836.65</v>
      </c>
      <c r="AN9" s="15">
        <f t="shared" si="1"/>
        <v>0</v>
      </c>
    </row>
    <row r="10" spans="1:40" x14ac:dyDescent="0.25">
      <c r="A10" s="10" t="s">
        <v>17</v>
      </c>
      <c r="B10" s="10"/>
      <c r="C10" s="3" t="s">
        <v>18</v>
      </c>
      <c r="D10" s="3" t="s">
        <v>19</v>
      </c>
      <c r="E10" s="3"/>
      <c r="F10" s="3" t="s">
        <v>20</v>
      </c>
      <c r="G10" s="3" t="s">
        <v>14</v>
      </c>
      <c r="H10" s="3" t="s">
        <v>6</v>
      </c>
      <c r="I10" s="3"/>
      <c r="J10" s="3" t="s">
        <v>21</v>
      </c>
      <c r="K10" s="3"/>
      <c r="L10" s="3"/>
      <c r="M10" s="3" t="s">
        <v>22</v>
      </c>
      <c r="N10" s="3"/>
      <c r="O10" s="3"/>
      <c r="P10" s="3"/>
      <c r="Q10" s="3">
        <v>0</v>
      </c>
      <c r="R10" s="3">
        <v>50</v>
      </c>
      <c r="S10" s="3"/>
      <c r="T10" s="3">
        <v>0</v>
      </c>
      <c r="U10" s="3" t="s">
        <v>8</v>
      </c>
      <c r="V10" s="5">
        <v>7631.26</v>
      </c>
      <c r="W10" s="3">
        <v>0</v>
      </c>
      <c r="X10" s="3">
        <v>0</v>
      </c>
      <c r="Y10" s="3">
        <v>0</v>
      </c>
      <c r="Z10" s="3">
        <v>0</v>
      </c>
      <c r="AA10" s="5">
        <v>7631.26</v>
      </c>
      <c r="AF10" s="25"/>
      <c r="AG10" s="18"/>
      <c r="AH10" s="3"/>
      <c r="AI10" s="3"/>
      <c r="AJ10" s="3"/>
      <c r="AK10" s="15">
        <f t="shared" si="0"/>
        <v>0</v>
      </c>
      <c r="AL10" s="15">
        <f t="shared" si="2"/>
        <v>7631.26</v>
      </c>
      <c r="AM10">
        <v>7631.26</v>
      </c>
      <c r="AN10" s="15">
        <f t="shared" si="1"/>
        <v>0</v>
      </c>
    </row>
    <row r="11" spans="1:40" x14ac:dyDescent="0.25">
      <c r="A11" s="10">
        <v>1132</v>
      </c>
      <c r="B11" s="10" t="s">
        <v>996</v>
      </c>
      <c r="C11" s="3" t="s">
        <v>23</v>
      </c>
      <c r="D11" s="3" t="s">
        <v>23</v>
      </c>
      <c r="E11" s="3" t="s">
        <v>24</v>
      </c>
      <c r="F11" s="3" t="s">
        <v>25</v>
      </c>
      <c r="G11" s="3" t="s">
        <v>14</v>
      </c>
      <c r="H11" s="3" t="s">
        <v>6</v>
      </c>
      <c r="I11" s="3" t="s">
        <v>15</v>
      </c>
      <c r="J11" s="3" t="s">
        <v>26</v>
      </c>
      <c r="K11" s="3"/>
      <c r="L11" s="3"/>
      <c r="M11" s="3" t="s">
        <v>22</v>
      </c>
      <c r="N11" s="6" t="s">
        <v>27</v>
      </c>
      <c r="O11" s="3"/>
      <c r="P11" s="4">
        <v>46081</v>
      </c>
      <c r="Q11" s="5">
        <v>129.11000000000001</v>
      </c>
      <c r="R11" s="3">
        <v>39</v>
      </c>
      <c r="S11" s="3"/>
      <c r="T11" s="3">
        <v>0</v>
      </c>
      <c r="U11" s="3" t="s">
        <v>8</v>
      </c>
      <c r="V11" s="5">
        <v>545.41</v>
      </c>
      <c r="W11" s="3">
        <v>0</v>
      </c>
      <c r="X11" s="3">
        <v>0</v>
      </c>
      <c r="Y11" s="3">
        <v>0</v>
      </c>
      <c r="Z11" s="3">
        <v>0</v>
      </c>
      <c r="AA11" s="5">
        <v>545.41</v>
      </c>
      <c r="AF11" s="25"/>
      <c r="AG11" s="18"/>
      <c r="AH11" s="3"/>
      <c r="AI11" s="3"/>
      <c r="AJ11" s="3"/>
      <c r="AK11" s="15">
        <f t="shared" si="0"/>
        <v>0</v>
      </c>
      <c r="AL11" s="15">
        <f t="shared" si="2"/>
        <v>545.41</v>
      </c>
      <c r="AM11">
        <v>545.41</v>
      </c>
      <c r="AN11" s="15">
        <f t="shared" si="1"/>
        <v>0</v>
      </c>
    </row>
    <row r="12" spans="1:40" x14ac:dyDescent="0.25">
      <c r="A12" s="10" t="s">
        <v>28</v>
      </c>
      <c r="B12" s="10" t="s">
        <v>998</v>
      </c>
      <c r="C12" s="3" t="s">
        <v>29</v>
      </c>
      <c r="D12" s="3" t="s">
        <v>30</v>
      </c>
      <c r="E12" s="3" t="s">
        <v>31</v>
      </c>
      <c r="F12" s="3" t="s">
        <v>32</v>
      </c>
      <c r="G12" s="3" t="s">
        <v>14</v>
      </c>
      <c r="H12" s="3" t="s">
        <v>6</v>
      </c>
      <c r="I12" s="3" t="s">
        <v>33</v>
      </c>
      <c r="J12" s="3" t="s">
        <v>34</v>
      </c>
      <c r="K12" s="3"/>
      <c r="L12" s="3"/>
      <c r="M12" s="3"/>
      <c r="N12" s="3">
        <v>2042</v>
      </c>
      <c r="O12" s="3"/>
      <c r="P12" s="4">
        <v>46078</v>
      </c>
      <c r="Q12" s="5">
        <v>11807.2</v>
      </c>
      <c r="R12" s="3">
        <v>153</v>
      </c>
      <c r="S12" s="3"/>
      <c r="T12" s="3">
        <v>0</v>
      </c>
      <c r="U12" s="3" t="s">
        <v>8</v>
      </c>
      <c r="V12" s="5">
        <v>11807.1</v>
      </c>
      <c r="W12" s="3">
        <v>0</v>
      </c>
      <c r="X12" s="3">
        <v>0</v>
      </c>
      <c r="Y12" s="3">
        <v>0</v>
      </c>
      <c r="Z12" s="3">
        <v>0</v>
      </c>
      <c r="AA12" s="5">
        <v>11807.1</v>
      </c>
      <c r="AC12" t="str">
        <f>[1]nedredc!$A$24</f>
        <v>26/03/2026</v>
      </c>
      <c r="AD12" t="str">
        <f>[1]nedredc!$B$24</f>
        <v>AERZEN AIRGAS</v>
      </c>
      <c r="AE12" s="15">
        <f>[1]nedredc!$C$24</f>
        <v>11807.1</v>
      </c>
      <c r="AF12" s="26">
        <f>AE12</f>
        <v>11807.1</v>
      </c>
      <c r="AG12" s="18"/>
      <c r="AH12" s="3"/>
      <c r="AI12" s="3"/>
      <c r="AJ12" s="3"/>
      <c r="AK12" s="15">
        <f t="shared" si="0"/>
        <v>11807.1</v>
      </c>
      <c r="AL12" s="15">
        <f t="shared" si="2"/>
        <v>0</v>
      </c>
      <c r="AM12">
        <v>11807.1</v>
      </c>
      <c r="AN12" s="15">
        <f t="shared" si="1"/>
        <v>-11807.1</v>
      </c>
    </row>
    <row r="13" spans="1:40" x14ac:dyDescent="0.25">
      <c r="A13" s="10">
        <v>1084</v>
      </c>
      <c r="B13" s="10" t="s">
        <v>999</v>
      </c>
      <c r="C13" s="3" t="s">
        <v>35</v>
      </c>
      <c r="D13" s="3" t="s">
        <v>36</v>
      </c>
      <c r="E13" s="3" t="s">
        <v>37</v>
      </c>
      <c r="F13" s="3" t="s">
        <v>38</v>
      </c>
      <c r="G13" s="3" t="s">
        <v>14</v>
      </c>
      <c r="H13" s="3" t="s">
        <v>6</v>
      </c>
      <c r="I13" s="3" t="s">
        <v>15</v>
      </c>
      <c r="J13" s="3" t="s">
        <v>39</v>
      </c>
      <c r="K13" s="3"/>
      <c r="L13" s="3"/>
      <c r="M13" s="3" t="s">
        <v>22</v>
      </c>
      <c r="N13" s="3"/>
      <c r="O13" s="3"/>
      <c r="P13" s="4">
        <v>46081</v>
      </c>
      <c r="Q13" s="5">
        <v>641.70000000000005</v>
      </c>
      <c r="R13" s="3">
        <v>41</v>
      </c>
      <c r="S13" s="3"/>
      <c r="T13" s="3">
        <v>0</v>
      </c>
      <c r="U13" s="3" t="s">
        <v>8</v>
      </c>
      <c r="V13" s="5">
        <v>641.70000000000005</v>
      </c>
      <c r="W13" s="3">
        <v>0</v>
      </c>
      <c r="X13" s="3">
        <v>0</v>
      </c>
      <c r="Y13" s="3">
        <v>0</v>
      </c>
      <c r="Z13" s="3">
        <v>0</v>
      </c>
      <c r="AA13" s="5">
        <v>641.70000000000005</v>
      </c>
      <c r="AF13" s="25"/>
      <c r="AG13" s="18"/>
      <c r="AH13" s="3"/>
      <c r="AI13" s="3"/>
      <c r="AJ13" s="3"/>
      <c r="AK13" s="15">
        <f t="shared" si="0"/>
        <v>0</v>
      </c>
      <c r="AL13" s="15">
        <f t="shared" si="2"/>
        <v>641.70000000000005</v>
      </c>
      <c r="AM13">
        <v>641.70000000000005</v>
      </c>
      <c r="AN13" s="15">
        <f t="shared" si="1"/>
        <v>0</v>
      </c>
    </row>
    <row r="14" spans="1:40" x14ac:dyDescent="0.25">
      <c r="A14" s="10" t="s">
        <v>40</v>
      </c>
      <c r="B14" s="10" t="s">
        <v>1000</v>
      </c>
      <c r="C14" s="3" t="s">
        <v>41</v>
      </c>
      <c r="D14" s="3" t="s">
        <v>41</v>
      </c>
      <c r="E14" s="3" t="s">
        <v>42</v>
      </c>
      <c r="F14" s="3" t="s">
        <v>43</v>
      </c>
      <c r="G14" s="3" t="s">
        <v>14</v>
      </c>
      <c r="H14" s="3" t="s">
        <v>6</v>
      </c>
      <c r="I14" s="3"/>
      <c r="J14" s="3" t="s">
        <v>44</v>
      </c>
      <c r="K14" s="3"/>
      <c r="L14" s="3"/>
      <c r="M14" s="3" t="s">
        <v>22</v>
      </c>
      <c r="N14" s="3"/>
      <c r="O14" s="3"/>
      <c r="P14" s="4">
        <v>46081</v>
      </c>
      <c r="Q14" s="5">
        <v>255.51</v>
      </c>
      <c r="R14" s="3">
        <v>126</v>
      </c>
      <c r="S14" s="3"/>
      <c r="T14" s="3">
        <v>0</v>
      </c>
      <c r="U14" s="3" t="s">
        <v>8</v>
      </c>
      <c r="V14" s="5">
        <v>255.51</v>
      </c>
      <c r="W14" s="3">
        <v>0</v>
      </c>
      <c r="X14" s="3">
        <v>0</v>
      </c>
      <c r="Y14" s="3">
        <v>0</v>
      </c>
      <c r="Z14" s="3">
        <v>0</v>
      </c>
      <c r="AA14" s="5">
        <v>255.51</v>
      </c>
      <c r="AF14" s="25"/>
      <c r="AG14" s="18"/>
      <c r="AH14" s="3"/>
      <c r="AI14" s="3"/>
      <c r="AJ14" s="3"/>
      <c r="AK14" s="15">
        <f t="shared" si="0"/>
        <v>0</v>
      </c>
      <c r="AL14" s="15">
        <f t="shared" si="2"/>
        <v>255.51</v>
      </c>
      <c r="AM14">
        <v>255.51</v>
      </c>
      <c r="AN14" s="15">
        <f t="shared" si="1"/>
        <v>0</v>
      </c>
    </row>
    <row r="15" spans="1:40" x14ac:dyDescent="0.25">
      <c r="A15" s="10" t="s">
        <v>45</v>
      </c>
      <c r="B15" s="10" t="s">
        <v>1001</v>
      </c>
      <c r="C15" s="3" t="s">
        <v>46</v>
      </c>
      <c r="D15" s="3" t="s">
        <v>47</v>
      </c>
      <c r="E15" s="3" t="s">
        <v>48</v>
      </c>
      <c r="F15" s="3" t="s">
        <v>49</v>
      </c>
      <c r="G15" s="3" t="s">
        <v>14</v>
      </c>
      <c r="H15" s="3" t="s">
        <v>6</v>
      </c>
      <c r="I15" s="3" t="s">
        <v>15</v>
      </c>
      <c r="J15" s="3" t="s">
        <v>50</v>
      </c>
      <c r="K15" s="3"/>
      <c r="L15" s="3"/>
      <c r="M15" s="3"/>
      <c r="N15" s="3">
        <v>1459</v>
      </c>
      <c r="O15" s="3"/>
      <c r="P15" s="4">
        <v>46081</v>
      </c>
      <c r="Q15" s="5">
        <v>321.32</v>
      </c>
      <c r="R15" s="3">
        <v>40</v>
      </c>
      <c r="S15" s="3"/>
      <c r="T15" s="3">
        <v>0</v>
      </c>
      <c r="U15" s="3" t="s">
        <v>8</v>
      </c>
      <c r="V15" s="5">
        <v>321.32</v>
      </c>
      <c r="W15" s="3">
        <v>0</v>
      </c>
      <c r="X15" s="3">
        <v>0</v>
      </c>
      <c r="Y15" s="3">
        <v>0</v>
      </c>
      <c r="Z15" s="3">
        <v>0</v>
      </c>
      <c r="AA15" s="5">
        <v>321.32</v>
      </c>
      <c r="AF15" s="25"/>
      <c r="AG15" s="18"/>
      <c r="AH15" s="3"/>
      <c r="AI15" s="3"/>
      <c r="AJ15" s="3"/>
      <c r="AK15" s="15">
        <f t="shared" si="0"/>
        <v>0</v>
      </c>
      <c r="AL15" s="15">
        <f t="shared" si="2"/>
        <v>321.32</v>
      </c>
      <c r="AM15">
        <v>321.32</v>
      </c>
      <c r="AN15" s="15">
        <f t="shared" si="1"/>
        <v>0</v>
      </c>
    </row>
    <row r="16" spans="1:40" x14ac:dyDescent="0.25">
      <c r="A16" s="10" t="s">
        <v>51</v>
      </c>
      <c r="B16" s="10" t="s">
        <v>1002</v>
      </c>
      <c r="C16" s="3" t="s">
        <v>52</v>
      </c>
      <c r="D16" s="3" t="s">
        <v>53</v>
      </c>
      <c r="E16" s="3" t="s">
        <v>54</v>
      </c>
      <c r="F16" s="3" t="s">
        <v>55</v>
      </c>
      <c r="G16" s="3" t="s">
        <v>14</v>
      </c>
      <c r="H16" s="3" t="s">
        <v>6</v>
      </c>
      <c r="I16" s="3" t="s">
        <v>15</v>
      </c>
      <c r="J16" s="3" t="s">
        <v>56</v>
      </c>
      <c r="K16" s="3"/>
      <c r="L16" s="3"/>
      <c r="M16" s="3"/>
      <c r="N16" s="3">
        <v>1620</v>
      </c>
      <c r="O16" s="3"/>
      <c r="P16" s="4">
        <v>46067</v>
      </c>
      <c r="Q16" s="5">
        <v>11962.51</v>
      </c>
      <c r="R16" s="3">
        <v>203</v>
      </c>
      <c r="S16" s="3"/>
      <c r="T16" s="3">
        <v>0</v>
      </c>
      <c r="U16" s="3" t="s">
        <v>8</v>
      </c>
      <c r="V16" s="5">
        <v>11962.51</v>
      </c>
      <c r="W16" s="5">
        <v>11962.51</v>
      </c>
      <c r="X16" s="3">
        <v>0</v>
      </c>
      <c r="Y16" s="3">
        <v>0</v>
      </c>
      <c r="Z16" s="3">
        <v>0</v>
      </c>
      <c r="AA16" s="5">
        <v>23925.02</v>
      </c>
      <c r="AC16" t="str">
        <f>[1]nedredc!$A$25</f>
        <v>14/03/2026</v>
      </c>
      <c r="AD16" t="str">
        <f>[1]nedredc!$B$25</f>
        <v>All Danquah</v>
      </c>
      <c r="AE16" s="15">
        <f>[1]nedredc!$C$25</f>
        <v>11962.51</v>
      </c>
      <c r="AF16" s="25"/>
      <c r="AG16" s="19">
        <f>AE16</f>
        <v>11962.51</v>
      </c>
      <c r="AH16" s="3"/>
      <c r="AI16" s="3"/>
      <c r="AJ16" s="3"/>
      <c r="AK16" s="15">
        <f t="shared" si="0"/>
        <v>11962.51</v>
      </c>
      <c r="AL16" s="15">
        <f t="shared" si="2"/>
        <v>11962.51</v>
      </c>
      <c r="AM16">
        <v>11962.51</v>
      </c>
      <c r="AN16" s="15">
        <f t="shared" si="1"/>
        <v>0</v>
      </c>
    </row>
    <row r="17" spans="1:40" x14ac:dyDescent="0.25">
      <c r="A17" s="10" t="s">
        <v>57</v>
      </c>
      <c r="B17" s="10" t="s">
        <v>1003</v>
      </c>
      <c r="C17" s="3" t="s">
        <v>58</v>
      </c>
      <c r="D17" s="3" t="s">
        <v>59</v>
      </c>
      <c r="E17" s="3" t="s">
        <v>60</v>
      </c>
      <c r="F17" s="3" t="s">
        <v>61</v>
      </c>
      <c r="G17" s="3" t="s">
        <v>14</v>
      </c>
      <c r="H17" s="3" t="s">
        <v>6</v>
      </c>
      <c r="I17" s="3"/>
      <c r="J17" s="3" t="s">
        <v>62</v>
      </c>
      <c r="K17" s="3"/>
      <c r="L17" s="3"/>
      <c r="M17" s="3"/>
      <c r="N17" s="3">
        <v>1457</v>
      </c>
      <c r="O17" s="3"/>
      <c r="P17" s="4">
        <v>46071</v>
      </c>
      <c r="Q17" s="5">
        <v>40250</v>
      </c>
      <c r="R17" s="3">
        <v>253</v>
      </c>
      <c r="S17" s="3" t="s">
        <v>63</v>
      </c>
      <c r="T17" s="3">
        <v>0</v>
      </c>
      <c r="U17" s="3" t="s">
        <v>8</v>
      </c>
      <c r="V17" s="5">
        <v>73466.600000000006</v>
      </c>
      <c r="W17" s="5">
        <v>73466.600000000006</v>
      </c>
      <c r="X17" s="3">
        <v>0</v>
      </c>
      <c r="Y17" s="3">
        <v>0</v>
      </c>
      <c r="Z17" s="3">
        <v>0</v>
      </c>
      <c r="AA17" s="5">
        <v>146933.20000000001</v>
      </c>
      <c r="AC17" t="str">
        <f>[1]nedredc!$A$41</f>
        <v>02/03/2026</v>
      </c>
      <c r="AD17" t="str">
        <f>[1]nedredc!$B$41</f>
        <v>STEEL001</v>
      </c>
      <c r="AE17" s="15">
        <f>[1]nedredc!$C$41</f>
        <v>73466.600000000006</v>
      </c>
      <c r="AF17" s="25"/>
      <c r="AG17" s="19">
        <f>AE17</f>
        <v>73466.600000000006</v>
      </c>
      <c r="AH17" s="3"/>
      <c r="AI17" s="3"/>
      <c r="AJ17" s="3"/>
      <c r="AK17" s="15">
        <f t="shared" si="0"/>
        <v>73466.600000000006</v>
      </c>
      <c r="AL17" s="15">
        <f t="shared" si="2"/>
        <v>73466.600000000006</v>
      </c>
      <c r="AM17">
        <v>73466.600000000006</v>
      </c>
      <c r="AN17" s="15">
        <f t="shared" si="1"/>
        <v>0</v>
      </c>
    </row>
    <row r="18" spans="1:40" x14ac:dyDescent="0.25">
      <c r="A18" s="10" t="s">
        <v>64</v>
      </c>
      <c r="B18" s="10" t="s">
        <v>1004</v>
      </c>
      <c r="C18" s="3" t="s">
        <v>65</v>
      </c>
      <c r="D18" s="3" t="s">
        <v>66</v>
      </c>
      <c r="E18" s="3"/>
      <c r="F18" s="3" t="s">
        <v>67</v>
      </c>
      <c r="G18" s="3" t="s">
        <v>14</v>
      </c>
      <c r="H18" s="3" t="s">
        <v>6</v>
      </c>
      <c r="I18" s="3"/>
      <c r="J18" s="3" t="s">
        <v>68</v>
      </c>
      <c r="K18" s="3"/>
      <c r="L18" s="3" t="s">
        <v>69</v>
      </c>
      <c r="M18" s="3" t="s">
        <v>22</v>
      </c>
      <c r="N18" s="3"/>
      <c r="O18" s="3"/>
      <c r="P18" s="4">
        <v>46081</v>
      </c>
      <c r="Q18" s="5">
        <v>284.67</v>
      </c>
      <c r="R18" s="3">
        <v>41</v>
      </c>
      <c r="S18" s="3"/>
      <c r="T18" s="3">
        <v>0</v>
      </c>
      <c r="U18" s="3" t="s">
        <v>8</v>
      </c>
      <c r="V18" s="5">
        <v>284.67</v>
      </c>
      <c r="W18" s="3">
        <v>0</v>
      </c>
      <c r="X18" s="3">
        <v>0</v>
      </c>
      <c r="Y18" s="3">
        <v>0</v>
      </c>
      <c r="Z18" s="3">
        <v>0</v>
      </c>
      <c r="AA18" s="5">
        <v>284.67</v>
      </c>
      <c r="AF18" s="25"/>
      <c r="AG18" s="18"/>
      <c r="AH18" s="3"/>
      <c r="AI18" s="3"/>
      <c r="AJ18" s="3"/>
      <c r="AK18" s="15">
        <f t="shared" si="0"/>
        <v>0</v>
      </c>
      <c r="AL18" s="15">
        <f t="shared" si="2"/>
        <v>284.67</v>
      </c>
      <c r="AM18" s="15">
        <v>284.67</v>
      </c>
      <c r="AN18" s="15">
        <f t="shared" si="1"/>
        <v>0</v>
      </c>
    </row>
    <row r="19" spans="1:40" x14ac:dyDescent="0.25">
      <c r="A19" s="10" t="s">
        <v>70</v>
      </c>
      <c r="B19" s="10" t="s">
        <v>30</v>
      </c>
      <c r="C19" s="3" t="s">
        <v>71</v>
      </c>
      <c r="D19" s="3" t="s">
        <v>72</v>
      </c>
      <c r="E19" s="3" t="s">
        <v>73</v>
      </c>
      <c r="F19" s="3" t="s">
        <v>74</v>
      </c>
      <c r="G19" s="3" t="s">
        <v>14</v>
      </c>
      <c r="H19" s="3" t="s">
        <v>6</v>
      </c>
      <c r="I19" s="3" t="s">
        <v>15</v>
      </c>
      <c r="J19" s="3" t="s">
        <v>75</v>
      </c>
      <c r="K19" s="3" t="s">
        <v>76</v>
      </c>
      <c r="L19" s="3" t="s">
        <v>69</v>
      </c>
      <c r="M19" s="3" t="s">
        <v>22</v>
      </c>
      <c r="N19" s="3">
        <v>2094</v>
      </c>
      <c r="O19" s="3"/>
      <c r="P19" s="4">
        <v>46079</v>
      </c>
      <c r="Q19" s="5">
        <v>147.16999999999999</v>
      </c>
      <c r="R19" s="3">
        <v>39</v>
      </c>
      <c r="S19" s="3"/>
      <c r="T19" s="3">
        <v>0</v>
      </c>
      <c r="U19" s="3" t="s">
        <v>8</v>
      </c>
      <c r="V19" s="5">
        <v>147.16999999999999</v>
      </c>
      <c r="W19" s="3">
        <v>0</v>
      </c>
      <c r="X19" s="3">
        <v>0</v>
      </c>
      <c r="Y19" s="3">
        <v>0</v>
      </c>
      <c r="Z19" s="3">
        <v>0</v>
      </c>
      <c r="AA19" s="5">
        <v>147.16999999999999</v>
      </c>
      <c r="AF19" s="25"/>
      <c r="AG19" s="18"/>
      <c r="AH19" s="3"/>
      <c r="AI19" s="3"/>
      <c r="AJ19" s="3"/>
      <c r="AK19" s="15">
        <f t="shared" si="0"/>
        <v>0</v>
      </c>
      <c r="AL19" s="15">
        <f t="shared" si="2"/>
        <v>147.16999999999999</v>
      </c>
      <c r="AM19" s="15">
        <f>AL19</f>
        <v>147.16999999999999</v>
      </c>
      <c r="AN19" s="15">
        <f t="shared" si="1"/>
        <v>0</v>
      </c>
    </row>
    <row r="20" spans="1:40" x14ac:dyDescent="0.25">
      <c r="A20" s="10" t="s">
        <v>77</v>
      </c>
      <c r="B20" s="10" t="s">
        <v>1005</v>
      </c>
      <c r="C20" s="3" t="s">
        <v>78</v>
      </c>
      <c r="D20" s="3" t="s">
        <v>79</v>
      </c>
      <c r="E20" s="3" t="s">
        <v>80</v>
      </c>
      <c r="F20" s="3" t="s">
        <v>81</v>
      </c>
      <c r="G20" s="3" t="s">
        <v>82</v>
      </c>
      <c r="H20" s="3" t="s">
        <v>6</v>
      </c>
      <c r="I20" s="3" t="s">
        <v>15</v>
      </c>
      <c r="J20" s="3" t="s">
        <v>83</v>
      </c>
      <c r="K20" s="3"/>
      <c r="L20" s="3"/>
      <c r="M20" s="3"/>
      <c r="N20" s="3">
        <v>2066</v>
      </c>
      <c r="O20" s="3"/>
      <c r="P20" s="4">
        <v>45169</v>
      </c>
      <c r="Q20" s="5">
        <v>342.26</v>
      </c>
      <c r="R20" s="3">
        <v>217</v>
      </c>
      <c r="S20" s="3"/>
      <c r="T20" s="3">
        <v>0</v>
      </c>
      <c r="U20" s="3" t="s">
        <v>8</v>
      </c>
      <c r="V20" s="3">
        <v>0</v>
      </c>
      <c r="W20" s="3">
        <v>0</v>
      </c>
      <c r="X20" s="3">
        <v>0</v>
      </c>
      <c r="Y20" s="3">
        <v>0</v>
      </c>
      <c r="Z20" s="5">
        <v>-342.26</v>
      </c>
      <c r="AA20" s="5">
        <v>-342.26</v>
      </c>
      <c r="AF20" s="25"/>
      <c r="AG20" s="18"/>
      <c r="AH20" s="3"/>
      <c r="AI20" s="3"/>
      <c r="AJ20" s="5"/>
      <c r="AK20" s="15">
        <f t="shared" si="0"/>
        <v>0</v>
      </c>
      <c r="AL20" s="15">
        <f t="shared" si="2"/>
        <v>-342.26</v>
      </c>
      <c r="AN20" s="15">
        <f t="shared" si="1"/>
        <v>-342.26</v>
      </c>
    </row>
    <row r="21" spans="1:40" x14ac:dyDescent="0.25">
      <c r="A21" s="10" t="s">
        <v>84</v>
      </c>
      <c r="B21" s="10" t="s">
        <v>1006</v>
      </c>
      <c r="C21" s="3" t="s">
        <v>85</v>
      </c>
      <c r="D21" s="3" t="s">
        <v>86</v>
      </c>
      <c r="E21" s="3"/>
      <c r="F21" s="3" t="s">
        <v>87</v>
      </c>
      <c r="G21" s="3" t="s">
        <v>14</v>
      </c>
      <c r="H21" s="3" t="s">
        <v>6</v>
      </c>
      <c r="I21" s="3" t="s">
        <v>15</v>
      </c>
      <c r="J21" s="3" t="s">
        <v>88</v>
      </c>
      <c r="K21" s="3"/>
      <c r="L21" s="3"/>
      <c r="M21" s="3"/>
      <c r="N21" s="3">
        <v>2041</v>
      </c>
      <c r="O21" s="3"/>
      <c r="P21" s="4">
        <v>46081</v>
      </c>
      <c r="Q21" s="5">
        <v>204.7</v>
      </c>
      <c r="R21" s="3">
        <v>102</v>
      </c>
      <c r="S21" s="3"/>
      <c r="T21" s="3">
        <v>0</v>
      </c>
      <c r="U21" s="3" t="s">
        <v>8</v>
      </c>
      <c r="V21" s="5">
        <v>204.69</v>
      </c>
      <c r="W21" s="3">
        <v>0</v>
      </c>
      <c r="X21" s="3">
        <v>0</v>
      </c>
      <c r="Y21" s="3">
        <v>0</v>
      </c>
      <c r="Z21" s="3">
        <v>0.01</v>
      </c>
      <c r="AA21" s="5">
        <v>204.7</v>
      </c>
      <c r="AF21" s="25"/>
      <c r="AG21" s="18"/>
      <c r="AH21" s="3"/>
      <c r="AI21" s="3"/>
      <c r="AJ21" s="3"/>
      <c r="AK21" s="15">
        <f t="shared" si="0"/>
        <v>0</v>
      </c>
      <c r="AL21" s="15">
        <f t="shared" si="2"/>
        <v>204.7</v>
      </c>
      <c r="AM21" s="15">
        <f>AL21</f>
        <v>204.7</v>
      </c>
      <c r="AN21" s="15">
        <f t="shared" si="1"/>
        <v>0</v>
      </c>
    </row>
    <row r="22" spans="1:40" x14ac:dyDescent="0.25">
      <c r="A22" s="10"/>
      <c r="B22" s="10"/>
      <c r="C22" s="3" t="str">
        <f>[1]nedredc!$B$35</f>
        <v>AUMA SOUTH AFRICA (PTY)LTD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/>
      <c r="Q22" s="5"/>
      <c r="R22" s="3"/>
      <c r="S22" s="3"/>
      <c r="T22" s="3"/>
      <c r="U22" s="3"/>
      <c r="V22" s="5"/>
      <c r="W22" s="3"/>
      <c r="X22" s="3"/>
      <c r="Y22" s="3"/>
      <c r="Z22" s="3"/>
      <c r="AA22" s="5"/>
      <c r="AC22" t="str">
        <f>[1]nedredc!$A$35</f>
        <v>27/03/2026</v>
      </c>
      <c r="AD22" t="str">
        <f>[1]nedredc!$B$35</f>
        <v>AUMA SOUTH AFRICA (PTY)LTD</v>
      </c>
      <c r="AE22" s="15">
        <f>[1]nedredc!$C$35</f>
        <v>26226.81</v>
      </c>
      <c r="AF22" s="26">
        <f>AE22</f>
        <v>26226.81</v>
      </c>
      <c r="AG22" s="18"/>
      <c r="AH22" s="3"/>
      <c r="AI22" s="3"/>
      <c r="AJ22" s="3"/>
      <c r="AK22" s="15">
        <f t="shared" ref="AK22" si="3">AG22+AH22+AI22+AJ22+AF22</f>
        <v>26226.81</v>
      </c>
      <c r="AL22" s="15">
        <f t="shared" ref="AL22" si="4">AA22-AK22</f>
        <v>-26226.81</v>
      </c>
      <c r="AM22">
        <v>0</v>
      </c>
      <c r="AN22" s="15">
        <f t="shared" ref="AN22" si="5">AL22-AM22</f>
        <v>-26226.81</v>
      </c>
    </row>
    <row r="23" spans="1:40" x14ac:dyDescent="0.25">
      <c r="A23" s="10" t="s">
        <v>89</v>
      </c>
      <c r="B23" s="10" t="s">
        <v>1007</v>
      </c>
      <c r="C23" s="3" t="s">
        <v>90</v>
      </c>
      <c r="D23" s="3" t="s">
        <v>91</v>
      </c>
      <c r="E23" s="3" t="s">
        <v>92</v>
      </c>
      <c r="F23" s="3" t="s">
        <v>93</v>
      </c>
      <c r="G23" s="3" t="s">
        <v>14</v>
      </c>
      <c r="H23" s="3" t="s">
        <v>6</v>
      </c>
      <c r="I23" s="3" t="s">
        <v>15</v>
      </c>
      <c r="J23" s="3" t="s">
        <v>94</v>
      </c>
      <c r="K23" s="3"/>
      <c r="L23" s="3"/>
      <c r="M23" s="3"/>
      <c r="N23" s="3"/>
      <c r="O23" s="3"/>
      <c r="P23" s="4">
        <v>46069</v>
      </c>
      <c r="Q23" s="5">
        <v>189890.58</v>
      </c>
      <c r="R23" s="3">
        <v>139</v>
      </c>
      <c r="S23" s="3"/>
      <c r="T23" s="3">
        <v>0</v>
      </c>
      <c r="U23" s="3" t="s">
        <v>8</v>
      </c>
      <c r="V23" s="5">
        <v>132914.71</v>
      </c>
      <c r="W23" s="5">
        <v>237641.76</v>
      </c>
      <c r="X23" s="3">
        <v>0</v>
      </c>
      <c r="Y23" s="3">
        <v>0</v>
      </c>
      <c r="Z23" s="3">
        <v>0</v>
      </c>
      <c r="AA23" s="5">
        <v>370556.47</v>
      </c>
      <c r="AC23" t="str">
        <f>[1]nedredc!$A$39</f>
        <v>16/03/2026</v>
      </c>
      <c r="AD23" t="str">
        <f>[1]nedredc!$B$39</f>
        <v>PRE001 AVIS VAN RENT</v>
      </c>
      <c r="AE23" s="15">
        <f>[1]nedredc!$C$39</f>
        <v>37641.760000000002</v>
      </c>
      <c r="AF23" s="26">
        <f>AE24</f>
        <v>200000</v>
      </c>
      <c r="AG23" s="19">
        <f>AE23</f>
        <v>37641.760000000002</v>
      </c>
      <c r="AH23" s="3"/>
      <c r="AI23" s="3"/>
      <c r="AJ23" s="3"/>
      <c r="AK23" s="15">
        <f t="shared" si="0"/>
        <v>237641.76</v>
      </c>
      <c r="AL23" s="15">
        <f t="shared" si="2"/>
        <v>132914.70999999996</v>
      </c>
      <c r="AM23">
        <v>132914.71</v>
      </c>
      <c r="AN23" s="15">
        <f t="shared" si="1"/>
        <v>0</v>
      </c>
    </row>
    <row r="24" spans="1:40" x14ac:dyDescent="0.25">
      <c r="A24" s="10"/>
      <c r="B24" s="1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/>
      <c r="Q24" s="5"/>
      <c r="R24" s="3"/>
      <c r="S24" s="3"/>
      <c r="T24" s="3"/>
      <c r="U24" s="3"/>
      <c r="V24" s="5"/>
      <c r="W24" s="5"/>
      <c r="X24" s="3"/>
      <c r="Y24" s="3"/>
      <c r="Z24" s="3"/>
      <c r="AA24" s="5"/>
      <c r="AC24" t="str">
        <f>[1]nedredc!$A$46</f>
        <v>16/03/2026</v>
      </c>
      <c r="AD24" t="str">
        <f>[1]nedredc!$B$46</f>
        <v>PRE001 AVIS VAN RENT</v>
      </c>
      <c r="AE24" s="15">
        <f>[1]nedredc!$C$46</f>
        <v>200000</v>
      </c>
      <c r="AF24" s="25"/>
      <c r="AG24" s="19"/>
      <c r="AH24" s="3"/>
      <c r="AI24" s="3"/>
      <c r="AJ24" s="3"/>
      <c r="AK24" s="15"/>
      <c r="AL24" s="15"/>
      <c r="AN24" s="15"/>
    </row>
    <row r="25" spans="1:40" x14ac:dyDescent="0.25">
      <c r="A25" s="10" t="s">
        <v>95</v>
      </c>
      <c r="B25" s="10" t="s">
        <v>30</v>
      </c>
      <c r="C25" s="3" t="s">
        <v>96</v>
      </c>
      <c r="D25" s="3" t="s">
        <v>97</v>
      </c>
      <c r="E25" s="3" t="s">
        <v>92</v>
      </c>
      <c r="F25" s="3" t="s">
        <v>93</v>
      </c>
      <c r="G25" s="3" t="s">
        <v>14</v>
      </c>
      <c r="H25" s="3" t="s">
        <v>6</v>
      </c>
      <c r="I25" s="3"/>
      <c r="J25" s="3" t="s">
        <v>94</v>
      </c>
      <c r="K25" s="3"/>
      <c r="L25" s="3"/>
      <c r="M25" s="3" t="s">
        <v>22</v>
      </c>
      <c r="N25" s="3"/>
      <c r="O25" s="3"/>
      <c r="P25" s="4">
        <v>46081</v>
      </c>
      <c r="Q25" s="5">
        <v>1122.4000000000001</v>
      </c>
      <c r="R25" s="3">
        <v>116</v>
      </c>
      <c r="S25" s="3"/>
      <c r="T25" s="3">
        <v>0</v>
      </c>
      <c r="U25" s="3" t="s">
        <v>8</v>
      </c>
      <c r="V25" s="5">
        <v>1122.4000000000001</v>
      </c>
      <c r="W25" s="3">
        <v>0</v>
      </c>
      <c r="X25" s="3">
        <v>0</v>
      </c>
      <c r="Y25" s="3">
        <v>0</v>
      </c>
      <c r="Z25" s="3">
        <v>0</v>
      </c>
      <c r="AA25" s="5">
        <v>1122.4000000000001</v>
      </c>
      <c r="AF25" s="25"/>
      <c r="AG25" s="18"/>
      <c r="AH25" s="3"/>
      <c r="AI25" s="3"/>
      <c r="AJ25" s="3"/>
      <c r="AK25" s="15">
        <f t="shared" si="0"/>
        <v>0</v>
      </c>
      <c r="AL25" s="15">
        <f t="shared" si="2"/>
        <v>1122.4000000000001</v>
      </c>
      <c r="AM25" s="15">
        <f t="shared" ref="AM25:AM35" si="6">AL25</f>
        <v>1122.4000000000001</v>
      </c>
      <c r="AN25" s="15">
        <f t="shared" si="1"/>
        <v>0</v>
      </c>
    </row>
    <row r="26" spans="1:40" x14ac:dyDescent="0.25">
      <c r="A26" s="10" t="s">
        <v>98</v>
      </c>
      <c r="B26" s="10" t="s">
        <v>1008</v>
      </c>
      <c r="C26" s="3" t="s">
        <v>99</v>
      </c>
      <c r="D26" s="3" t="s">
        <v>100</v>
      </c>
      <c r="E26" s="3" t="s">
        <v>101</v>
      </c>
      <c r="F26" s="3" t="s">
        <v>102</v>
      </c>
      <c r="G26" s="3" t="s">
        <v>14</v>
      </c>
      <c r="H26" s="3" t="s">
        <v>6</v>
      </c>
      <c r="I26" s="3" t="s">
        <v>15</v>
      </c>
      <c r="J26" s="3" t="s">
        <v>103</v>
      </c>
      <c r="K26" s="3"/>
      <c r="L26" s="3"/>
      <c r="M26" s="3" t="s">
        <v>22</v>
      </c>
      <c r="N26" s="3"/>
      <c r="O26" s="3"/>
      <c r="P26" s="4">
        <v>46081</v>
      </c>
      <c r="Q26" s="5">
        <v>2390.2600000000002</v>
      </c>
      <c r="R26" s="3">
        <v>226</v>
      </c>
      <c r="S26" s="3"/>
      <c r="T26" s="3">
        <v>0</v>
      </c>
      <c r="U26" s="3" t="s">
        <v>8</v>
      </c>
      <c r="V26" s="5">
        <v>2390.2600000000002</v>
      </c>
      <c r="W26" s="3">
        <v>0</v>
      </c>
      <c r="X26" s="3">
        <v>0</v>
      </c>
      <c r="Y26" s="3">
        <v>0</v>
      </c>
      <c r="Z26" s="3">
        <v>0</v>
      </c>
      <c r="AA26" s="5">
        <v>2390.2600000000002</v>
      </c>
      <c r="AF26" s="25"/>
      <c r="AG26" s="18"/>
      <c r="AH26" s="3"/>
      <c r="AI26" s="3"/>
      <c r="AJ26" s="3"/>
      <c r="AK26" s="15">
        <f t="shared" si="0"/>
        <v>0</v>
      </c>
      <c r="AL26" s="15">
        <f t="shared" si="2"/>
        <v>2390.2600000000002</v>
      </c>
      <c r="AM26" s="15">
        <f t="shared" si="6"/>
        <v>2390.2600000000002</v>
      </c>
      <c r="AN26" s="15">
        <f t="shared" si="1"/>
        <v>0</v>
      </c>
    </row>
    <row r="27" spans="1:40" x14ac:dyDescent="0.25">
      <c r="A27" s="10" t="s">
        <v>104</v>
      </c>
      <c r="B27" s="10" t="s">
        <v>1009</v>
      </c>
      <c r="C27" s="3" t="s">
        <v>105</v>
      </c>
      <c r="D27" s="3" t="s">
        <v>106</v>
      </c>
      <c r="E27" s="3" t="s">
        <v>107</v>
      </c>
      <c r="F27" s="3" t="s">
        <v>108</v>
      </c>
      <c r="G27" s="3" t="s">
        <v>14</v>
      </c>
      <c r="H27" s="3" t="s">
        <v>6</v>
      </c>
      <c r="I27" s="3" t="s">
        <v>15</v>
      </c>
      <c r="J27" s="3" t="s">
        <v>109</v>
      </c>
      <c r="K27" s="3"/>
      <c r="L27" s="3"/>
      <c r="M27" s="3" t="s">
        <v>22</v>
      </c>
      <c r="N27" s="3"/>
      <c r="O27" s="3"/>
      <c r="P27" s="4">
        <v>46081</v>
      </c>
      <c r="Q27" s="5">
        <v>1940.51</v>
      </c>
      <c r="R27" s="3">
        <v>67</v>
      </c>
      <c r="S27" s="3"/>
      <c r="T27" s="3">
        <v>0</v>
      </c>
      <c r="U27" s="3" t="s">
        <v>8</v>
      </c>
      <c r="V27" s="5">
        <v>1940.51</v>
      </c>
      <c r="W27" s="3">
        <v>0</v>
      </c>
      <c r="X27" s="3">
        <v>0</v>
      </c>
      <c r="Y27" s="3">
        <v>0</v>
      </c>
      <c r="Z27" s="3">
        <v>0</v>
      </c>
      <c r="AA27" s="5">
        <v>1940.51</v>
      </c>
      <c r="AF27" s="25"/>
      <c r="AG27" s="18"/>
      <c r="AH27" s="3"/>
      <c r="AI27" s="3"/>
      <c r="AJ27" s="3"/>
      <c r="AK27" s="15">
        <f t="shared" si="0"/>
        <v>0</v>
      </c>
      <c r="AL27" s="15">
        <f t="shared" si="2"/>
        <v>1940.51</v>
      </c>
      <c r="AM27" s="15">
        <f t="shared" si="6"/>
        <v>1940.51</v>
      </c>
      <c r="AN27" s="15">
        <f t="shared" si="1"/>
        <v>0</v>
      </c>
    </row>
    <row r="28" spans="1:40" x14ac:dyDescent="0.25">
      <c r="A28" s="10" t="s">
        <v>110</v>
      </c>
      <c r="B28" s="10"/>
      <c r="C28" s="3" t="s">
        <v>111</v>
      </c>
      <c r="D28" s="3" t="s">
        <v>111</v>
      </c>
      <c r="E28" s="3"/>
      <c r="F28" s="3" t="s">
        <v>112</v>
      </c>
      <c r="G28" s="3" t="s">
        <v>14</v>
      </c>
      <c r="H28" s="3" t="s">
        <v>6</v>
      </c>
      <c r="I28" s="3"/>
      <c r="J28" s="3" t="s">
        <v>113</v>
      </c>
      <c r="K28" s="3"/>
      <c r="L28" s="3"/>
      <c r="M28" s="3" t="s">
        <v>22</v>
      </c>
      <c r="N28" s="3"/>
      <c r="O28" s="3"/>
      <c r="P28" s="4">
        <v>46079</v>
      </c>
      <c r="Q28" s="5">
        <v>79.349999999999994</v>
      </c>
      <c r="R28" s="3">
        <v>64</v>
      </c>
      <c r="S28" s="3"/>
      <c r="T28" s="3">
        <v>0</v>
      </c>
      <c r="U28" s="3" t="s">
        <v>8</v>
      </c>
      <c r="V28" s="5">
        <v>79.349999999999994</v>
      </c>
      <c r="W28" s="3">
        <v>0</v>
      </c>
      <c r="X28" s="3">
        <v>0</v>
      </c>
      <c r="Y28" s="3">
        <v>0</v>
      </c>
      <c r="Z28" s="3">
        <v>0</v>
      </c>
      <c r="AA28" s="5">
        <v>79.349999999999994</v>
      </c>
      <c r="AF28" s="25"/>
      <c r="AG28" s="18"/>
      <c r="AH28" s="3"/>
      <c r="AI28" s="3"/>
      <c r="AJ28" s="3"/>
      <c r="AK28" s="15">
        <f t="shared" si="0"/>
        <v>0</v>
      </c>
      <c r="AL28" s="15">
        <f t="shared" si="2"/>
        <v>79.349999999999994</v>
      </c>
      <c r="AM28" s="15">
        <f t="shared" si="6"/>
        <v>79.349999999999994</v>
      </c>
      <c r="AN28" s="15">
        <f t="shared" si="1"/>
        <v>0</v>
      </c>
    </row>
    <row r="29" spans="1:40" x14ac:dyDescent="0.25">
      <c r="A29" s="10" t="s">
        <v>114</v>
      </c>
      <c r="B29" s="10"/>
      <c r="C29" s="3" t="s">
        <v>115</v>
      </c>
      <c r="D29" s="3" t="s">
        <v>115</v>
      </c>
      <c r="E29" s="6" t="s">
        <v>116</v>
      </c>
      <c r="F29" s="3" t="s">
        <v>117</v>
      </c>
      <c r="G29" s="3" t="s">
        <v>14</v>
      </c>
      <c r="H29" s="3" t="s">
        <v>6</v>
      </c>
      <c r="I29" s="3" t="s">
        <v>15</v>
      </c>
      <c r="J29" s="3" t="s">
        <v>118</v>
      </c>
      <c r="K29" s="3"/>
      <c r="L29" s="3"/>
      <c r="M29" s="3"/>
      <c r="N29" s="3"/>
      <c r="O29" s="3"/>
      <c r="P29" s="4">
        <v>46081</v>
      </c>
      <c r="Q29" s="5">
        <v>734.3</v>
      </c>
      <c r="R29" s="3">
        <v>73</v>
      </c>
      <c r="S29" s="3"/>
      <c r="T29" s="3">
        <v>0</v>
      </c>
      <c r="U29" s="3" t="s">
        <v>8</v>
      </c>
      <c r="V29" s="5">
        <v>734.3</v>
      </c>
      <c r="W29" s="3">
        <v>0</v>
      </c>
      <c r="X29" s="3">
        <v>0</v>
      </c>
      <c r="Y29" s="3">
        <v>0</v>
      </c>
      <c r="Z29" s="3">
        <v>0</v>
      </c>
      <c r="AA29" s="5">
        <v>734.3</v>
      </c>
      <c r="AF29" s="25"/>
      <c r="AG29" s="18"/>
      <c r="AH29" s="3"/>
      <c r="AI29" s="3"/>
      <c r="AJ29" s="3"/>
      <c r="AK29" s="15">
        <f t="shared" si="0"/>
        <v>0</v>
      </c>
      <c r="AL29" s="15">
        <f t="shared" si="2"/>
        <v>734.3</v>
      </c>
      <c r="AM29" s="15">
        <f t="shared" si="6"/>
        <v>734.3</v>
      </c>
      <c r="AN29" s="15">
        <f t="shared" si="1"/>
        <v>0</v>
      </c>
    </row>
    <row r="30" spans="1:40" x14ac:dyDescent="0.25">
      <c r="A30" s="10" t="s">
        <v>119</v>
      </c>
      <c r="B30" s="10" t="s">
        <v>1010</v>
      </c>
      <c r="C30" s="3" t="s">
        <v>120</v>
      </c>
      <c r="D30" s="3" t="s">
        <v>120</v>
      </c>
      <c r="E30" s="3"/>
      <c r="F30" s="3" t="s">
        <v>121</v>
      </c>
      <c r="G30" s="3" t="s">
        <v>14</v>
      </c>
      <c r="H30" s="3" t="s">
        <v>6</v>
      </c>
      <c r="I30" s="3" t="s">
        <v>15</v>
      </c>
      <c r="J30" s="3" t="s">
        <v>122</v>
      </c>
      <c r="K30" s="3"/>
      <c r="L30" s="3"/>
      <c r="M30" s="3" t="s">
        <v>22</v>
      </c>
      <c r="N30" s="3"/>
      <c r="O30" s="3"/>
      <c r="P30" s="4">
        <v>46079</v>
      </c>
      <c r="Q30" s="5">
        <v>79.349999999999994</v>
      </c>
      <c r="R30" s="3">
        <v>46</v>
      </c>
      <c r="S30" s="3"/>
      <c r="T30" s="3">
        <v>0</v>
      </c>
      <c r="U30" s="3" t="s">
        <v>8</v>
      </c>
      <c r="V30" s="3">
        <v>0</v>
      </c>
      <c r="W30" s="3">
        <v>0</v>
      </c>
      <c r="X30" s="3">
        <v>0</v>
      </c>
      <c r="Y30" s="3">
        <v>0</v>
      </c>
      <c r="Z30" s="5">
        <v>79.349999999999994</v>
      </c>
      <c r="AA30" s="5">
        <v>79.349999999999994</v>
      </c>
      <c r="AF30" s="25"/>
      <c r="AG30" s="18"/>
      <c r="AH30" s="3"/>
      <c r="AI30" s="3"/>
      <c r="AJ30" s="5"/>
      <c r="AK30" s="15">
        <f t="shared" si="0"/>
        <v>0</v>
      </c>
      <c r="AL30" s="15">
        <f t="shared" si="2"/>
        <v>79.349999999999994</v>
      </c>
      <c r="AM30" s="15">
        <f t="shared" si="6"/>
        <v>79.349999999999994</v>
      </c>
      <c r="AN30" s="15">
        <f t="shared" si="1"/>
        <v>0</v>
      </c>
    </row>
    <row r="31" spans="1:40" x14ac:dyDescent="0.25">
      <c r="A31" s="10" t="s">
        <v>123</v>
      </c>
      <c r="B31" s="10" t="s">
        <v>1011</v>
      </c>
      <c r="C31" s="3" t="s">
        <v>124</v>
      </c>
      <c r="D31" s="3" t="s">
        <v>125</v>
      </c>
      <c r="E31" s="3" t="s">
        <v>126</v>
      </c>
      <c r="F31" s="3" t="s">
        <v>127</v>
      </c>
      <c r="G31" s="3" t="s">
        <v>14</v>
      </c>
      <c r="H31" s="3" t="s">
        <v>6</v>
      </c>
      <c r="I31" s="3" t="s">
        <v>15</v>
      </c>
      <c r="J31" s="3" t="s">
        <v>128</v>
      </c>
      <c r="K31" s="3"/>
      <c r="L31" s="3"/>
      <c r="M31" s="3"/>
      <c r="N31" s="3">
        <v>1715</v>
      </c>
      <c r="O31" s="3"/>
      <c r="P31" s="4">
        <v>46081</v>
      </c>
      <c r="Q31" s="5">
        <v>1949.08</v>
      </c>
      <c r="R31" s="3">
        <v>122</v>
      </c>
      <c r="S31" s="3"/>
      <c r="T31" s="3">
        <v>0</v>
      </c>
      <c r="U31" s="3" t="s">
        <v>8</v>
      </c>
      <c r="V31" s="5">
        <v>1949.08</v>
      </c>
      <c r="W31" s="3">
        <v>0</v>
      </c>
      <c r="X31" s="3">
        <v>0</v>
      </c>
      <c r="Y31" s="3">
        <v>0</v>
      </c>
      <c r="Z31" s="3">
        <v>0</v>
      </c>
      <c r="AA31" s="5">
        <v>1949.08</v>
      </c>
      <c r="AF31" s="25"/>
      <c r="AG31" s="18"/>
      <c r="AH31" s="3"/>
      <c r="AI31" s="3"/>
      <c r="AJ31" s="3"/>
      <c r="AK31" s="15">
        <f t="shared" si="0"/>
        <v>0</v>
      </c>
      <c r="AL31" s="15">
        <f t="shared" si="2"/>
        <v>1949.08</v>
      </c>
      <c r="AM31" s="15">
        <f t="shared" si="6"/>
        <v>1949.08</v>
      </c>
      <c r="AN31" s="15">
        <f t="shared" si="1"/>
        <v>0</v>
      </c>
    </row>
    <row r="32" spans="1:40" x14ac:dyDescent="0.25">
      <c r="A32" s="10" t="s">
        <v>129</v>
      </c>
      <c r="B32" s="10"/>
      <c r="C32" s="3" t="s">
        <v>130</v>
      </c>
      <c r="D32" s="3" t="s">
        <v>130</v>
      </c>
      <c r="E32" s="3" t="s">
        <v>131</v>
      </c>
      <c r="F32" s="3" t="s">
        <v>132</v>
      </c>
      <c r="G32" s="3" t="s">
        <v>14</v>
      </c>
      <c r="H32" s="3" t="s">
        <v>6</v>
      </c>
      <c r="I32" s="3" t="s">
        <v>15</v>
      </c>
      <c r="J32" s="3" t="s">
        <v>133</v>
      </c>
      <c r="K32" s="3"/>
      <c r="L32" s="3"/>
      <c r="M32" s="3" t="s">
        <v>22</v>
      </c>
      <c r="N32" s="3"/>
      <c r="O32" s="3"/>
      <c r="P32" s="4">
        <v>46081</v>
      </c>
      <c r="Q32" s="5">
        <v>153.53</v>
      </c>
      <c r="R32" s="3">
        <v>57</v>
      </c>
      <c r="S32" s="3"/>
      <c r="T32" s="3">
        <v>0</v>
      </c>
      <c r="U32" s="3" t="s">
        <v>8</v>
      </c>
      <c r="V32" s="5">
        <v>153.53</v>
      </c>
      <c r="W32" s="3">
        <v>0</v>
      </c>
      <c r="X32" s="3">
        <v>0</v>
      </c>
      <c r="Y32" s="3">
        <v>0</v>
      </c>
      <c r="Z32" s="3">
        <v>0</v>
      </c>
      <c r="AA32" s="5">
        <v>153.53</v>
      </c>
      <c r="AF32" s="25"/>
      <c r="AG32" s="18"/>
      <c r="AH32" s="3"/>
      <c r="AI32" s="3"/>
      <c r="AJ32" s="3"/>
      <c r="AK32" s="15">
        <f t="shared" si="0"/>
        <v>0</v>
      </c>
      <c r="AL32" s="15">
        <f t="shared" si="2"/>
        <v>153.53</v>
      </c>
      <c r="AM32" s="15">
        <f t="shared" si="6"/>
        <v>153.53</v>
      </c>
      <c r="AN32" s="15">
        <f t="shared" si="1"/>
        <v>0</v>
      </c>
    </row>
    <row r="33" spans="1:40" x14ac:dyDescent="0.25">
      <c r="A33" s="10">
        <v>1126</v>
      </c>
      <c r="B33" s="10" t="s">
        <v>1012</v>
      </c>
      <c r="C33" s="3" t="s">
        <v>134</v>
      </c>
      <c r="D33" s="3" t="s">
        <v>135</v>
      </c>
      <c r="E33" s="3" t="s">
        <v>136</v>
      </c>
      <c r="F33" s="3" t="s">
        <v>137</v>
      </c>
      <c r="G33" s="3" t="s">
        <v>14</v>
      </c>
      <c r="H33" s="3" t="s">
        <v>6</v>
      </c>
      <c r="I33" s="3" t="s">
        <v>15</v>
      </c>
      <c r="J33" s="3" t="s">
        <v>138</v>
      </c>
      <c r="K33" s="3" t="s">
        <v>76</v>
      </c>
      <c r="L33" s="3" t="s">
        <v>69</v>
      </c>
      <c r="M33" s="3" t="s">
        <v>22</v>
      </c>
      <c r="N33" s="3">
        <v>1401</v>
      </c>
      <c r="O33" s="3"/>
      <c r="P33" s="4">
        <v>46081</v>
      </c>
      <c r="Q33" s="5">
        <v>354.66</v>
      </c>
      <c r="R33" s="3">
        <v>67</v>
      </c>
      <c r="S33" s="3"/>
      <c r="T33" s="3">
        <v>0</v>
      </c>
      <c r="U33" s="3" t="s">
        <v>8</v>
      </c>
      <c r="V33" s="5">
        <v>354.66</v>
      </c>
      <c r="W33" s="3">
        <v>0</v>
      </c>
      <c r="X33" s="3">
        <v>0</v>
      </c>
      <c r="Y33" s="3">
        <v>0</v>
      </c>
      <c r="Z33" s="3">
        <v>0</v>
      </c>
      <c r="AA33" s="5">
        <v>354.66</v>
      </c>
      <c r="AF33" s="25"/>
      <c r="AG33" s="18"/>
      <c r="AH33" s="3"/>
      <c r="AI33" s="3"/>
      <c r="AJ33" s="3"/>
      <c r="AK33" s="15">
        <f t="shared" si="0"/>
        <v>0</v>
      </c>
      <c r="AL33" s="15">
        <f t="shared" si="2"/>
        <v>354.66</v>
      </c>
      <c r="AM33" s="15">
        <f t="shared" si="6"/>
        <v>354.66</v>
      </c>
      <c r="AN33" s="15">
        <f t="shared" si="1"/>
        <v>0</v>
      </c>
    </row>
    <row r="34" spans="1:40" x14ac:dyDescent="0.25">
      <c r="A34" s="10" t="s">
        <v>139</v>
      </c>
      <c r="B34" s="10" t="s">
        <v>1013</v>
      </c>
      <c r="C34" s="3" t="s">
        <v>140</v>
      </c>
      <c r="D34" s="3" t="s">
        <v>140</v>
      </c>
      <c r="E34" s="3" t="s">
        <v>141</v>
      </c>
      <c r="F34" s="3" t="s">
        <v>142</v>
      </c>
      <c r="G34" s="3" t="s">
        <v>14</v>
      </c>
      <c r="H34" s="3" t="s">
        <v>6</v>
      </c>
      <c r="I34" s="3" t="s">
        <v>15</v>
      </c>
      <c r="J34" s="3" t="s">
        <v>143</v>
      </c>
      <c r="K34" s="3"/>
      <c r="L34" s="3"/>
      <c r="M34" s="3" t="s">
        <v>22</v>
      </c>
      <c r="N34" s="3"/>
      <c r="O34" s="3"/>
      <c r="P34" s="4">
        <v>46010</v>
      </c>
      <c r="Q34" s="5">
        <v>2000</v>
      </c>
      <c r="R34" s="3">
        <v>84</v>
      </c>
      <c r="S34" s="3"/>
      <c r="T34" s="3">
        <v>0</v>
      </c>
      <c r="U34" s="3" t="s">
        <v>8</v>
      </c>
      <c r="V34" s="5">
        <v>655.49</v>
      </c>
      <c r="W34" s="5">
        <v>655.49</v>
      </c>
      <c r="X34" s="5">
        <v>640.51</v>
      </c>
      <c r="Y34" s="3">
        <v>0</v>
      </c>
      <c r="Z34" s="3">
        <v>0</v>
      </c>
      <c r="AA34" s="5">
        <v>1951.49</v>
      </c>
      <c r="AF34" s="25"/>
      <c r="AG34" s="19"/>
      <c r="AH34" s="5"/>
      <c r="AI34" s="3"/>
      <c r="AJ34" s="3"/>
      <c r="AK34" s="15">
        <f t="shared" si="0"/>
        <v>0</v>
      </c>
      <c r="AL34" s="15">
        <f t="shared" si="2"/>
        <v>1951.49</v>
      </c>
      <c r="AM34" s="15">
        <f t="shared" si="6"/>
        <v>1951.49</v>
      </c>
      <c r="AN34" s="15">
        <f t="shared" si="1"/>
        <v>0</v>
      </c>
    </row>
    <row r="35" spans="1:40" x14ac:dyDescent="0.25">
      <c r="A35" s="10" t="s">
        <v>144</v>
      </c>
      <c r="B35" s="10" t="s">
        <v>1014</v>
      </c>
      <c r="C35" s="3" t="s">
        <v>145</v>
      </c>
      <c r="D35" s="3" t="s">
        <v>145</v>
      </c>
      <c r="E35" s="3" t="s">
        <v>146</v>
      </c>
      <c r="F35" s="3" t="s">
        <v>147</v>
      </c>
      <c r="G35" s="3" t="s">
        <v>14</v>
      </c>
      <c r="H35" s="3" t="s">
        <v>6</v>
      </c>
      <c r="I35" s="3" t="s">
        <v>15</v>
      </c>
      <c r="J35" s="3" t="s">
        <v>148</v>
      </c>
      <c r="K35" s="3"/>
      <c r="L35" s="3"/>
      <c r="M35" s="3" t="s">
        <v>22</v>
      </c>
      <c r="N35" s="3"/>
      <c r="O35" s="3"/>
      <c r="P35" s="4">
        <v>45772</v>
      </c>
      <c r="Q35" s="3">
        <v>0</v>
      </c>
      <c r="R35" s="3">
        <v>60</v>
      </c>
      <c r="S35" s="3"/>
      <c r="T35" s="3">
        <v>0</v>
      </c>
      <c r="U35" s="3" t="s">
        <v>8</v>
      </c>
      <c r="V35" s="5">
        <v>967.52</v>
      </c>
      <c r="W35" s="5">
        <v>857.11</v>
      </c>
      <c r="X35" s="3">
        <v>0</v>
      </c>
      <c r="Y35" s="3">
        <v>0</v>
      </c>
      <c r="Z35" s="5">
        <v>-11.45</v>
      </c>
      <c r="AA35" s="5">
        <v>1813.18</v>
      </c>
      <c r="AF35" s="25"/>
      <c r="AG35" s="19"/>
      <c r="AH35" s="3"/>
      <c r="AI35" s="3"/>
      <c r="AJ35" s="5"/>
      <c r="AK35" s="15">
        <f t="shared" si="0"/>
        <v>0</v>
      </c>
      <c r="AL35" s="15">
        <f t="shared" si="2"/>
        <v>1813.18</v>
      </c>
      <c r="AM35" s="15">
        <f t="shared" si="6"/>
        <v>1813.18</v>
      </c>
      <c r="AN35" s="15">
        <f t="shared" si="1"/>
        <v>0</v>
      </c>
    </row>
    <row r="36" spans="1:40" x14ac:dyDescent="0.25">
      <c r="A36" s="10" t="s">
        <v>149</v>
      </c>
      <c r="B36" s="10" t="s">
        <v>1015</v>
      </c>
      <c r="C36" s="3" t="s">
        <v>150</v>
      </c>
      <c r="D36" s="3" t="s">
        <v>151</v>
      </c>
      <c r="E36" s="3"/>
      <c r="F36" s="3" t="s">
        <v>152</v>
      </c>
      <c r="G36" s="3" t="s">
        <v>14</v>
      </c>
      <c r="H36" s="3" t="s">
        <v>6</v>
      </c>
      <c r="I36" s="3"/>
      <c r="J36" s="3" t="s">
        <v>153</v>
      </c>
      <c r="K36" s="3"/>
      <c r="L36" s="3"/>
      <c r="M36" s="3" t="s">
        <v>22</v>
      </c>
      <c r="N36" s="3"/>
      <c r="O36" s="3"/>
      <c r="P36" s="4">
        <v>46060</v>
      </c>
      <c r="Q36" s="5">
        <v>13511</v>
      </c>
      <c r="R36" s="3">
        <v>79</v>
      </c>
      <c r="S36" s="3"/>
      <c r="T36" s="3">
        <v>0</v>
      </c>
      <c r="U36" s="3" t="s">
        <v>8</v>
      </c>
      <c r="V36" s="5">
        <v>13511</v>
      </c>
      <c r="W36" s="5">
        <v>13511</v>
      </c>
      <c r="X36" s="3">
        <v>0</v>
      </c>
      <c r="Y36" s="3">
        <v>0</v>
      </c>
      <c r="Z36" s="3">
        <v>0</v>
      </c>
      <c r="AA36" s="5">
        <v>27022</v>
      </c>
      <c r="AC36" t="str">
        <f>[1]nedredc!$A$26</f>
        <v>07/03/2026</v>
      </c>
      <c r="AD36" t="str">
        <f>[1]nedredc!$B$26</f>
        <v>CONCISE PERFORMANCE FUELS</v>
      </c>
      <c r="AE36" s="15">
        <f>[1]nedredc!$C$26</f>
        <v>13511</v>
      </c>
      <c r="AF36" s="25"/>
      <c r="AG36" s="19">
        <f>AE36</f>
        <v>13511</v>
      </c>
      <c r="AH36" s="3"/>
      <c r="AI36" s="3"/>
      <c r="AJ36" s="3"/>
      <c r="AK36" s="15">
        <f t="shared" si="0"/>
        <v>13511</v>
      </c>
      <c r="AL36" s="15">
        <f t="shared" si="2"/>
        <v>13511</v>
      </c>
      <c r="AM36">
        <v>13511</v>
      </c>
      <c r="AN36" s="15">
        <f t="shared" si="1"/>
        <v>0</v>
      </c>
    </row>
    <row r="37" spans="1:40" x14ac:dyDescent="0.25">
      <c r="A37" s="10" t="s">
        <v>154</v>
      </c>
      <c r="B37" s="10" t="s">
        <v>1016</v>
      </c>
      <c r="C37" s="3" t="s">
        <v>155</v>
      </c>
      <c r="D37" s="3" t="s">
        <v>156</v>
      </c>
      <c r="E37" s="3" t="s">
        <v>157</v>
      </c>
      <c r="F37" s="3" t="s">
        <v>158</v>
      </c>
      <c r="G37" s="3" t="s">
        <v>14</v>
      </c>
      <c r="H37" s="3" t="s">
        <v>6</v>
      </c>
      <c r="I37" s="3"/>
      <c r="J37" s="3" t="s">
        <v>159</v>
      </c>
      <c r="K37" s="3"/>
      <c r="L37" s="3"/>
      <c r="M37" s="3" t="s">
        <v>22</v>
      </c>
      <c r="N37" s="3"/>
      <c r="O37" s="3"/>
      <c r="P37" s="4">
        <v>46058</v>
      </c>
      <c r="Q37" s="5">
        <v>6877</v>
      </c>
      <c r="R37" s="3">
        <v>89</v>
      </c>
      <c r="S37" s="3"/>
      <c r="T37" s="3">
        <v>0</v>
      </c>
      <c r="U37" s="3" t="s">
        <v>8</v>
      </c>
      <c r="V37" s="5">
        <v>10597.25</v>
      </c>
      <c r="W37" s="3">
        <v>0</v>
      </c>
      <c r="X37" s="3">
        <v>0</v>
      </c>
      <c r="Y37" s="3">
        <v>0</v>
      </c>
      <c r="Z37" s="3">
        <v>0</v>
      </c>
      <c r="AA37" s="5">
        <v>10597.25</v>
      </c>
      <c r="AC37" t="str">
        <f>[1]nedredc!$A$16</f>
        <v>06/03/2026</v>
      </c>
      <c r="AD37" t="str">
        <f>[1]nedredc!$B$16</f>
        <v>COU001</v>
      </c>
      <c r="AE37" s="15">
        <f>[1]nedredc!$C$16</f>
        <v>3438.5</v>
      </c>
      <c r="AF37" s="26">
        <f>AE37</f>
        <v>3438.5</v>
      </c>
      <c r="AG37" s="18"/>
      <c r="AH37" s="3"/>
      <c r="AI37" s="3"/>
      <c r="AJ37" s="3"/>
      <c r="AK37" s="15">
        <f t="shared" si="0"/>
        <v>3438.5</v>
      </c>
      <c r="AL37" s="15">
        <f t="shared" si="2"/>
        <v>7158.75</v>
      </c>
      <c r="AM37">
        <v>7158.75</v>
      </c>
      <c r="AN37" s="15">
        <f t="shared" si="1"/>
        <v>0</v>
      </c>
    </row>
    <row r="38" spans="1:40" x14ac:dyDescent="0.25">
      <c r="A38" s="10" t="s">
        <v>160</v>
      </c>
      <c r="B38" s="10" t="s">
        <v>1017</v>
      </c>
      <c r="C38" s="3" t="s">
        <v>161</v>
      </c>
      <c r="D38" s="3" t="s">
        <v>161</v>
      </c>
      <c r="E38" s="3"/>
      <c r="F38" s="3" t="s">
        <v>162</v>
      </c>
      <c r="G38" s="3" t="s">
        <v>14</v>
      </c>
      <c r="H38" s="3" t="s">
        <v>6</v>
      </c>
      <c r="I38" s="3"/>
      <c r="J38" s="3" t="s">
        <v>163</v>
      </c>
      <c r="K38" s="3"/>
      <c r="L38" s="3"/>
      <c r="M38" s="3"/>
      <c r="N38" s="3"/>
      <c r="O38" s="3"/>
      <c r="P38" s="4">
        <v>46081</v>
      </c>
      <c r="Q38" s="5">
        <v>79.349999999999994</v>
      </c>
      <c r="R38" s="3">
        <v>28</v>
      </c>
      <c r="S38" s="3"/>
      <c r="T38" s="3">
        <v>0</v>
      </c>
      <c r="U38" s="3" t="s">
        <v>8</v>
      </c>
      <c r="V38" s="5">
        <v>1442.1</v>
      </c>
      <c r="W38" s="3">
        <v>0</v>
      </c>
      <c r="X38" s="3">
        <v>0</v>
      </c>
      <c r="Y38" s="3">
        <v>0</v>
      </c>
      <c r="Z38" s="3">
        <v>0</v>
      </c>
      <c r="AA38" s="5">
        <v>1442.1</v>
      </c>
      <c r="AF38" s="25"/>
      <c r="AG38" s="18"/>
      <c r="AH38" s="3"/>
      <c r="AI38" s="3"/>
      <c r="AJ38" s="3"/>
      <c r="AK38" s="15">
        <f t="shared" si="0"/>
        <v>0</v>
      </c>
      <c r="AL38" s="15">
        <f t="shared" si="2"/>
        <v>1442.1</v>
      </c>
      <c r="AM38" s="15">
        <f>AL38</f>
        <v>1442.1</v>
      </c>
      <c r="AN38" s="15">
        <f t="shared" si="1"/>
        <v>0</v>
      </c>
    </row>
    <row r="39" spans="1:40" x14ac:dyDescent="0.25">
      <c r="A39" s="10">
        <v>1128</v>
      </c>
      <c r="B39" s="10"/>
      <c r="C39" s="3" t="s">
        <v>164</v>
      </c>
      <c r="D39" s="3" t="s">
        <v>165</v>
      </c>
      <c r="E39" s="3" t="s">
        <v>166</v>
      </c>
      <c r="F39" s="3" t="s">
        <v>167</v>
      </c>
      <c r="G39" s="3" t="s">
        <v>14</v>
      </c>
      <c r="H39" s="3" t="s">
        <v>168</v>
      </c>
      <c r="I39" s="3" t="s">
        <v>33</v>
      </c>
      <c r="J39" s="3" t="s">
        <v>169</v>
      </c>
      <c r="K39" s="3" t="s">
        <v>170</v>
      </c>
      <c r="L39" s="3"/>
      <c r="M39" s="3"/>
      <c r="N39" s="3"/>
      <c r="O39" s="3"/>
      <c r="P39" s="4">
        <v>45933</v>
      </c>
      <c r="Q39" s="5">
        <v>57221.7</v>
      </c>
      <c r="R39" s="3">
        <v>259</v>
      </c>
      <c r="S39" s="3"/>
      <c r="T39" s="3">
        <v>0</v>
      </c>
      <c r="U39" s="3" t="s">
        <v>8</v>
      </c>
      <c r="V39" s="3">
        <v>0</v>
      </c>
      <c r="W39" s="3">
        <v>0</v>
      </c>
      <c r="X39" s="3">
        <v>0</v>
      </c>
      <c r="Y39" s="3">
        <v>0</v>
      </c>
      <c r="Z39" s="5">
        <v>87149.85</v>
      </c>
      <c r="AA39" s="5">
        <v>87149.85</v>
      </c>
      <c r="AF39" s="25"/>
      <c r="AG39" s="18"/>
      <c r="AH39" s="3"/>
      <c r="AI39" s="3"/>
      <c r="AJ39" s="5"/>
      <c r="AK39" s="15">
        <f t="shared" si="0"/>
        <v>0</v>
      </c>
      <c r="AL39" s="15">
        <f t="shared" si="2"/>
        <v>87149.85</v>
      </c>
      <c r="AM39" s="15">
        <f t="shared" ref="AM39:AM42" si="7">AL39</f>
        <v>87149.85</v>
      </c>
      <c r="AN39" s="15">
        <f t="shared" si="1"/>
        <v>0</v>
      </c>
    </row>
    <row r="40" spans="1:40" x14ac:dyDescent="0.25">
      <c r="A40" s="10" t="s">
        <v>171</v>
      </c>
      <c r="B40" s="10" t="s">
        <v>1018</v>
      </c>
      <c r="C40" s="3" t="s">
        <v>172</v>
      </c>
      <c r="D40" s="3" t="s">
        <v>173</v>
      </c>
      <c r="E40" s="3" t="s">
        <v>174</v>
      </c>
      <c r="F40" s="3" t="s">
        <v>175</v>
      </c>
      <c r="G40" s="3" t="s">
        <v>14</v>
      </c>
      <c r="H40" s="3" t="s">
        <v>6</v>
      </c>
      <c r="I40" s="3" t="s">
        <v>15</v>
      </c>
      <c r="J40" s="3" t="s">
        <v>176</v>
      </c>
      <c r="K40" s="3"/>
      <c r="L40" s="3"/>
      <c r="M40" s="3"/>
      <c r="N40" s="3">
        <v>2059</v>
      </c>
      <c r="O40" s="3"/>
      <c r="P40" s="4">
        <v>46081</v>
      </c>
      <c r="Q40" s="5">
        <v>2005.36</v>
      </c>
      <c r="R40" s="3">
        <v>90</v>
      </c>
      <c r="S40" s="3"/>
      <c r="T40" s="3">
        <v>0</v>
      </c>
      <c r="U40" s="3" t="s">
        <v>8</v>
      </c>
      <c r="V40" s="5">
        <v>2005.36</v>
      </c>
      <c r="W40" s="3">
        <v>0</v>
      </c>
      <c r="X40" s="3">
        <v>0</v>
      </c>
      <c r="Y40" s="3">
        <v>0</v>
      </c>
      <c r="Z40" s="3">
        <v>0</v>
      </c>
      <c r="AA40" s="5">
        <v>2005.36</v>
      </c>
      <c r="AF40" s="25"/>
      <c r="AG40" s="18"/>
      <c r="AH40" s="3"/>
      <c r="AI40" s="3"/>
      <c r="AJ40" s="3"/>
      <c r="AK40" s="15">
        <f t="shared" si="0"/>
        <v>0</v>
      </c>
      <c r="AL40" s="15">
        <f t="shared" si="2"/>
        <v>2005.36</v>
      </c>
      <c r="AM40" s="15">
        <f t="shared" si="7"/>
        <v>2005.36</v>
      </c>
      <c r="AN40" s="15">
        <f t="shared" si="1"/>
        <v>0</v>
      </c>
    </row>
    <row r="41" spans="1:40" x14ac:dyDescent="0.25">
      <c r="A41" s="10" t="s">
        <v>177</v>
      </c>
      <c r="B41" s="10" t="s">
        <v>1019</v>
      </c>
      <c r="C41" s="3" t="s">
        <v>178</v>
      </c>
      <c r="D41" s="3" t="s">
        <v>179</v>
      </c>
      <c r="E41" s="3" t="s">
        <v>180</v>
      </c>
      <c r="F41" s="3" t="s">
        <v>181</v>
      </c>
      <c r="G41" s="3" t="s">
        <v>14</v>
      </c>
      <c r="H41" s="3" t="s">
        <v>6</v>
      </c>
      <c r="I41" s="3" t="s">
        <v>15</v>
      </c>
      <c r="J41" s="3" t="s">
        <v>182</v>
      </c>
      <c r="K41" s="3"/>
      <c r="L41" s="3"/>
      <c r="M41" s="3"/>
      <c r="N41" s="3">
        <v>2051</v>
      </c>
      <c r="O41" s="3"/>
      <c r="P41" s="4">
        <v>46081</v>
      </c>
      <c r="Q41" s="5">
        <v>6204.14</v>
      </c>
      <c r="R41" s="3">
        <v>140</v>
      </c>
      <c r="S41" s="3"/>
      <c r="T41" s="3">
        <v>0</v>
      </c>
      <c r="U41" s="3" t="s">
        <v>8</v>
      </c>
      <c r="V41" s="5">
        <v>6204.14</v>
      </c>
      <c r="W41" s="3">
        <v>0</v>
      </c>
      <c r="X41" s="3">
        <v>0.01</v>
      </c>
      <c r="Y41" s="3">
        <v>0</v>
      </c>
      <c r="Z41" s="5">
        <v>-0.01</v>
      </c>
      <c r="AA41" s="5">
        <v>6204.14</v>
      </c>
      <c r="AF41" s="25"/>
      <c r="AG41" s="18"/>
      <c r="AH41" s="3"/>
      <c r="AI41" s="3"/>
      <c r="AJ41" s="5"/>
      <c r="AK41" s="15">
        <f t="shared" si="0"/>
        <v>0</v>
      </c>
      <c r="AL41" s="15">
        <f t="shared" si="2"/>
        <v>6204.14</v>
      </c>
      <c r="AM41" s="15">
        <f>AL41</f>
        <v>6204.14</v>
      </c>
      <c r="AN41" s="15">
        <f t="shared" si="1"/>
        <v>0</v>
      </c>
    </row>
    <row r="42" spans="1:40" x14ac:dyDescent="0.25">
      <c r="A42" s="10">
        <v>1148</v>
      </c>
      <c r="B42" s="10"/>
      <c r="C42" s="3" t="s">
        <v>183</v>
      </c>
      <c r="D42" s="3" t="s">
        <v>183</v>
      </c>
      <c r="E42" s="3"/>
      <c r="F42" s="3" t="s">
        <v>184</v>
      </c>
      <c r="G42" s="3" t="s">
        <v>14</v>
      </c>
      <c r="H42" s="3" t="s">
        <v>6</v>
      </c>
      <c r="I42" s="3"/>
      <c r="J42" s="3" t="s">
        <v>185</v>
      </c>
      <c r="K42" s="3"/>
      <c r="L42" s="3"/>
      <c r="M42" s="3" t="s">
        <v>22</v>
      </c>
      <c r="N42" s="3"/>
      <c r="O42" s="3"/>
      <c r="P42" s="4">
        <v>45971</v>
      </c>
      <c r="Q42" s="5">
        <v>1984.74</v>
      </c>
      <c r="R42" s="3">
        <v>43</v>
      </c>
      <c r="S42" s="3"/>
      <c r="T42" s="3">
        <v>0</v>
      </c>
      <c r="U42" s="3" t="s">
        <v>8</v>
      </c>
      <c r="V42" s="5">
        <v>661.18</v>
      </c>
      <c r="W42" s="5">
        <v>660.38</v>
      </c>
      <c r="X42" s="3">
        <v>0</v>
      </c>
      <c r="Y42" s="3">
        <v>0</v>
      </c>
      <c r="Z42" s="3">
        <v>0</v>
      </c>
      <c r="AA42" s="5">
        <v>1321.56</v>
      </c>
      <c r="AF42" s="25"/>
      <c r="AG42" s="19"/>
      <c r="AH42" s="3"/>
      <c r="AI42" s="3"/>
      <c r="AJ42" s="3"/>
      <c r="AK42" s="15">
        <f t="shared" si="0"/>
        <v>0</v>
      </c>
      <c r="AL42" s="15">
        <f t="shared" si="2"/>
        <v>1321.56</v>
      </c>
      <c r="AM42" s="15">
        <f t="shared" si="7"/>
        <v>1321.56</v>
      </c>
      <c r="AN42" s="15">
        <f t="shared" si="1"/>
        <v>0</v>
      </c>
    </row>
    <row r="43" spans="1:40" x14ac:dyDescent="0.25">
      <c r="A43" s="10" t="s">
        <v>186</v>
      </c>
      <c r="B43" s="10"/>
      <c r="C43" s="3" t="s">
        <v>187</v>
      </c>
      <c r="D43" s="3" t="s">
        <v>188</v>
      </c>
      <c r="E43" s="3" t="s">
        <v>189</v>
      </c>
      <c r="F43" s="3" t="s">
        <v>190</v>
      </c>
      <c r="G43" s="3" t="s">
        <v>14</v>
      </c>
      <c r="H43" s="3" t="s">
        <v>6</v>
      </c>
      <c r="I43" s="3"/>
      <c r="J43" s="3" t="s">
        <v>191</v>
      </c>
      <c r="K43" s="3"/>
      <c r="L43" s="3"/>
      <c r="M43" s="3" t="s">
        <v>22</v>
      </c>
      <c r="N43" s="3"/>
      <c r="O43" s="3"/>
      <c r="P43" s="4">
        <v>46055</v>
      </c>
      <c r="Q43" s="5">
        <v>30925.8</v>
      </c>
      <c r="R43" s="3">
        <v>28</v>
      </c>
      <c r="S43" s="3"/>
      <c r="T43" s="3">
        <v>0</v>
      </c>
      <c r="U43" s="3" t="s">
        <v>8</v>
      </c>
      <c r="V43" s="5">
        <v>1017.75</v>
      </c>
      <c r="W43" s="16">
        <v>1293.75</v>
      </c>
      <c r="X43" s="3">
        <v>0</v>
      </c>
      <c r="Y43" s="3">
        <v>0</v>
      </c>
      <c r="Z43" s="3">
        <v>0</v>
      </c>
      <c r="AA43" s="5">
        <v>2311.5</v>
      </c>
      <c r="AC43" t="str">
        <f>[1]nedredc!$A$10</f>
        <v>02/03/2026</v>
      </c>
      <c r="AD43" t="str">
        <f>[1]nedredc!$B$10</f>
        <v>DCC TECHNOLOGIES DCC</v>
      </c>
      <c r="AE43" s="17">
        <f>[1]nedredc!$C$10</f>
        <v>1293.75</v>
      </c>
      <c r="AF43" s="25"/>
      <c r="AG43" s="20">
        <f>AE43</f>
        <v>1293.75</v>
      </c>
      <c r="AH43" s="3"/>
      <c r="AI43" s="3"/>
      <c r="AJ43" s="3"/>
      <c r="AK43" s="15">
        <f t="shared" si="0"/>
        <v>1293.75</v>
      </c>
      <c r="AL43" s="15">
        <f t="shared" si="2"/>
        <v>1017.75</v>
      </c>
      <c r="AM43">
        <v>1017.75</v>
      </c>
      <c r="AN43" s="15">
        <f t="shared" si="1"/>
        <v>0</v>
      </c>
    </row>
    <row r="44" spans="1:40" x14ac:dyDescent="0.25">
      <c r="A44" s="10" t="s">
        <v>192</v>
      </c>
      <c r="B44" s="10" t="s">
        <v>1020</v>
      </c>
      <c r="C44" s="3" t="s">
        <v>193</v>
      </c>
      <c r="D44" s="3" t="s">
        <v>194</v>
      </c>
      <c r="E44" s="3"/>
      <c r="F44" s="3" t="s">
        <v>195</v>
      </c>
      <c r="G44" s="3" t="s">
        <v>14</v>
      </c>
      <c r="H44" s="3" t="s">
        <v>6</v>
      </c>
      <c r="I44" s="3"/>
      <c r="J44" s="3" t="s">
        <v>196</v>
      </c>
      <c r="K44" s="3"/>
      <c r="L44" s="3"/>
      <c r="M44" s="3" t="s">
        <v>22</v>
      </c>
      <c r="N44" s="3"/>
      <c r="O44" s="3"/>
      <c r="P44" s="4">
        <v>46081</v>
      </c>
      <c r="Q44" s="5">
        <v>6944.85</v>
      </c>
      <c r="R44" s="3">
        <v>293</v>
      </c>
      <c r="S44" s="3"/>
      <c r="T44" s="3">
        <v>0</v>
      </c>
      <c r="U44" s="3" t="s">
        <v>8</v>
      </c>
      <c r="V44" s="5">
        <v>6944.85</v>
      </c>
      <c r="W44" s="3">
        <v>0</v>
      </c>
      <c r="X44" s="3">
        <v>0</v>
      </c>
      <c r="Y44" s="3">
        <v>0</v>
      </c>
      <c r="Z44" s="3">
        <v>0</v>
      </c>
      <c r="AA44" s="5">
        <v>6944.85</v>
      </c>
      <c r="AF44" s="25"/>
      <c r="AG44" s="18"/>
      <c r="AH44" s="3"/>
      <c r="AI44" s="3"/>
      <c r="AJ44" s="3"/>
      <c r="AK44" s="15">
        <f t="shared" si="0"/>
        <v>0</v>
      </c>
      <c r="AL44" s="15">
        <f t="shared" si="2"/>
        <v>6944.85</v>
      </c>
      <c r="AM44" s="15">
        <f>AL44</f>
        <v>6944.85</v>
      </c>
      <c r="AN44" s="15">
        <f t="shared" si="1"/>
        <v>0</v>
      </c>
    </row>
    <row r="45" spans="1:40" x14ac:dyDescent="0.25">
      <c r="A45" s="10" t="s">
        <v>197</v>
      </c>
      <c r="B45" s="10" t="s">
        <v>1021</v>
      </c>
      <c r="C45" s="3" t="s">
        <v>198</v>
      </c>
      <c r="D45" s="3" t="s">
        <v>199</v>
      </c>
      <c r="E45" s="6" t="s">
        <v>200</v>
      </c>
      <c r="F45" s="3" t="s">
        <v>201</v>
      </c>
      <c r="G45" s="3" t="s">
        <v>14</v>
      </c>
      <c r="H45" s="3" t="s">
        <v>6</v>
      </c>
      <c r="I45" s="3" t="s">
        <v>33</v>
      </c>
      <c r="J45" s="3" t="s">
        <v>202</v>
      </c>
      <c r="K45" s="3"/>
      <c r="L45" s="3"/>
      <c r="M45" s="3" t="s">
        <v>22</v>
      </c>
      <c r="N45" s="3"/>
      <c r="O45" s="3"/>
      <c r="P45" s="4">
        <v>46081</v>
      </c>
      <c r="Q45" s="5">
        <v>635.95000000000005</v>
      </c>
      <c r="R45" s="3">
        <v>48</v>
      </c>
      <c r="S45" s="3"/>
      <c r="T45" s="3">
        <v>0</v>
      </c>
      <c r="U45" s="3" t="s">
        <v>8</v>
      </c>
      <c r="V45" s="5">
        <v>635.95000000000005</v>
      </c>
      <c r="W45" s="3">
        <v>0</v>
      </c>
      <c r="X45" s="3">
        <v>0</v>
      </c>
      <c r="Y45" s="3">
        <v>0</v>
      </c>
      <c r="Z45" s="3">
        <v>0</v>
      </c>
      <c r="AA45" s="5">
        <v>635.95000000000005</v>
      </c>
      <c r="AF45" s="25"/>
      <c r="AG45" s="18"/>
      <c r="AH45" s="3"/>
      <c r="AI45" s="3"/>
      <c r="AJ45" s="3"/>
      <c r="AK45" s="15">
        <f t="shared" si="0"/>
        <v>0</v>
      </c>
      <c r="AL45" s="15">
        <f t="shared" si="2"/>
        <v>635.95000000000005</v>
      </c>
      <c r="AM45" s="15">
        <f t="shared" ref="AM45" si="8">AL45</f>
        <v>635.95000000000005</v>
      </c>
      <c r="AN45" s="15">
        <f t="shared" si="1"/>
        <v>0</v>
      </c>
    </row>
    <row r="46" spans="1:40" x14ac:dyDescent="0.25">
      <c r="A46" s="10" t="s">
        <v>203</v>
      </c>
      <c r="B46" s="10" t="s">
        <v>1022</v>
      </c>
      <c r="C46" s="3" t="s">
        <v>204</v>
      </c>
      <c r="D46" s="3" t="s">
        <v>30</v>
      </c>
      <c r="E46" s="3" t="s">
        <v>205</v>
      </c>
      <c r="F46" s="3" t="s">
        <v>206</v>
      </c>
      <c r="G46" s="3" t="s">
        <v>14</v>
      </c>
      <c r="H46" s="3" t="s">
        <v>6</v>
      </c>
      <c r="I46" s="3" t="s">
        <v>33</v>
      </c>
      <c r="J46" s="3" t="s">
        <v>207</v>
      </c>
      <c r="K46" s="3"/>
      <c r="L46" s="3"/>
      <c r="M46" s="3" t="s">
        <v>22</v>
      </c>
      <c r="N46" s="3"/>
      <c r="O46" s="3"/>
      <c r="P46" s="4">
        <v>46080</v>
      </c>
      <c r="Q46" s="5">
        <v>207361.1</v>
      </c>
      <c r="R46" s="3">
        <v>1653</v>
      </c>
      <c r="S46" s="3"/>
      <c r="T46" s="3">
        <v>0</v>
      </c>
      <c r="U46" s="3" t="s">
        <v>8</v>
      </c>
      <c r="V46" s="5">
        <v>213871.25</v>
      </c>
      <c r="W46" s="5">
        <v>155649.04999999999</v>
      </c>
      <c r="X46" s="3">
        <v>0</v>
      </c>
      <c r="Y46" s="3">
        <v>0</v>
      </c>
      <c r="Z46" s="3">
        <v>0</v>
      </c>
      <c r="AA46" s="5">
        <v>369520.3</v>
      </c>
      <c r="AF46" s="25"/>
      <c r="AG46" s="19"/>
      <c r="AH46" s="3"/>
      <c r="AI46" s="3"/>
      <c r="AJ46" s="3"/>
      <c r="AK46" s="15">
        <f t="shared" si="0"/>
        <v>0</v>
      </c>
      <c r="AL46" s="15">
        <f t="shared" si="2"/>
        <v>369520.3</v>
      </c>
      <c r="AM46" s="15">
        <v>436356</v>
      </c>
      <c r="AN46" s="15">
        <f t="shared" si="1"/>
        <v>-66835.700000000012</v>
      </c>
    </row>
    <row r="47" spans="1:40" x14ac:dyDescent="0.25">
      <c r="A47" s="10" t="s">
        <v>208</v>
      </c>
      <c r="B47" s="10" t="s">
        <v>1023</v>
      </c>
      <c r="C47" s="3" t="s">
        <v>209</v>
      </c>
      <c r="D47" s="3" t="s">
        <v>210</v>
      </c>
      <c r="E47" s="3" t="s">
        <v>211</v>
      </c>
      <c r="F47" s="3" t="s">
        <v>212</v>
      </c>
      <c r="G47" s="3" t="s">
        <v>14</v>
      </c>
      <c r="H47" s="3" t="s">
        <v>6</v>
      </c>
      <c r="I47" s="3" t="s">
        <v>33</v>
      </c>
      <c r="J47" s="3" t="s">
        <v>213</v>
      </c>
      <c r="K47" s="3"/>
      <c r="L47" s="3"/>
      <c r="M47" s="3"/>
      <c r="N47" s="3">
        <v>7551</v>
      </c>
      <c r="O47" s="3"/>
      <c r="P47" s="4">
        <v>46062</v>
      </c>
      <c r="Q47" s="5">
        <v>99830.79</v>
      </c>
      <c r="R47" s="3">
        <v>176</v>
      </c>
      <c r="S47" s="3"/>
      <c r="T47" s="3">
        <v>0</v>
      </c>
      <c r="U47" s="3" t="s">
        <v>8</v>
      </c>
      <c r="V47" s="5">
        <v>151835.09</v>
      </c>
      <c r="W47" s="5">
        <v>134623.64000000001</v>
      </c>
      <c r="X47" s="3">
        <v>0</v>
      </c>
      <c r="Y47" s="5">
        <v>4.5</v>
      </c>
      <c r="Z47" s="5">
        <v>1214.4000000000001</v>
      </c>
      <c r="AA47" s="5">
        <v>287677.63</v>
      </c>
      <c r="AC47" t="str">
        <f>[1]nedredc!$A$44</f>
        <v>10/03/2026</v>
      </c>
      <c r="AD47" t="str">
        <f>[1]nedredc!$B$44</f>
        <v>ABSA BANK EdgeTelematics</v>
      </c>
      <c r="AE47" s="15">
        <f>[1]nedredc!$C$44</f>
        <v>134623.64000000001</v>
      </c>
      <c r="AF47" s="25"/>
      <c r="AG47" s="19">
        <f>AE47</f>
        <v>134623.64000000001</v>
      </c>
      <c r="AH47" s="3"/>
      <c r="AI47" s="5"/>
      <c r="AJ47" s="5"/>
      <c r="AK47" s="15">
        <f t="shared" si="0"/>
        <v>134623.64000000001</v>
      </c>
      <c r="AL47" s="15">
        <f t="shared" si="2"/>
        <v>153053.99</v>
      </c>
      <c r="AM47">
        <v>153053.99</v>
      </c>
      <c r="AN47" s="15">
        <f t="shared" si="1"/>
        <v>0</v>
      </c>
    </row>
    <row r="48" spans="1:40" x14ac:dyDescent="0.25">
      <c r="A48" s="10" t="s">
        <v>214</v>
      </c>
      <c r="B48" s="10" t="s">
        <v>1024</v>
      </c>
      <c r="C48" s="3" t="s">
        <v>215</v>
      </c>
      <c r="D48" s="3" t="s">
        <v>215</v>
      </c>
      <c r="E48" s="3"/>
      <c r="F48" s="3" t="s">
        <v>216</v>
      </c>
      <c r="G48" s="3" t="s">
        <v>14</v>
      </c>
      <c r="H48" s="3" t="s">
        <v>6</v>
      </c>
      <c r="I48" s="3" t="s">
        <v>15</v>
      </c>
      <c r="J48" s="3" t="s">
        <v>217</v>
      </c>
      <c r="K48" s="3"/>
      <c r="L48" s="3"/>
      <c r="M48" s="3" t="s">
        <v>22</v>
      </c>
      <c r="N48" s="3"/>
      <c r="O48" s="3"/>
      <c r="P48" s="4">
        <v>46081</v>
      </c>
      <c r="Q48" s="5">
        <v>1069.79</v>
      </c>
      <c r="R48" s="3">
        <v>52</v>
      </c>
      <c r="S48" s="3"/>
      <c r="T48" s="3">
        <v>0</v>
      </c>
      <c r="U48" s="3" t="s">
        <v>8</v>
      </c>
      <c r="V48" s="5">
        <v>1069.79</v>
      </c>
      <c r="W48" s="3">
        <v>0</v>
      </c>
      <c r="X48" s="3">
        <v>0</v>
      </c>
      <c r="Y48" s="3">
        <v>0</v>
      </c>
      <c r="Z48" s="3">
        <v>0</v>
      </c>
      <c r="AA48" s="5">
        <v>1069.79</v>
      </c>
      <c r="AF48" s="25"/>
      <c r="AG48" s="18"/>
      <c r="AH48" s="3"/>
      <c r="AI48" s="3"/>
      <c r="AJ48" s="3"/>
      <c r="AK48" s="15">
        <f t="shared" si="0"/>
        <v>0</v>
      </c>
      <c r="AL48" s="15">
        <f t="shared" si="2"/>
        <v>1069.79</v>
      </c>
      <c r="AM48" s="15">
        <f>AL48</f>
        <v>1069.79</v>
      </c>
      <c r="AN48" s="15">
        <f t="shared" si="1"/>
        <v>0</v>
      </c>
    </row>
    <row r="49" spans="1:41" x14ac:dyDescent="0.25">
      <c r="A49" s="10" t="s">
        <v>218</v>
      </c>
      <c r="B49" s="10" t="s">
        <v>1025</v>
      </c>
      <c r="C49" s="3" t="s">
        <v>219</v>
      </c>
      <c r="D49" s="3" t="s">
        <v>220</v>
      </c>
      <c r="E49" s="3"/>
      <c r="F49" s="3" t="s">
        <v>221</v>
      </c>
      <c r="G49" s="3" t="s">
        <v>14</v>
      </c>
      <c r="H49" s="3" t="s">
        <v>6</v>
      </c>
      <c r="I49" s="3" t="s">
        <v>33</v>
      </c>
      <c r="J49" s="3" t="s">
        <v>222</v>
      </c>
      <c r="K49" s="3"/>
      <c r="L49" s="3"/>
      <c r="M49" s="3" t="s">
        <v>22</v>
      </c>
      <c r="N49" s="3" t="s">
        <v>223</v>
      </c>
      <c r="O49" s="3"/>
      <c r="P49" s="4">
        <v>46073</v>
      </c>
      <c r="Q49" s="5">
        <v>47606.7</v>
      </c>
      <c r="R49" s="3">
        <v>275</v>
      </c>
      <c r="S49" s="3"/>
      <c r="T49" s="3">
        <v>0</v>
      </c>
      <c r="U49" s="3" t="s">
        <v>8</v>
      </c>
      <c r="V49" s="5">
        <v>65518.91</v>
      </c>
      <c r="W49" s="3">
        <v>0.09</v>
      </c>
      <c r="X49" s="3">
        <v>0</v>
      </c>
      <c r="Y49" s="3">
        <v>0</v>
      </c>
      <c r="Z49" s="3">
        <v>0</v>
      </c>
      <c r="AA49" s="5">
        <v>65519</v>
      </c>
      <c r="AC49" t="str">
        <f>[1]nedredc!$A$40</f>
        <v>20/03/2026</v>
      </c>
      <c r="AD49" t="str">
        <f>[1]nedredc!$B$40</f>
        <v>ENERGYEASE</v>
      </c>
      <c r="AE49" s="15">
        <f>[1]nedredc!$C$40</f>
        <v>65519</v>
      </c>
      <c r="AF49" s="26">
        <f>AE49</f>
        <v>65519</v>
      </c>
      <c r="AG49" s="18"/>
      <c r="AH49" s="3"/>
      <c r="AI49" s="3"/>
      <c r="AJ49" s="3"/>
      <c r="AK49" s="15">
        <f t="shared" si="0"/>
        <v>65519</v>
      </c>
      <c r="AL49" s="15">
        <f t="shared" si="2"/>
        <v>0</v>
      </c>
      <c r="AM49">
        <v>0</v>
      </c>
      <c r="AN49" s="15">
        <f t="shared" si="1"/>
        <v>0</v>
      </c>
    </row>
    <row r="50" spans="1:41" x14ac:dyDescent="0.25">
      <c r="A50" s="10">
        <v>2272</v>
      </c>
      <c r="B50" s="10" t="s">
        <v>1027</v>
      </c>
      <c r="C50" s="3" t="s">
        <v>224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>
        <v>0</v>
      </c>
      <c r="R50" s="3">
        <v>31</v>
      </c>
      <c r="S50" s="3"/>
      <c r="T50" s="3">
        <v>0</v>
      </c>
      <c r="U50" s="3" t="s">
        <v>8</v>
      </c>
      <c r="V50" s="5">
        <v>8484.7000000000007</v>
      </c>
      <c r="W50" s="3">
        <v>0</v>
      </c>
      <c r="X50" s="3">
        <v>0</v>
      </c>
      <c r="Y50" s="3">
        <v>0</v>
      </c>
      <c r="Z50" s="3">
        <v>0</v>
      </c>
      <c r="AA50" s="5">
        <v>8484.7000000000007</v>
      </c>
      <c r="AF50" s="25"/>
      <c r="AG50" s="18"/>
      <c r="AH50" s="3"/>
      <c r="AI50" s="3"/>
      <c r="AJ50" s="3"/>
      <c r="AK50" s="15">
        <f t="shared" si="0"/>
        <v>0</v>
      </c>
      <c r="AL50" s="15">
        <f t="shared" si="2"/>
        <v>8484.7000000000007</v>
      </c>
      <c r="AM50" s="15">
        <v>0</v>
      </c>
      <c r="AN50" s="15">
        <f t="shared" si="1"/>
        <v>8484.7000000000007</v>
      </c>
    </row>
    <row r="51" spans="1:41" x14ac:dyDescent="0.25">
      <c r="A51" s="10" t="s">
        <v>225</v>
      </c>
      <c r="B51" s="10" t="s">
        <v>1026</v>
      </c>
      <c r="C51" s="3" t="s">
        <v>226</v>
      </c>
      <c r="D51" s="3" t="s">
        <v>227</v>
      </c>
      <c r="E51" s="3" t="s">
        <v>228</v>
      </c>
      <c r="F51" s="3" t="s">
        <v>229</v>
      </c>
      <c r="G51" s="3" t="s">
        <v>14</v>
      </c>
      <c r="H51" s="3" t="s">
        <v>6</v>
      </c>
      <c r="I51" s="3" t="s">
        <v>15</v>
      </c>
      <c r="J51" s="3" t="s">
        <v>230</v>
      </c>
      <c r="K51" s="3"/>
      <c r="L51" s="3"/>
      <c r="M51" s="3"/>
      <c r="N51" s="3">
        <v>1685</v>
      </c>
      <c r="O51" s="3"/>
      <c r="P51" s="4">
        <v>46081</v>
      </c>
      <c r="Q51" s="5">
        <v>1303.28</v>
      </c>
      <c r="R51" s="3">
        <v>206</v>
      </c>
      <c r="S51" s="3"/>
      <c r="T51" s="3">
        <v>0</v>
      </c>
      <c r="U51" s="3" t="s">
        <v>8</v>
      </c>
      <c r="V51" s="5">
        <v>1303.28</v>
      </c>
      <c r="W51" s="3">
        <v>0</v>
      </c>
      <c r="X51" s="3">
        <v>0</v>
      </c>
      <c r="Y51" s="3">
        <v>0</v>
      </c>
      <c r="Z51" s="3">
        <v>0</v>
      </c>
      <c r="AA51" s="5">
        <v>1303.28</v>
      </c>
      <c r="AF51" s="25"/>
      <c r="AG51" s="18"/>
      <c r="AH51" s="3"/>
      <c r="AI51" s="3"/>
      <c r="AJ51" s="3"/>
      <c r="AK51" s="15">
        <f t="shared" si="0"/>
        <v>0</v>
      </c>
      <c r="AL51" s="15">
        <f t="shared" si="2"/>
        <v>1303.28</v>
      </c>
      <c r="AM51" s="15">
        <f>AL51</f>
        <v>1303.28</v>
      </c>
      <c r="AN51" s="15">
        <f t="shared" si="1"/>
        <v>0</v>
      </c>
    </row>
    <row r="52" spans="1:41" x14ac:dyDescent="0.25">
      <c r="A52" s="10" t="s">
        <v>231</v>
      </c>
      <c r="B52" s="10"/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6</v>
      </c>
      <c r="I52" s="3"/>
      <c r="J52" s="3" t="s">
        <v>237</v>
      </c>
      <c r="K52" s="3"/>
      <c r="L52" s="3"/>
      <c r="M52" s="3"/>
      <c r="N52" s="3"/>
      <c r="O52" s="3"/>
      <c r="P52" s="3"/>
      <c r="Q52" s="3">
        <v>0</v>
      </c>
      <c r="R52" s="3">
        <v>2901</v>
      </c>
      <c r="S52" s="3"/>
      <c r="T52" s="3">
        <v>0</v>
      </c>
      <c r="U52" s="3" t="s">
        <v>8</v>
      </c>
      <c r="V52" s="3">
        <v>0</v>
      </c>
      <c r="W52" s="3">
        <v>0</v>
      </c>
      <c r="X52" s="3">
        <v>0</v>
      </c>
      <c r="Y52" s="3">
        <v>0</v>
      </c>
      <c r="Z52" s="5">
        <v>78856.67</v>
      </c>
      <c r="AA52" s="5">
        <v>78856.67</v>
      </c>
      <c r="AF52" s="25"/>
      <c r="AG52" s="18"/>
      <c r="AH52" s="3"/>
      <c r="AI52" s="3"/>
      <c r="AJ52" s="5"/>
      <c r="AK52" s="15">
        <f t="shared" si="0"/>
        <v>0</v>
      </c>
      <c r="AL52" s="15">
        <f t="shared" si="2"/>
        <v>78856.67</v>
      </c>
      <c r="AM52" s="15">
        <v>0</v>
      </c>
      <c r="AN52" s="15">
        <f t="shared" si="1"/>
        <v>78856.67</v>
      </c>
    </row>
    <row r="53" spans="1:41" x14ac:dyDescent="0.25">
      <c r="A53" s="10" t="s">
        <v>238</v>
      </c>
      <c r="B53" s="10" t="s">
        <v>1028</v>
      </c>
      <c r="C53" s="3" t="s">
        <v>239</v>
      </c>
      <c r="D53" s="3" t="s">
        <v>240</v>
      </c>
      <c r="E53" s="3" t="s">
        <v>241</v>
      </c>
      <c r="F53" s="3" t="s">
        <v>242</v>
      </c>
      <c r="G53" s="3" t="s">
        <v>14</v>
      </c>
      <c r="H53" s="3" t="s">
        <v>6</v>
      </c>
      <c r="I53" s="3" t="s">
        <v>15</v>
      </c>
      <c r="J53" s="3" t="s">
        <v>243</v>
      </c>
      <c r="K53" s="3"/>
      <c r="L53" s="3"/>
      <c r="M53" s="3"/>
      <c r="N53" s="3">
        <v>1600</v>
      </c>
      <c r="O53" s="3"/>
      <c r="P53" s="4">
        <v>46081</v>
      </c>
      <c r="Q53" s="5">
        <v>1300.3699999999999</v>
      </c>
      <c r="R53" s="3">
        <v>62</v>
      </c>
      <c r="S53" s="3"/>
      <c r="T53" s="3">
        <v>0</v>
      </c>
      <c r="U53" s="3" t="s">
        <v>8</v>
      </c>
      <c r="V53" s="5">
        <v>1300.3699999999999</v>
      </c>
      <c r="W53" s="3">
        <v>0</v>
      </c>
      <c r="X53" s="3">
        <v>0</v>
      </c>
      <c r="Y53" s="3">
        <v>0</v>
      </c>
      <c r="Z53" s="3">
        <v>0</v>
      </c>
      <c r="AA53" s="5">
        <v>1300.3699999999999</v>
      </c>
      <c r="AF53" s="25"/>
      <c r="AG53" s="18"/>
      <c r="AH53" s="3"/>
      <c r="AI53" s="3"/>
      <c r="AJ53" s="3"/>
      <c r="AK53" s="15">
        <f t="shared" si="0"/>
        <v>0</v>
      </c>
      <c r="AL53" s="15">
        <f t="shared" si="2"/>
        <v>1300.3699999999999</v>
      </c>
      <c r="AM53" s="15">
        <f>AL53</f>
        <v>1300.3699999999999</v>
      </c>
      <c r="AN53" s="15">
        <f t="shared" si="1"/>
        <v>0</v>
      </c>
    </row>
    <row r="54" spans="1:41" x14ac:dyDescent="0.25">
      <c r="A54" s="10" t="s">
        <v>244</v>
      </c>
      <c r="B54" s="10"/>
      <c r="C54" s="3" t="s">
        <v>245</v>
      </c>
      <c r="D54" s="3" t="s">
        <v>246</v>
      </c>
      <c r="E54" s="3" t="s">
        <v>247</v>
      </c>
      <c r="F54" s="3" t="s">
        <v>248</v>
      </c>
      <c r="G54" s="3" t="s">
        <v>249</v>
      </c>
      <c r="H54" s="3" t="s">
        <v>6</v>
      </c>
      <c r="I54" s="3" t="s">
        <v>15</v>
      </c>
      <c r="J54" s="3" t="s">
        <v>250</v>
      </c>
      <c r="K54" s="3"/>
      <c r="L54" s="3"/>
      <c r="M54" s="3"/>
      <c r="N54" s="3">
        <v>2310</v>
      </c>
      <c r="O54" s="3"/>
      <c r="P54" s="4">
        <v>43645</v>
      </c>
      <c r="Q54" s="5">
        <v>8618.0400000000009</v>
      </c>
      <c r="R54" s="3">
        <v>282</v>
      </c>
      <c r="S54" s="3"/>
      <c r="T54" s="3">
        <v>0</v>
      </c>
      <c r="U54" s="3" t="s">
        <v>8</v>
      </c>
      <c r="V54" s="3">
        <v>0</v>
      </c>
      <c r="W54" s="3">
        <v>0</v>
      </c>
      <c r="X54" s="3">
        <v>0</v>
      </c>
      <c r="Y54" s="3">
        <v>0</v>
      </c>
      <c r="Z54" s="3">
        <v>0.01</v>
      </c>
      <c r="AA54" s="3">
        <v>0.01</v>
      </c>
      <c r="AF54" s="25"/>
      <c r="AG54" s="18"/>
      <c r="AH54" s="3"/>
      <c r="AI54" s="3"/>
      <c r="AJ54" s="3"/>
      <c r="AK54" s="15">
        <f t="shared" si="0"/>
        <v>0</v>
      </c>
      <c r="AL54" s="15">
        <f t="shared" si="2"/>
        <v>0.01</v>
      </c>
      <c r="AM54" s="15">
        <f>AL54</f>
        <v>0.01</v>
      </c>
      <c r="AN54" s="15">
        <f t="shared" si="1"/>
        <v>0</v>
      </c>
    </row>
    <row r="55" spans="1:41" x14ac:dyDescent="0.25">
      <c r="A55" s="10" t="s">
        <v>251</v>
      </c>
      <c r="B55" s="10" t="s">
        <v>1137</v>
      </c>
      <c r="C55" s="3" t="s">
        <v>252</v>
      </c>
      <c r="D55" s="3" t="s">
        <v>253</v>
      </c>
      <c r="E55" s="3" t="s">
        <v>254</v>
      </c>
      <c r="F55" s="3" t="s">
        <v>201</v>
      </c>
      <c r="G55" s="3" t="s">
        <v>14</v>
      </c>
      <c r="H55" s="3" t="s">
        <v>6</v>
      </c>
      <c r="I55" s="3" t="s">
        <v>33</v>
      </c>
      <c r="J55" s="3" t="s">
        <v>255</v>
      </c>
      <c r="K55" s="3"/>
      <c r="L55" s="3"/>
      <c r="M55" s="3"/>
      <c r="N55" s="3">
        <v>2037</v>
      </c>
      <c r="O55" s="3"/>
      <c r="P55" s="4">
        <v>46080</v>
      </c>
      <c r="Q55" s="5">
        <v>2255.15</v>
      </c>
      <c r="R55" s="3">
        <v>226</v>
      </c>
      <c r="S55" s="3"/>
      <c r="T55" s="3">
        <v>0</v>
      </c>
      <c r="U55" s="3" t="s">
        <v>8</v>
      </c>
      <c r="V55" s="5">
        <v>1785.95</v>
      </c>
      <c r="W55" s="3">
        <v>0</v>
      </c>
      <c r="X55" s="3">
        <v>0</v>
      </c>
      <c r="Y55" s="3">
        <v>0</v>
      </c>
      <c r="Z55" s="3">
        <v>0</v>
      </c>
      <c r="AA55" s="5">
        <v>1785.95</v>
      </c>
      <c r="AF55" s="25"/>
      <c r="AG55" s="18"/>
      <c r="AH55" s="3"/>
      <c r="AI55" s="3"/>
      <c r="AJ55" s="3"/>
      <c r="AK55" s="15">
        <f t="shared" si="0"/>
        <v>0</v>
      </c>
      <c r="AL55" s="15">
        <f t="shared" si="2"/>
        <v>1785.95</v>
      </c>
      <c r="AM55" s="15">
        <f>AL55</f>
        <v>1785.95</v>
      </c>
      <c r="AN55" s="15">
        <f t="shared" si="1"/>
        <v>0</v>
      </c>
    </row>
    <row r="56" spans="1:41" x14ac:dyDescent="0.25">
      <c r="A56" s="10" t="s">
        <v>256</v>
      </c>
      <c r="B56" s="10" t="s">
        <v>1029</v>
      </c>
      <c r="C56" s="3" t="s">
        <v>257</v>
      </c>
      <c r="D56" s="3" t="s">
        <v>258</v>
      </c>
      <c r="E56" s="3" t="s">
        <v>259</v>
      </c>
      <c r="F56" s="3" t="s">
        <v>260</v>
      </c>
      <c r="G56" s="3" t="s">
        <v>14</v>
      </c>
      <c r="H56" s="3" t="s">
        <v>6</v>
      </c>
      <c r="I56" s="3"/>
      <c r="J56" s="3" t="s">
        <v>261</v>
      </c>
      <c r="K56" s="3"/>
      <c r="L56" s="3"/>
      <c r="M56" s="3"/>
      <c r="N56" s="3">
        <v>1630</v>
      </c>
      <c r="O56" s="3"/>
      <c r="P56" s="4">
        <v>46064</v>
      </c>
      <c r="Q56" s="5">
        <v>1320.2</v>
      </c>
      <c r="R56" s="3">
        <v>818</v>
      </c>
      <c r="S56" s="3"/>
      <c r="T56" s="3">
        <v>0</v>
      </c>
      <c r="U56" s="3" t="s">
        <v>8</v>
      </c>
      <c r="V56" s="5">
        <v>182005.46</v>
      </c>
      <c r="W56" s="5">
        <v>168267.56</v>
      </c>
      <c r="X56" s="3">
        <v>0</v>
      </c>
      <c r="Y56" s="3">
        <v>0</v>
      </c>
      <c r="Z56" s="3">
        <v>0</v>
      </c>
      <c r="AA56" s="5">
        <v>350273.02</v>
      </c>
      <c r="AC56" t="str">
        <f>[1]nedredc!$A$45</f>
        <v>06/03/2026</v>
      </c>
      <c r="AD56" t="str">
        <f>[1]nedredc!$B$45</f>
        <v>ABSA BANK FSI001</v>
      </c>
      <c r="AE56" s="15">
        <f>[1]nedredc!$C$45</f>
        <v>168267.56</v>
      </c>
      <c r="AG56" s="26">
        <f>AE56</f>
        <v>168267.56</v>
      </c>
      <c r="AH56" s="3"/>
      <c r="AI56" s="3"/>
      <c r="AJ56" s="3"/>
      <c r="AK56" s="15">
        <f t="shared" ref="AK56:AK57" si="9">AG56+AH56+AI56+AJ56+AF56</f>
        <v>168267.56</v>
      </c>
      <c r="AL56" s="15">
        <f t="shared" ref="AL56:AL57" si="10">AA56-AK56</f>
        <v>182005.46000000002</v>
      </c>
      <c r="AM56">
        <v>82005.460000000006</v>
      </c>
      <c r="AN56" s="15">
        <f t="shared" ref="AN56:AN57" si="11">AL56-AM56</f>
        <v>100000.00000000001</v>
      </c>
    </row>
    <row r="57" spans="1:41" x14ac:dyDescent="0.25">
      <c r="A57" s="10" t="s">
        <v>262</v>
      </c>
      <c r="B57" s="10" t="s">
        <v>1030</v>
      </c>
      <c r="C57" s="3" t="s">
        <v>263</v>
      </c>
      <c r="D57" s="3" t="s">
        <v>264</v>
      </c>
      <c r="E57" s="3" t="s">
        <v>265</v>
      </c>
      <c r="F57" s="3" t="s">
        <v>266</v>
      </c>
      <c r="G57" s="3" t="s">
        <v>14</v>
      </c>
      <c r="H57" s="3" t="s">
        <v>6</v>
      </c>
      <c r="I57" s="3" t="s">
        <v>15</v>
      </c>
      <c r="J57" s="3" t="s">
        <v>267</v>
      </c>
      <c r="K57" s="3"/>
      <c r="L57" s="3"/>
      <c r="M57" s="3" t="s">
        <v>22</v>
      </c>
      <c r="N57" s="3"/>
      <c r="O57" s="3"/>
      <c r="P57" s="4">
        <v>46081</v>
      </c>
      <c r="Q57" s="5">
        <v>10832.23</v>
      </c>
      <c r="R57" s="3">
        <v>202</v>
      </c>
      <c r="S57" s="3"/>
      <c r="T57" s="3">
        <v>0</v>
      </c>
      <c r="U57" s="3" t="s">
        <v>8</v>
      </c>
      <c r="V57" s="5">
        <v>10832.23</v>
      </c>
      <c r="W57" s="3">
        <v>0</v>
      </c>
      <c r="X57" s="3">
        <v>0</v>
      </c>
      <c r="Y57" s="3">
        <v>0</v>
      </c>
      <c r="Z57" s="3">
        <v>0</v>
      </c>
      <c r="AA57" s="5">
        <v>10832.23</v>
      </c>
      <c r="AF57" s="25"/>
      <c r="AG57" s="18"/>
      <c r="AH57" s="3"/>
      <c r="AI57" s="3"/>
      <c r="AJ57" s="3"/>
      <c r="AK57" s="15">
        <f t="shared" si="9"/>
        <v>0</v>
      </c>
      <c r="AL57" s="15">
        <f t="shared" si="10"/>
        <v>10832.23</v>
      </c>
      <c r="AM57" s="15">
        <f>AL57</f>
        <v>10832.23</v>
      </c>
      <c r="AN57" s="15">
        <f t="shared" si="11"/>
        <v>0</v>
      </c>
    </row>
    <row r="58" spans="1:41" x14ac:dyDescent="0.25">
      <c r="A58" s="10" t="s">
        <v>268</v>
      </c>
      <c r="B58" s="10"/>
      <c r="C58" s="3" t="s">
        <v>269</v>
      </c>
      <c r="D58" s="3" t="s">
        <v>270</v>
      </c>
      <c r="E58" s="3" t="s">
        <v>271</v>
      </c>
      <c r="F58" s="3" t="s">
        <v>272</v>
      </c>
      <c r="G58" s="3" t="s">
        <v>14</v>
      </c>
      <c r="H58" s="3" t="s">
        <v>6</v>
      </c>
      <c r="I58" s="3"/>
      <c r="J58" s="3" t="s">
        <v>273</v>
      </c>
      <c r="K58" s="3"/>
      <c r="L58" s="3" t="s">
        <v>69</v>
      </c>
      <c r="M58" s="3" t="s">
        <v>22</v>
      </c>
      <c r="N58" s="3"/>
      <c r="O58" s="3"/>
      <c r="P58" s="4">
        <v>46053</v>
      </c>
      <c r="Q58" s="5">
        <v>484.15</v>
      </c>
      <c r="R58" s="3">
        <v>62</v>
      </c>
      <c r="S58" s="3"/>
      <c r="T58" s="3">
        <v>0</v>
      </c>
      <c r="U58" s="3" t="s">
        <v>8</v>
      </c>
      <c r="V58" s="3">
        <v>0</v>
      </c>
      <c r="W58" s="5">
        <v>-279.45</v>
      </c>
      <c r="X58" s="3">
        <v>0</v>
      </c>
      <c r="Y58" s="3">
        <v>0</v>
      </c>
      <c r="Z58" s="3">
        <v>0</v>
      </c>
      <c r="AA58" s="5">
        <v>-279.45</v>
      </c>
      <c r="AF58" s="25"/>
      <c r="AG58" s="19"/>
      <c r="AH58" s="3"/>
      <c r="AI58" s="3"/>
      <c r="AJ58" s="3"/>
      <c r="AK58" s="15">
        <f t="shared" si="0"/>
        <v>0</v>
      </c>
      <c r="AL58" s="15">
        <f t="shared" si="2"/>
        <v>-279.45</v>
      </c>
      <c r="AN58" s="15">
        <f t="shared" si="1"/>
        <v>-279.45</v>
      </c>
    </row>
    <row r="59" spans="1:41" x14ac:dyDescent="0.25">
      <c r="A59" s="10" t="s">
        <v>274</v>
      </c>
      <c r="B59" s="10" t="s">
        <v>1031</v>
      </c>
      <c r="C59" s="3" t="s">
        <v>275</v>
      </c>
      <c r="D59" s="3" t="s">
        <v>276</v>
      </c>
      <c r="E59" s="3" t="s">
        <v>277</v>
      </c>
      <c r="F59" s="3" t="s">
        <v>278</v>
      </c>
      <c r="G59" s="3" t="s">
        <v>14</v>
      </c>
      <c r="H59" s="3" t="s">
        <v>6</v>
      </c>
      <c r="I59" s="3" t="s">
        <v>15</v>
      </c>
      <c r="J59" s="3" t="s">
        <v>279</v>
      </c>
      <c r="K59" s="3" t="s">
        <v>76</v>
      </c>
      <c r="L59" s="3" t="s">
        <v>69</v>
      </c>
      <c r="M59" s="3" t="s">
        <v>22</v>
      </c>
      <c r="N59" s="3">
        <v>2123</v>
      </c>
      <c r="O59" s="3"/>
      <c r="P59" s="4">
        <v>46081</v>
      </c>
      <c r="Q59" s="5">
        <v>126.17</v>
      </c>
      <c r="R59" s="3">
        <v>108</v>
      </c>
      <c r="S59" s="3"/>
      <c r="T59" s="3">
        <v>0</v>
      </c>
      <c r="U59" s="3" t="s">
        <v>8</v>
      </c>
      <c r="V59" s="5">
        <v>126.17</v>
      </c>
      <c r="W59" s="3">
        <v>0</v>
      </c>
      <c r="X59" s="3">
        <v>0</v>
      </c>
      <c r="Y59" s="3">
        <v>0</v>
      </c>
      <c r="Z59" s="3">
        <v>0</v>
      </c>
      <c r="AA59" s="5">
        <v>126.17</v>
      </c>
      <c r="AF59" s="25"/>
      <c r="AG59" s="18"/>
      <c r="AH59" s="3"/>
      <c r="AI59" s="3"/>
      <c r="AJ59" s="3"/>
      <c r="AK59" s="15">
        <f t="shared" si="0"/>
        <v>0</v>
      </c>
      <c r="AL59" s="15">
        <f t="shared" si="2"/>
        <v>126.17</v>
      </c>
      <c r="AM59" s="15">
        <f>AL59</f>
        <v>126.17</v>
      </c>
      <c r="AN59" s="15">
        <f t="shared" si="1"/>
        <v>0</v>
      </c>
    </row>
    <row r="60" spans="1:41" x14ac:dyDescent="0.25">
      <c r="A60" s="10" t="s">
        <v>280</v>
      </c>
      <c r="B60" s="10" t="s">
        <v>1032</v>
      </c>
      <c r="C60" s="3" t="s">
        <v>281</v>
      </c>
      <c r="D60" s="3" t="s">
        <v>282</v>
      </c>
      <c r="E60" s="3" t="s">
        <v>283</v>
      </c>
      <c r="F60" s="3" t="s">
        <v>284</v>
      </c>
      <c r="G60" s="3" t="s">
        <v>14</v>
      </c>
      <c r="H60" s="3" t="s">
        <v>6</v>
      </c>
      <c r="I60" s="3" t="s">
        <v>15</v>
      </c>
      <c r="J60" s="3" t="s">
        <v>285</v>
      </c>
      <c r="K60" s="3"/>
      <c r="L60" s="3"/>
      <c r="M60" s="3"/>
      <c r="N60" s="3">
        <v>2192</v>
      </c>
      <c r="O60" s="3"/>
      <c r="P60" s="4">
        <v>46081</v>
      </c>
      <c r="Q60" s="5">
        <v>358.11</v>
      </c>
      <c r="R60" s="3">
        <v>108</v>
      </c>
      <c r="S60" s="3"/>
      <c r="T60" s="3">
        <v>0</v>
      </c>
      <c r="U60" s="3" t="s">
        <v>8</v>
      </c>
      <c r="V60" s="5">
        <v>358.11</v>
      </c>
      <c r="W60" s="3">
        <v>0</v>
      </c>
      <c r="X60" s="3">
        <v>0</v>
      </c>
      <c r="Y60" s="3">
        <v>0</v>
      </c>
      <c r="Z60" s="3">
        <v>0</v>
      </c>
      <c r="AA60" s="5">
        <v>358.11</v>
      </c>
      <c r="AF60" s="25"/>
      <c r="AG60" s="18"/>
      <c r="AH60" s="3"/>
      <c r="AI60" s="3"/>
      <c r="AJ60" s="3"/>
      <c r="AK60" s="15">
        <f t="shared" si="0"/>
        <v>0</v>
      </c>
      <c r="AL60" s="15">
        <f t="shared" si="2"/>
        <v>358.11</v>
      </c>
      <c r="AM60" s="15">
        <f>AL60</f>
        <v>358.11</v>
      </c>
      <c r="AN60" s="15">
        <f t="shared" si="1"/>
        <v>0</v>
      </c>
    </row>
    <row r="61" spans="1:41" x14ac:dyDescent="0.25">
      <c r="A61" s="10" t="s">
        <v>286</v>
      </c>
      <c r="B61" s="10" t="s">
        <v>1034</v>
      </c>
      <c r="C61" s="3" t="s">
        <v>287</v>
      </c>
      <c r="D61" s="3" t="s">
        <v>288</v>
      </c>
      <c r="E61" s="3" t="s">
        <v>289</v>
      </c>
      <c r="F61" s="3" t="s">
        <v>290</v>
      </c>
      <c r="G61" s="3" t="s">
        <v>14</v>
      </c>
      <c r="H61" s="3" t="s">
        <v>6</v>
      </c>
      <c r="I61" s="3" t="s">
        <v>15</v>
      </c>
      <c r="J61" s="3" t="s">
        <v>291</v>
      </c>
      <c r="K61" s="3"/>
      <c r="L61" s="3"/>
      <c r="M61" s="3"/>
      <c r="N61" s="3">
        <v>1504</v>
      </c>
      <c r="O61" s="3"/>
      <c r="P61" s="4">
        <v>46081</v>
      </c>
      <c r="Q61" s="5">
        <v>70687.3</v>
      </c>
      <c r="R61" s="3">
        <v>429</v>
      </c>
      <c r="S61" s="3" t="s">
        <v>292</v>
      </c>
      <c r="T61" s="3">
        <v>0</v>
      </c>
      <c r="U61" s="3" t="s">
        <v>8</v>
      </c>
      <c r="V61" s="5">
        <v>1610</v>
      </c>
      <c r="W61" s="3">
        <v>0</v>
      </c>
      <c r="X61" s="3">
        <v>0</v>
      </c>
      <c r="Y61" s="3">
        <v>0</v>
      </c>
      <c r="Z61" s="3">
        <v>0</v>
      </c>
      <c r="AA61" s="5">
        <v>1610</v>
      </c>
      <c r="AC61" t="str">
        <f>[1]nedredc!$A$9</f>
        <v>06/03/2026</v>
      </c>
      <c r="AD61" t="str">
        <f>[1]nedredc!$B$9</f>
        <v>GOO001 FEB STMNT</v>
      </c>
      <c r="AE61" s="15">
        <f>[1]nedredc!$C$9</f>
        <v>1207.5</v>
      </c>
      <c r="AF61" s="25"/>
      <c r="AG61" s="19">
        <f>AE61</f>
        <v>1207.5</v>
      </c>
      <c r="AH61" s="3"/>
      <c r="AI61" s="3"/>
      <c r="AJ61" s="3"/>
      <c r="AK61" s="15">
        <f t="shared" si="0"/>
        <v>1207.5</v>
      </c>
      <c r="AL61" s="15">
        <f t="shared" si="2"/>
        <v>402.5</v>
      </c>
      <c r="AM61" s="15">
        <v>402.5</v>
      </c>
      <c r="AN61" s="15">
        <f t="shared" si="1"/>
        <v>0</v>
      </c>
      <c r="AO61" s="15"/>
    </row>
    <row r="62" spans="1:41" x14ac:dyDescent="0.25">
      <c r="A62" s="10" t="s">
        <v>293</v>
      </c>
      <c r="B62" s="10" t="s">
        <v>1033</v>
      </c>
      <c r="C62" s="3" t="s">
        <v>294</v>
      </c>
      <c r="D62" s="3" t="s">
        <v>295</v>
      </c>
      <c r="E62" s="6" t="s">
        <v>296</v>
      </c>
      <c r="F62" s="3" t="s">
        <v>297</v>
      </c>
      <c r="G62" s="3" t="s">
        <v>14</v>
      </c>
      <c r="H62" s="3" t="s">
        <v>6</v>
      </c>
      <c r="I62" s="3" t="s">
        <v>15</v>
      </c>
      <c r="J62" s="3" t="s">
        <v>298</v>
      </c>
      <c r="K62" s="3"/>
      <c r="L62" s="3"/>
      <c r="M62" s="3" t="s">
        <v>22</v>
      </c>
      <c r="N62" s="3"/>
      <c r="O62" s="3"/>
      <c r="P62" s="4">
        <v>46052</v>
      </c>
      <c r="Q62" s="5">
        <v>2012.5</v>
      </c>
      <c r="R62" s="3">
        <v>32</v>
      </c>
      <c r="S62" s="3"/>
      <c r="T62" s="3">
        <v>0</v>
      </c>
      <c r="U62" s="3" t="s">
        <v>8</v>
      </c>
      <c r="V62" s="5">
        <v>2012.5</v>
      </c>
      <c r="W62" s="3">
        <v>0</v>
      </c>
      <c r="X62" s="3">
        <v>0</v>
      </c>
      <c r="Y62" s="3">
        <v>0</v>
      </c>
      <c r="Z62" s="3">
        <v>0</v>
      </c>
      <c r="AA62" s="5">
        <v>2012.5</v>
      </c>
      <c r="AF62" s="25"/>
      <c r="AG62" s="18"/>
      <c r="AH62" s="3"/>
      <c r="AI62" s="3"/>
      <c r="AJ62" s="3"/>
      <c r="AK62" s="15">
        <f t="shared" si="0"/>
        <v>0</v>
      </c>
      <c r="AL62" s="15">
        <f t="shared" si="2"/>
        <v>2012.5</v>
      </c>
      <c r="AM62" s="15">
        <f>AL62</f>
        <v>2012.5</v>
      </c>
      <c r="AN62" s="15">
        <f t="shared" si="1"/>
        <v>0</v>
      </c>
    </row>
    <row r="63" spans="1:41" x14ac:dyDescent="0.25">
      <c r="A63" s="10" t="s">
        <v>299</v>
      </c>
      <c r="B63" s="10" t="s">
        <v>1035</v>
      </c>
      <c r="C63" s="3" t="s">
        <v>300</v>
      </c>
      <c r="D63" s="3" t="s">
        <v>301</v>
      </c>
      <c r="E63" s="3" t="s">
        <v>302</v>
      </c>
      <c r="F63" s="3" t="s">
        <v>303</v>
      </c>
      <c r="G63" s="3" t="s">
        <v>14</v>
      </c>
      <c r="H63" s="3" t="s">
        <v>6</v>
      </c>
      <c r="I63" s="3" t="s">
        <v>15</v>
      </c>
      <c r="J63" s="3" t="s">
        <v>304</v>
      </c>
      <c r="K63" s="3"/>
      <c r="L63" s="3"/>
      <c r="M63" s="3"/>
      <c r="N63" s="6" t="s">
        <v>305</v>
      </c>
      <c r="O63" s="3"/>
      <c r="P63" s="4">
        <v>46081</v>
      </c>
      <c r="Q63" s="5">
        <v>230.15</v>
      </c>
      <c r="R63" s="3">
        <v>40</v>
      </c>
      <c r="S63" s="3"/>
      <c r="T63" s="3">
        <v>0</v>
      </c>
      <c r="U63" s="3" t="s">
        <v>8</v>
      </c>
      <c r="V63" s="5">
        <v>230.35</v>
      </c>
      <c r="W63" s="3">
        <v>0</v>
      </c>
      <c r="X63" s="3">
        <v>0</v>
      </c>
      <c r="Y63" s="3">
        <v>0</v>
      </c>
      <c r="Z63" s="3">
        <v>0</v>
      </c>
      <c r="AA63" s="5">
        <v>230.35</v>
      </c>
      <c r="AF63" s="25"/>
      <c r="AG63" s="18"/>
      <c r="AH63" s="3"/>
      <c r="AI63" s="3"/>
      <c r="AJ63" s="3"/>
      <c r="AK63" s="15">
        <f t="shared" si="0"/>
        <v>0</v>
      </c>
      <c r="AL63" s="15">
        <f t="shared" si="2"/>
        <v>230.35</v>
      </c>
      <c r="AM63" s="15">
        <f t="shared" ref="AM63:AM65" si="12">AL63</f>
        <v>230.35</v>
      </c>
      <c r="AN63" s="15">
        <f t="shared" si="1"/>
        <v>0</v>
      </c>
    </row>
    <row r="64" spans="1:41" x14ac:dyDescent="0.25">
      <c r="A64" s="10" t="s">
        <v>306</v>
      </c>
      <c r="B64" s="10" t="s">
        <v>1036</v>
      </c>
      <c r="C64" s="3" t="s">
        <v>307</v>
      </c>
      <c r="D64" s="3" t="s">
        <v>308</v>
      </c>
      <c r="E64" s="3" t="s">
        <v>309</v>
      </c>
      <c r="F64" s="3" t="s">
        <v>310</v>
      </c>
      <c r="G64" s="3" t="s">
        <v>14</v>
      </c>
      <c r="H64" s="3" t="s">
        <v>6</v>
      </c>
      <c r="I64" s="3"/>
      <c r="J64" s="3" t="s">
        <v>311</v>
      </c>
      <c r="K64" s="3"/>
      <c r="L64" s="3"/>
      <c r="M64" s="3" t="s">
        <v>22</v>
      </c>
      <c r="N64" s="3"/>
      <c r="O64" s="3"/>
      <c r="P64" s="4">
        <v>46081</v>
      </c>
      <c r="Q64" s="5">
        <v>94.48</v>
      </c>
      <c r="R64" s="3">
        <v>43</v>
      </c>
      <c r="S64" s="3"/>
      <c r="T64" s="3">
        <v>0</v>
      </c>
      <c r="U64" s="3" t="s">
        <v>8</v>
      </c>
      <c r="V64" s="5">
        <v>94.48</v>
      </c>
      <c r="W64" s="3">
        <v>0</v>
      </c>
      <c r="X64" s="3">
        <v>0</v>
      </c>
      <c r="Y64" s="3">
        <v>0</v>
      </c>
      <c r="Z64" s="3">
        <v>0</v>
      </c>
      <c r="AA64" s="5">
        <v>94.48</v>
      </c>
      <c r="AF64" s="25"/>
      <c r="AG64" s="18"/>
      <c r="AH64" s="3"/>
      <c r="AI64" s="3"/>
      <c r="AJ64" s="3"/>
      <c r="AK64" s="15">
        <f t="shared" si="0"/>
        <v>0</v>
      </c>
      <c r="AL64" s="15">
        <f t="shared" si="2"/>
        <v>94.48</v>
      </c>
      <c r="AM64" s="15">
        <f t="shared" si="12"/>
        <v>94.48</v>
      </c>
      <c r="AN64" s="15">
        <f t="shared" si="1"/>
        <v>0</v>
      </c>
    </row>
    <row r="65" spans="1:41" x14ac:dyDescent="0.25">
      <c r="A65" s="10" t="s">
        <v>312</v>
      </c>
      <c r="B65" s="10" t="s">
        <v>1037</v>
      </c>
      <c r="C65" s="3" t="s">
        <v>313</v>
      </c>
      <c r="D65" s="3" t="s">
        <v>314</v>
      </c>
      <c r="E65" s="3" t="s">
        <v>315</v>
      </c>
      <c r="F65" s="3" t="s">
        <v>316</v>
      </c>
      <c r="G65" s="3" t="s">
        <v>14</v>
      </c>
      <c r="H65" s="3" t="s">
        <v>6</v>
      </c>
      <c r="I65" s="3"/>
      <c r="J65" s="3" t="s">
        <v>317</v>
      </c>
      <c r="K65" s="3"/>
      <c r="L65" s="3"/>
      <c r="M65" s="3"/>
      <c r="N65" s="3">
        <v>1540</v>
      </c>
      <c r="O65" s="3"/>
      <c r="P65" s="4">
        <v>46081</v>
      </c>
      <c r="Q65" s="5">
        <v>2493.9699999999998</v>
      </c>
      <c r="R65" s="3">
        <v>128</v>
      </c>
      <c r="S65" s="3" t="s">
        <v>318</v>
      </c>
      <c r="T65" s="3">
        <v>0</v>
      </c>
      <c r="U65" s="3" t="s">
        <v>8</v>
      </c>
      <c r="V65" s="5">
        <v>2493.9699999999998</v>
      </c>
      <c r="W65" s="3">
        <v>0</v>
      </c>
      <c r="X65" s="3">
        <v>0</v>
      </c>
      <c r="Y65" s="3">
        <v>0</v>
      </c>
      <c r="Z65" s="3">
        <v>0</v>
      </c>
      <c r="AA65" s="5">
        <v>2493.9699999999998</v>
      </c>
      <c r="AF65" s="25"/>
      <c r="AG65" s="18"/>
      <c r="AH65" s="3"/>
      <c r="AI65" s="3"/>
      <c r="AJ65" s="3"/>
      <c r="AK65" s="15">
        <f t="shared" si="0"/>
        <v>0</v>
      </c>
      <c r="AL65" s="15">
        <f t="shared" si="2"/>
        <v>2493.9699999999998</v>
      </c>
      <c r="AM65" s="15">
        <f t="shared" si="12"/>
        <v>2493.9699999999998</v>
      </c>
      <c r="AN65" s="15">
        <f t="shared" si="1"/>
        <v>0</v>
      </c>
    </row>
    <row r="66" spans="1:41" x14ac:dyDescent="0.25">
      <c r="A66" s="10">
        <v>1091</v>
      </c>
      <c r="B66" s="10"/>
      <c r="C66" s="3" t="s">
        <v>319</v>
      </c>
      <c r="D66" s="3" t="s">
        <v>319</v>
      </c>
      <c r="E66" s="3" t="s">
        <v>320</v>
      </c>
      <c r="F66" s="3" t="s">
        <v>321</v>
      </c>
      <c r="G66" s="3" t="s">
        <v>14</v>
      </c>
      <c r="H66" s="3" t="s">
        <v>6</v>
      </c>
      <c r="I66" s="3"/>
      <c r="J66" s="3" t="s">
        <v>322</v>
      </c>
      <c r="K66" s="3"/>
      <c r="L66" s="3"/>
      <c r="M66" s="3" t="s">
        <v>22</v>
      </c>
      <c r="N66" s="3"/>
      <c r="O66" s="3"/>
      <c r="P66" s="4">
        <v>46081</v>
      </c>
      <c r="Q66" s="5">
        <v>126.72</v>
      </c>
      <c r="R66" s="3">
        <v>42</v>
      </c>
      <c r="S66" s="3"/>
      <c r="T66" s="3">
        <v>0</v>
      </c>
      <c r="U66" s="3" t="s">
        <v>8</v>
      </c>
      <c r="V66" s="5">
        <v>126.72</v>
      </c>
      <c r="W66" s="3">
        <v>0</v>
      </c>
      <c r="X66" s="3">
        <v>0</v>
      </c>
      <c r="Y66" s="3">
        <v>0</v>
      </c>
      <c r="Z66" s="3">
        <v>0</v>
      </c>
      <c r="AA66" s="5">
        <v>126.72</v>
      </c>
      <c r="AF66" s="25"/>
      <c r="AG66" s="18"/>
      <c r="AH66" s="3"/>
      <c r="AI66" s="3"/>
      <c r="AJ66" s="3"/>
      <c r="AK66" s="15">
        <f t="shared" si="0"/>
        <v>0</v>
      </c>
      <c r="AL66" s="15">
        <f t="shared" si="2"/>
        <v>126.72</v>
      </c>
      <c r="AM66" s="15">
        <f>AL66</f>
        <v>126.72</v>
      </c>
      <c r="AN66" s="15">
        <f t="shared" si="1"/>
        <v>0</v>
      </c>
    </row>
    <row r="67" spans="1:41" x14ac:dyDescent="0.25">
      <c r="A67" s="10" t="s">
        <v>323</v>
      </c>
      <c r="B67" s="10"/>
      <c r="C67" s="3" t="s">
        <v>324</v>
      </c>
      <c r="D67" s="3" t="s">
        <v>325</v>
      </c>
      <c r="E67" s="3" t="s">
        <v>326</v>
      </c>
      <c r="F67" s="3" t="s">
        <v>327</v>
      </c>
      <c r="G67" s="3" t="s">
        <v>328</v>
      </c>
      <c r="H67" s="3" t="s">
        <v>6</v>
      </c>
      <c r="I67" s="3" t="s">
        <v>33</v>
      </c>
      <c r="J67" s="3" t="s">
        <v>329</v>
      </c>
      <c r="K67" s="3"/>
      <c r="L67" s="3"/>
      <c r="M67" s="3"/>
      <c r="N67" s="3">
        <v>8300</v>
      </c>
      <c r="O67" s="3"/>
      <c r="P67" s="4">
        <v>43364</v>
      </c>
      <c r="Q67" s="5">
        <v>40097.620000000003</v>
      </c>
      <c r="R67" s="3">
        <v>1635</v>
      </c>
      <c r="S67" s="3"/>
      <c r="T67" s="3">
        <v>0</v>
      </c>
      <c r="U67" s="3" t="s">
        <v>8</v>
      </c>
      <c r="V67" s="3">
        <v>0</v>
      </c>
      <c r="W67" s="3">
        <v>0</v>
      </c>
      <c r="X67" s="3">
        <v>0</v>
      </c>
      <c r="Y67" s="3">
        <v>0</v>
      </c>
      <c r="Z67" s="3">
        <v>0.02</v>
      </c>
      <c r="AA67" s="3">
        <v>0.02</v>
      </c>
      <c r="AF67" s="25"/>
      <c r="AG67" s="18"/>
      <c r="AH67" s="3"/>
      <c r="AI67" s="3"/>
      <c r="AJ67" s="3"/>
      <c r="AK67" s="15">
        <f t="shared" si="0"/>
        <v>0</v>
      </c>
      <c r="AL67" s="15">
        <f t="shared" si="2"/>
        <v>0.02</v>
      </c>
      <c r="AM67">
        <v>0</v>
      </c>
      <c r="AN67" s="15">
        <f t="shared" si="1"/>
        <v>0.02</v>
      </c>
    </row>
    <row r="68" spans="1:41" x14ac:dyDescent="0.25">
      <c r="A68" s="10" t="s">
        <v>330</v>
      </c>
      <c r="B68" s="10" t="s">
        <v>1038</v>
      </c>
      <c r="C68" s="3" t="s">
        <v>331</v>
      </c>
      <c r="D68" s="3" t="s">
        <v>332</v>
      </c>
      <c r="E68" s="3" t="s">
        <v>333</v>
      </c>
      <c r="F68" s="3" t="s">
        <v>334</v>
      </c>
      <c r="G68" s="3" t="s">
        <v>14</v>
      </c>
      <c r="H68" s="3" t="s">
        <v>6</v>
      </c>
      <c r="I68" s="3" t="s">
        <v>15</v>
      </c>
      <c r="J68" s="3" t="s">
        <v>335</v>
      </c>
      <c r="K68" s="3"/>
      <c r="L68" s="3"/>
      <c r="M68" s="3"/>
      <c r="N68" s="3">
        <v>2041</v>
      </c>
      <c r="O68" s="3"/>
      <c r="P68" s="4">
        <v>46081</v>
      </c>
      <c r="Q68" s="5">
        <v>139.1</v>
      </c>
      <c r="R68" s="3">
        <v>148</v>
      </c>
      <c r="S68" s="3"/>
      <c r="T68" s="3">
        <v>0</v>
      </c>
      <c r="U68" s="3" t="s">
        <v>8</v>
      </c>
      <c r="V68" s="5">
        <v>139.1</v>
      </c>
      <c r="W68" s="3">
        <v>0</v>
      </c>
      <c r="X68" s="3">
        <v>0</v>
      </c>
      <c r="Y68" s="3">
        <v>0</v>
      </c>
      <c r="Z68" s="3">
        <v>0</v>
      </c>
      <c r="AA68" s="5">
        <v>139.1</v>
      </c>
      <c r="AF68" s="25"/>
      <c r="AG68" s="18"/>
      <c r="AH68" s="3"/>
      <c r="AI68" s="3"/>
      <c r="AJ68" s="3"/>
      <c r="AK68" s="15">
        <f t="shared" si="0"/>
        <v>0</v>
      </c>
      <c r="AL68" s="15">
        <f t="shared" si="2"/>
        <v>139.1</v>
      </c>
      <c r="AM68" s="15">
        <f>AL68</f>
        <v>139.1</v>
      </c>
      <c r="AN68" s="15">
        <f t="shared" si="1"/>
        <v>0</v>
      </c>
    </row>
    <row r="69" spans="1:41" x14ac:dyDescent="0.25">
      <c r="A69" s="10" t="s">
        <v>336</v>
      </c>
      <c r="B69" s="10" t="s">
        <v>1039</v>
      </c>
      <c r="C69" s="3" t="s">
        <v>337</v>
      </c>
      <c r="D69" s="3" t="s">
        <v>338</v>
      </c>
      <c r="E69" s="3" t="s">
        <v>339</v>
      </c>
      <c r="F69" s="3"/>
      <c r="G69" s="3" t="s">
        <v>14</v>
      </c>
      <c r="H69" s="3" t="s">
        <v>6</v>
      </c>
      <c r="I69" s="3" t="s">
        <v>33</v>
      </c>
      <c r="J69" s="3" t="s">
        <v>340</v>
      </c>
      <c r="K69" s="3"/>
      <c r="L69" s="3"/>
      <c r="M69" s="3"/>
      <c r="N69" s="3">
        <v>1508</v>
      </c>
      <c r="O69" s="3"/>
      <c r="P69" s="4">
        <v>46059</v>
      </c>
      <c r="Q69" s="5">
        <v>411032.32000000001</v>
      </c>
      <c r="R69" s="3">
        <v>547</v>
      </c>
      <c r="S69" s="3"/>
      <c r="T69" s="3">
        <v>0</v>
      </c>
      <c r="U69" s="3" t="s">
        <v>8</v>
      </c>
      <c r="V69" s="5">
        <v>414083.61</v>
      </c>
      <c r="W69" s="3">
        <v>0</v>
      </c>
      <c r="X69" s="3">
        <v>0</v>
      </c>
      <c r="Y69" s="3">
        <v>0.02</v>
      </c>
      <c r="Z69" s="5">
        <v>19676.48</v>
      </c>
      <c r="AA69" s="5">
        <v>433760.11</v>
      </c>
      <c r="AC69" t="str">
        <f>[1]nedredc!$A$47</f>
        <v>27/03/2026</v>
      </c>
      <c r="AD69" t="str">
        <f>[1]nedredc!$B$47</f>
        <v>CASHFOCUS HITACHI APPY0000228</v>
      </c>
      <c r="AE69" s="15">
        <f>[1]nedredc!$C$47</f>
        <v>210027.61</v>
      </c>
      <c r="AF69" s="26">
        <f>AE69</f>
        <v>210027.61</v>
      </c>
      <c r="AG69" s="18"/>
      <c r="AH69" s="3"/>
      <c r="AI69" s="3"/>
      <c r="AJ69" s="5"/>
      <c r="AK69" s="15">
        <f t="shared" si="0"/>
        <v>210027.61</v>
      </c>
      <c r="AL69" s="15">
        <f t="shared" si="2"/>
        <v>223732.5</v>
      </c>
      <c r="AM69">
        <v>433760.11</v>
      </c>
      <c r="AN69" s="15">
        <f t="shared" si="1"/>
        <v>-210027.61</v>
      </c>
      <c r="AO69" t="s">
        <v>1144</v>
      </c>
    </row>
    <row r="70" spans="1:41" x14ac:dyDescent="0.25">
      <c r="A70" s="10" t="s">
        <v>341</v>
      </c>
      <c r="B70" s="10" t="s">
        <v>1040</v>
      </c>
      <c r="C70" s="3" t="s">
        <v>342</v>
      </c>
      <c r="D70" s="3" t="s">
        <v>343</v>
      </c>
      <c r="E70" s="6" t="s">
        <v>344</v>
      </c>
      <c r="F70" s="3" t="s">
        <v>345</v>
      </c>
      <c r="G70" s="3" t="s">
        <v>14</v>
      </c>
      <c r="H70" s="3" t="s">
        <v>6</v>
      </c>
      <c r="I70" s="3" t="s">
        <v>33</v>
      </c>
      <c r="J70" s="3" t="s">
        <v>346</v>
      </c>
      <c r="K70" s="3"/>
      <c r="L70" s="3"/>
      <c r="M70" s="3" t="s">
        <v>22</v>
      </c>
      <c r="N70" s="3"/>
      <c r="O70" s="3"/>
      <c r="P70" s="4">
        <v>46015</v>
      </c>
      <c r="Q70" s="5">
        <v>9136.5499999999993</v>
      </c>
      <c r="R70" s="3">
        <v>376</v>
      </c>
      <c r="S70" s="3"/>
      <c r="T70" s="3">
        <v>0</v>
      </c>
      <c r="U70" s="3" t="s">
        <v>8</v>
      </c>
      <c r="V70" s="5">
        <v>17275.78</v>
      </c>
      <c r="W70" s="5">
        <v>17460.96</v>
      </c>
      <c r="X70" s="5">
        <v>16472.599999999999</v>
      </c>
      <c r="Y70" s="5">
        <v>16472.599999999999</v>
      </c>
      <c r="Z70" s="5">
        <v>45682.8</v>
      </c>
      <c r="AA70" s="5">
        <v>113364.74</v>
      </c>
      <c r="AC70" t="str">
        <f>[1]nedredc!$A$29</f>
        <v>12/03/2026</v>
      </c>
      <c r="AD70" t="str">
        <f>[1]nedredc!$B$29</f>
        <v>ICONIC VENTURES</v>
      </c>
      <c r="AE70" s="15">
        <f>[1]nedredc!$C$29</f>
        <v>15000</v>
      </c>
      <c r="AF70" s="25"/>
      <c r="AG70" s="19"/>
      <c r="AH70" s="5"/>
      <c r="AI70" s="5"/>
      <c r="AJ70" s="5">
        <f>AE70</f>
        <v>15000</v>
      </c>
      <c r="AK70" s="15">
        <f t="shared" si="0"/>
        <v>15000</v>
      </c>
      <c r="AL70" s="15">
        <f t="shared" si="2"/>
        <v>98364.74</v>
      </c>
      <c r="AM70">
        <v>98364.74</v>
      </c>
      <c r="AN70" s="15">
        <f t="shared" si="1"/>
        <v>0</v>
      </c>
    </row>
    <row r="71" spans="1:41" x14ac:dyDescent="0.25">
      <c r="A71" s="10" t="s">
        <v>347</v>
      </c>
      <c r="B71" s="10" t="s">
        <v>1041</v>
      </c>
      <c r="C71" s="3" t="s">
        <v>348</v>
      </c>
      <c r="D71" s="3" t="s">
        <v>349</v>
      </c>
      <c r="E71" s="3" t="s">
        <v>350</v>
      </c>
      <c r="F71" s="3" t="s">
        <v>351</v>
      </c>
      <c r="G71" s="3" t="s">
        <v>14</v>
      </c>
      <c r="H71" s="3" t="s">
        <v>6</v>
      </c>
      <c r="I71" s="3"/>
      <c r="J71" s="3" t="s">
        <v>352</v>
      </c>
      <c r="K71" s="3"/>
      <c r="L71" s="3"/>
      <c r="M71" s="3" t="s">
        <v>22</v>
      </c>
      <c r="N71" s="3"/>
      <c r="O71" s="3"/>
      <c r="P71" s="4">
        <v>46081</v>
      </c>
      <c r="Q71" s="5">
        <v>2697.9</v>
      </c>
      <c r="R71" s="3">
        <v>30</v>
      </c>
      <c r="S71" s="3"/>
      <c r="T71" s="3">
        <v>0</v>
      </c>
      <c r="U71" s="3" t="s">
        <v>8</v>
      </c>
      <c r="V71" s="5">
        <v>-172.12</v>
      </c>
      <c r="W71" s="3">
        <v>0</v>
      </c>
      <c r="X71" s="3">
        <v>0</v>
      </c>
      <c r="Y71" s="3">
        <v>0</v>
      </c>
      <c r="Z71" s="3">
        <v>0</v>
      </c>
      <c r="AA71" s="5">
        <v>-172.12</v>
      </c>
      <c r="AF71" s="25"/>
      <c r="AG71" s="18"/>
      <c r="AH71" s="3"/>
      <c r="AI71" s="3"/>
      <c r="AJ71" s="3"/>
      <c r="AK71" s="15">
        <f t="shared" si="0"/>
        <v>0</v>
      </c>
      <c r="AL71" s="15">
        <f t="shared" si="2"/>
        <v>-172.12</v>
      </c>
      <c r="AN71" s="15">
        <f t="shared" si="1"/>
        <v>-172.12</v>
      </c>
    </row>
    <row r="72" spans="1:41" x14ac:dyDescent="0.25">
      <c r="A72" s="10" t="s">
        <v>353</v>
      </c>
      <c r="B72" s="10" t="s">
        <v>1042</v>
      </c>
      <c r="C72" s="3" t="s">
        <v>354</v>
      </c>
      <c r="D72" s="3" t="s">
        <v>355</v>
      </c>
      <c r="E72" s="3" t="s">
        <v>356</v>
      </c>
      <c r="F72" s="3" t="s">
        <v>357</v>
      </c>
      <c r="G72" s="3" t="s">
        <v>14</v>
      </c>
      <c r="H72" s="3" t="s">
        <v>6</v>
      </c>
      <c r="I72" s="3" t="s">
        <v>15</v>
      </c>
      <c r="J72" s="3" t="s">
        <v>358</v>
      </c>
      <c r="K72" s="3"/>
      <c r="L72" s="3"/>
      <c r="M72" s="3" t="s">
        <v>22</v>
      </c>
      <c r="N72" s="3"/>
      <c r="O72" s="3"/>
      <c r="P72" s="4">
        <v>46003</v>
      </c>
      <c r="Q72" s="5">
        <v>-4524.28</v>
      </c>
      <c r="R72" s="3">
        <v>93</v>
      </c>
      <c r="S72" s="3"/>
      <c r="T72" s="3">
        <v>0</v>
      </c>
      <c r="U72" s="3" t="s">
        <v>8</v>
      </c>
      <c r="V72" s="5">
        <v>4795.7299999999996</v>
      </c>
      <c r="W72" s="5">
        <v>4795.7299999999996</v>
      </c>
      <c r="X72" s="5">
        <v>4524.28</v>
      </c>
      <c r="Y72" s="5">
        <v>4524.28</v>
      </c>
      <c r="Z72" s="5">
        <v>4524.28</v>
      </c>
      <c r="AA72" s="5">
        <v>23164.3</v>
      </c>
      <c r="AF72" s="25"/>
      <c r="AG72" s="19"/>
      <c r="AH72" s="5"/>
      <c r="AI72" s="5"/>
      <c r="AJ72" s="5"/>
      <c r="AK72" s="15">
        <f t="shared" si="0"/>
        <v>0</v>
      </c>
      <c r="AL72" s="15">
        <f t="shared" si="2"/>
        <v>23164.3</v>
      </c>
      <c r="AM72" s="15">
        <f>AL72</f>
        <v>23164.3</v>
      </c>
      <c r="AN72" s="15">
        <f t="shared" si="1"/>
        <v>0</v>
      </c>
    </row>
    <row r="73" spans="1:41" x14ac:dyDescent="0.25">
      <c r="A73" s="10" t="s">
        <v>359</v>
      </c>
      <c r="B73" s="10"/>
      <c r="C73" s="3" t="s">
        <v>360</v>
      </c>
      <c r="D73" s="3" t="s">
        <v>361</v>
      </c>
      <c r="E73" s="3" t="s">
        <v>362</v>
      </c>
      <c r="F73" s="3" t="s">
        <v>363</v>
      </c>
      <c r="G73" s="3" t="s">
        <v>14</v>
      </c>
      <c r="H73" s="3" t="s">
        <v>6</v>
      </c>
      <c r="I73" s="3" t="s">
        <v>15</v>
      </c>
      <c r="J73" s="3" t="s">
        <v>364</v>
      </c>
      <c r="K73" s="3"/>
      <c r="L73" s="3"/>
      <c r="M73" s="3"/>
      <c r="N73" s="3">
        <v>1641</v>
      </c>
      <c r="O73" s="3"/>
      <c r="P73" s="4">
        <v>45230</v>
      </c>
      <c r="Q73" s="5">
        <v>759.1</v>
      </c>
      <c r="R73" s="3">
        <v>232</v>
      </c>
      <c r="S73" s="3"/>
      <c r="T73" s="3">
        <v>0</v>
      </c>
      <c r="U73" s="3" t="s">
        <v>8</v>
      </c>
      <c r="V73" s="3">
        <v>0</v>
      </c>
      <c r="W73" s="3">
        <v>0</v>
      </c>
      <c r="X73" s="3">
        <v>0</v>
      </c>
      <c r="Y73" s="3">
        <v>0</v>
      </c>
      <c r="Z73" s="5">
        <v>-0.01</v>
      </c>
      <c r="AA73" s="5">
        <v>-0.01</v>
      </c>
      <c r="AF73" s="25"/>
      <c r="AG73" s="18"/>
      <c r="AH73" s="3"/>
      <c r="AI73" s="3"/>
      <c r="AJ73" s="5"/>
      <c r="AK73" s="15">
        <f t="shared" si="0"/>
        <v>0</v>
      </c>
      <c r="AL73" s="15">
        <f t="shared" si="2"/>
        <v>-0.01</v>
      </c>
      <c r="AN73" s="15">
        <f t="shared" si="1"/>
        <v>-0.01</v>
      </c>
    </row>
    <row r="74" spans="1:41" x14ac:dyDescent="0.25">
      <c r="A74" s="10" t="s">
        <v>365</v>
      </c>
      <c r="B74" s="10" t="s">
        <v>1043</v>
      </c>
      <c r="C74" s="3" t="s">
        <v>366</v>
      </c>
      <c r="D74" s="3" t="s">
        <v>367</v>
      </c>
      <c r="E74" s="3" t="s">
        <v>368</v>
      </c>
      <c r="F74" s="3" t="s">
        <v>369</v>
      </c>
      <c r="G74" s="3" t="s">
        <v>14</v>
      </c>
      <c r="H74" s="3" t="s">
        <v>6</v>
      </c>
      <c r="I74" s="3" t="s">
        <v>15</v>
      </c>
      <c r="J74" s="3" t="s">
        <v>370</v>
      </c>
      <c r="K74" s="3"/>
      <c r="L74" s="3"/>
      <c r="M74" s="3" t="s">
        <v>22</v>
      </c>
      <c r="N74" s="3">
        <v>2000</v>
      </c>
      <c r="O74" s="3"/>
      <c r="P74" s="4">
        <v>46081</v>
      </c>
      <c r="Q74" s="5">
        <v>8083.26</v>
      </c>
      <c r="R74" s="3">
        <v>191</v>
      </c>
      <c r="S74" s="3"/>
      <c r="T74" s="3">
        <v>0</v>
      </c>
      <c r="U74" s="3" t="s">
        <v>8</v>
      </c>
      <c r="V74" s="5">
        <v>8083.26</v>
      </c>
      <c r="W74" s="3">
        <v>0</v>
      </c>
      <c r="X74" s="3">
        <v>0</v>
      </c>
      <c r="Y74" s="3">
        <v>0</v>
      </c>
      <c r="Z74" s="3">
        <v>0</v>
      </c>
      <c r="AA74" s="5">
        <v>8083.26</v>
      </c>
      <c r="AF74" s="25"/>
      <c r="AG74" s="18"/>
      <c r="AH74" s="3"/>
      <c r="AI74" s="3"/>
      <c r="AJ74" s="3"/>
      <c r="AK74" s="15">
        <f t="shared" ref="AK74:AK138" si="13">AG74+AH74+AI74+AJ74+AF74</f>
        <v>0</v>
      </c>
      <c r="AL74" s="15">
        <f t="shared" si="2"/>
        <v>8083.26</v>
      </c>
      <c r="AM74" s="15">
        <f>AL74</f>
        <v>8083.26</v>
      </c>
      <c r="AN74" s="15">
        <f t="shared" si="1"/>
        <v>0</v>
      </c>
    </row>
    <row r="75" spans="1:41" x14ac:dyDescent="0.25">
      <c r="A75" s="10" t="s">
        <v>371</v>
      </c>
      <c r="B75" s="10" t="s">
        <v>1044</v>
      </c>
      <c r="C75" s="3" t="s">
        <v>372</v>
      </c>
      <c r="D75" s="3" t="s">
        <v>373</v>
      </c>
      <c r="E75" s="3" t="s">
        <v>374</v>
      </c>
      <c r="F75" s="3" t="s">
        <v>375</v>
      </c>
      <c r="G75" s="3" t="s">
        <v>14</v>
      </c>
      <c r="H75" s="3" t="s">
        <v>6</v>
      </c>
      <c r="I75" s="3" t="s">
        <v>15</v>
      </c>
      <c r="J75" s="3" t="s">
        <v>376</v>
      </c>
      <c r="K75" s="3"/>
      <c r="L75" s="3"/>
      <c r="M75" s="3"/>
      <c r="N75" s="3"/>
      <c r="O75" s="3"/>
      <c r="P75" s="4">
        <v>46081</v>
      </c>
      <c r="Q75" s="5">
        <v>142.54</v>
      </c>
      <c r="R75" s="3">
        <v>40</v>
      </c>
      <c r="S75" s="3"/>
      <c r="T75" s="3">
        <v>0</v>
      </c>
      <c r="U75" s="3" t="s">
        <v>8</v>
      </c>
      <c r="V75" s="5">
        <v>142.54</v>
      </c>
      <c r="W75" s="3">
        <v>0</v>
      </c>
      <c r="X75" s="3">
        <v>0</v>
      </c>
      <c r="Y75" s="3">
        <v>0</v>
      </c>
      <c r="Z75" s="3">
        <v>0</v>
      </c>
      <c r="AA75" s="5">
        <v>142.54</v>
      </c>
      <c r="AF75" s="25"/>
      <c r="AG75" s="18"/>
      <c r="AH75" s="3"/>
      <c r="AI75" s="3"/>
      <c r="AJ75" s="3"/>
      <c r="AK75" s="15">
        <f t="shared" si="13"/>
        <v>0</v>
      </c>
      <c r="AL75" s="15">
        <f t="shared" ref="AL75:AL140" si="14">AA75-AK75</f>
        <v>142.54</v>
      </c>
      <c r="AM75" s="15">
        <f>AL75</f>
        <v>142.54</v>
      </c>
      <c r="AN75" s="15">
        <f t="shared" ref="AN75:AN86" si="15">AL75-AM75</f>
        <v>0</v>
      </c>
    </row>
    <row r="76" spans="1:41" x14ac:dyDescent="0.25">
      <c r="A76" s="10" t="s">
        <v>377</v>
      </c>
      <c r="B76" s="10" t="s">
        <v>1045</v>
      </c>
      <c r="C76" s="3" t="s">
        <v>378</v>
      </c>
      <c r="D76" s="3" t="s">
        <v>379</v>
      </c>
      <c r="E76" s="3" t="s">
        <v>380</v>
      </c>
      <c r="F76" s="3" t="s">
        <v>381</v>
      </c>
      <c r="G76" s="3" t="s">
        <v>14</v>
      </c>
      <c r="H76" s="3" t="s">
        <v>6</v>
      </c>
      <c r="I76" s="3" t="s">
        <v>15</v>
      </c>
      <c r="J76" s="3" t="s">
        <v>382</v>
      </c>
      <c r="K76" s="3"/>
      <c r="L76" s="3" t="s">
        <v>69</v>
      </c>
      <c r="M76" s="3" t="s">
        <v>22</v>
      </c>
      <c r="N76" s="3"/>
      <c r="O76" s="3"/>
      <c r="P76" s="4">
        <v>46053</v>
      </c>
      <c r="Q76" s="5">
        <v>4635.0600000000004</v>
      </c>
      <c r="R76" s="3">
        <v>124</v>
      </c>
      <c r="S76" s="3"/>
      <c r="T76" s="3">
        <v>0</v>
      </c>
      <c r="U76" s="3" t="s">
        <v>8</v>
      </c>
      <c r="V76" s="5">
        <v>4635.0600000000004</v>
      </c>
      <c r="W76" s="5">
        <v>4635.0600000000004</v>
      </c>
      <c r="X76" s="3">
        <v>0</v>
      </c>
      <c r="Y76" s="3">
        <v>0</v>
      </c>
      <c r="Z76" s="3">
        <v>0</v>
      </c>
      <c r="AA76" s="5">
        <v>9270.1200000000008</v>
      </c>
      <c r="AC76" t="str">
        <f>[1]nedredc!$A$17</f>
        <v>03/03/2026</v>
      </c>
      <c r="AD76" t="str">
        <f>[1]nedredc!$B$17</f>
        <v>JCCM AGRI TRADING (PTY) LTD</v>
      </c>
      <c r="AE76" s="15">
        <f>[1]nedredc!$C$17</f>
        <v>4635.0600000000004</v>
      </c>
      <c r="AF76" s="25"/>
      <c r="AG76" s="19">
        <f>AE76</f>
        <v>4635.0600000000004</v>
      </c>
      <c r="AH76" s="3"/>
      <c r="AI76" s="3"/>
      <c r="AJ76" s="3"/>
      <c r="AK76" s="15">
        <f t="shared" si="13"/>
        <v>4635.0600000000004</v>
      </c>
      <c r="AL76" s="15">
        <f t="shared" si="14"/>
        <v>4635.0600000000004</v>
      </c>
      <c r="AM76">
        <v>4635.0600000000004</v>
      </c>
      <c r="AN76" s="15">
        <f t="shared" si="15"/>
        <v>0</v>
      </c>
    </row>
    <row r="77" spans="1:41" x14ac:dyDescent="0.25">
      <c r="A77" s="10" t="s">
        <v>383</v>
      </c>
      <c r="B77" s="10" t="s">
        <v>1046</v>
      </c>
      <c r="C77" s="3" t="s">
        <v>384</v>
      </c>
      <c r="D77" s="3" t="s">
        <v>385</v>
      </c>
      <c r="E77" s="3"/>
      <c r="F77" s="3" t="s">
        <v>386</v>
      </c>
      <c r="G77" s="3" t="s">
        <v>14</v>
      </c>
      <c r="H77" s="3" t="s">
        <v>6</v>
      </c>
      <c r="I77" s="3"/>
      <c r="J77" s="3" t="s">
        <v>387</v>
      </c>
      <c r="K77" s="3"/>
      <c r="L77" s="3"/>
      <c r="M77" s="3" t="s">
        <v>22</v>
      </c>
      <c r="N77" s="3"/>
      <c r="O77" s="3"/>
      <c r="P77" s="4">
        <v>46081</v>
      </c>
      <c r="Q77" s="5">
        <v>1730.75</v>
      </c>
      <c r="R77" s="3">
        <v>121</v>
      </c>
      <c r="S77" s="3"/>
      <c r="T77" s="3">
        <v>0</v>
      </c>
      <c r="U77" s="3" t="s">
        <v>8</v>
      </c>
      <c r="V77" s="5">
        <v>1730.75</v>
      </c>
      <c r="W77" s="3">
        <v>0</v>
      </c>
      <c r="X77" s="3">
        <v>0</v>
      </c>
      <c r="Y77" s="3">
        <v>0</v>
      </c>
      <c r="Z77" s="3">
        <v>0</v>
      </c>
      <c r="AA77" s="5">
        <v>1730.75</v>
      </c>
      <c r="AF77" s="25"/>
      <c r="AG77" s="18"/>
      <c r="AH77" s="3"/>
      <c r="AI77" s="3"/>
      <c r="AJ77" s="3"/>
      <c r="AK77" s="15">
        <f t="shared" si="13"/>
        <v>0</v>
      </c>
      <c r="AL77" s="15">
        <f t="shared" si="14"/>
        <v>1730.75</v>
      </c>
      <c r="AM77" s="15">
        <f>AL77</f>
        <v>1730.75</v>
      </c>
      <c r="AN77" s="15">
        <f t="shared" si="15"/>
        <v>0</v>
      </c>
    </row>
    <row r="78" spans="1:41" x14ac:dyDescent="0.25">
      <c r="A78" s="10">
        <v>1122</v>
      </c>
      <c r="B78" s="10" t="s">
        <v>1047</v>
      </c>
      <c r="C78" s="3" t="s">
        <v>388</v>
      </c>
      <c r="D78" s="3" t="s">
        <v>389</v>
      </c>
      <c r="E78" s="3" t="s">
        <v>390</v>
      </c>
      <c r="F78" s="3" t="s">
        <v>391</v>
      </c>
      <c r="G78" s="3" t="s">
        <v>14</v>
      </c>
      <c r="H78" s="3" t="s">
        <v>6</v>
      </c>
      <c r="I78" s="3" t="s">
        <v>15</v>
      </c>
      <c r="J78" s="3" t="s">
        <v>392</v>
      </c>
      <c r="K78" s="3"/>
      <c r="L78" s="3"/>
      <c r="M78" s="3" t="s">
        <v>22</v>
      </c>
      <c r="N78" s="3">
        <v>2710</v>
      </c>
      <c r="O78" s="3"/>
      <c r="P78" s="4">
        <v>46052</v>
      </c>
      <c r="Q78" s="5">
        <v>19251.919999999998</v>
      </c>
      <c r="R78" s="3">
        <v>217</v>
      </c>
      <c r="S78" s="3"/>
      <c r="T78" s="3">
        <v>0</v>
      </c>
      <c r="U78" s="3" t="s">
        <v>8</v>
      </c>
      <c r="V78" s="5">
        <v>19251.919999999998</v>
      </c>
      <c r="W78" s="5">
        <v>19251.919999999998</v>
      </c>
      <c r="X78" s="3">
        <v>0</v>
      </c>
      <c r="Y78" s="3">
        <v>0</v>
      </c>
      <c r="Z78" s="3">
        <v>0</v>
      </c>
      <c r="AA78" s="5">
        <v>38503.839999999997</v>
      </c>
      <c r="AC78" t="str">
        <f>[1]nedredc!$A$32</f>
        <v>03/03/2026</v>
      </c>
      <c r="AD78" t="e">
        <f>-[1]nedredc!$B$32</f>
        <v>#VALUE!</v>
      </c>
      <c r="AE78" s="15">
        <f>[1]nedredc!$C$32</f>
        <v>19251.919999999998</v>
      </c>
      <c r="AF78" s="25"/>
      <c r="AG78" s="19">
        <f>W78</f>
        <v>19251.919999999998</v>
      </c>
      <c r="AH78" s="3"/>
      <c r="AI78" s="3"/>
      <c r="AJ78" s="3"/>
      <c r="AK78" s="15">
        <f t="shared" si="13"/>
        <v>19251.919999999998</v>
      </c>
      <c r="AL78" s="15">
        <f t="shared" si="14"/>
        <v>19251.919999999998</v>
      </c>
      <c r="AM78">
        <v>19251.919999999998</v>
      </c>
      <c r="AN78" s="15">
        <f t="shared" si="15"/>
        <v>0</v>
      </c>
    </row>
    <row r="79" spans="1:41" x14ac:dyDescent="0.25">
      <c r="A79" s="10" t="s">
        <v>393</v>
      </c>
      <c r="B79" s="10" t="s">
        <v>1048</v>
      </c>
      <c r="C79" s="3" t="s">
        <v>394</v>
      </c>
      <c r="D79" s="3" t="s">
        <v>395</v>
      </c>
      <c r="E79" s="6" t="s">
        <v>396</v>
      </c>
      <c r="F79" s="3" t="s">
        <v>397</v>
      </c>
      <c r="G79" s="3" t="s">
        <v>14</v>
      </c>
      <c r="H79" s="3" t="s">
        <v>6</v>
      </c>
      <c r="I79" s="3" t="s">
        <v>15</v>
      </c>
      <c r="J79" s="3" t="s">
        <v>398</v>
      </c>
      <c r="K79" s="3"/>
      <c r="L79" s="3"/>
      <c r="M79" s="3"/>
      <c r="N79" s="6" t="s">
        <v>399</v>
      </c>
      <c r="O79" s="3"/>
      <c r="P79" s="4">
        <v>46081</v>
      </c>
      <c r="Q79" s="5">
        <v>476.54</v>
      </c>
      <c r="R79" s="3">
        <v>82</v>
      </c>
      <c r="S79" s="3"/>
      <c r="T79" s="3">
        <v>0</v>
      </c>
      <c r="U79" s="3" t="s">
        <v>8</v>
      </c>
      <c r="V79" s="5">
        <v>1467.84</v>
      </c>
      <c r="W79" s="3">
        <v>0</v>
      </c>
      <c r="X79" s="3">
        <v>0</v>
      </c>
      <c r="Y79" s="3">
        <v>0</v>
      </c>
      <c r="Z79" s="3">
        <v>0</v>
      </c>
      <c r="AA79" s="5">
        <v>1467.84</v>
      </c>
      <c r="AF79" s="25"/>
      <c r="AG79" s="18"/>
      <c r="AH79" s="3"/>
      <c r="AI79" s="3"/>
      <c r="AJ79" s="3"/>
      <c r="AK79" s="15">
        <f t="shared" si="13"/>
        <v>0</v>
      </c>
      <c r="AL79" s="15">
        <f t="shared" si="14"/>
        <v>1467.84</v>
      </c>
      <c r="AM79" s="15">
        <f>AL79</f>
        <v>1467.84</v>
      </c>
      <c r="AN79" s="15">
        <f t="shared" si="15"/>
        <v>0</v>
      </c>
    </row>
    <row r="80" spans="1:41" x14ac:dyDescent="0.25">
      <c r="A80" s="10" t="s">
        <v>400</v>
      </c>
      <c r="B80" s="10" t="s">
        <v>1049</v>
      </c>
      <c r="C80" s="3" t="s">
        <v>401</v>
      </c>
      <c r="D80" s="3" t="s">
        <v>402</v>
      </c>
      <c r="E80" s="6" t="s">
        <v>403</v>
      </c>
      <c r="F80" s="3" t="s">
        <v>404</v>
      </c>
      <c r="G80" s="3" t="s">
        <v>14</v>
      </c>
      <c r="H80" s="3" t="s">
        <v>6</v>
      </c>
      <c r="I80" s="3"/>
      <c r="J80" s="3" t="s">
        <v>405</v>
      </c>
      <c r="K80" s="3"/>
      <c r="L80" s="3"/>
      <c r="M80" s="3" t="s">
        <v>22</v>
      </c>
      <c r="N80" s="3"/>
      <c r="O80" s="3"/>
      <c r="P80" s="4">
        <v>46081</v>
      </c>
      <c r="Q80" s="5">
        <v>244.78</v>
      </c>
      <c r="R80" s="3">
        <v>49</v>
      </c>
      <c r="S80" s="3"/>
      <c r="T80" s="3">
        <v>0</v>
      </c>
      <c r="U80" s="3" t="s">
        <v>8</v>
      </c>
      <c r="V80" s="5">
        <v>244.78</v>
      </c>
      <c r="W80" s="3">
        <v>0</v>
      </c>
      <c r="X80" s="3">
        <v>0</v>
      </c>
      <c r="Y80" s="3">
        <v>0</v>
      </c>
      <c r="Z80" s="3">
        <v>0</v>
      </c>
      <c r="AA80" s="5">
        <v>244.78</v>
      </c>
      <c r="AF80" s="25"/>
      <c r="AG80" s="18"/>
      <c r="AH80" s="3"/>
      <c r="AI80" s="3"/>
      <c r="AJ80" s="3"/>
      <c r="AK80" s="15">
        <f t="shared" si="13"/>
        <v>0</v>
      </c>
      <c r="AL80" s="15">
        <f t="shared" si="14"/>
        <v>244.78</v>
      </c>
      <c r="AM80" s="15">
        <f>AL80</f>
        <v>244.78</v>
      </c>
      <c r="AN80" s="15">
        <f t="shared" si="15"/>
        <v>0</v>
      </c>
    </row>
    <row r="81" spans="1:40" x14ac:dyDescent="0.25">
      <c r="A81" s="10" t="s">
        <v>406</v>
      </c>
      <c r="B81" s="10"/>
      <c r="C81" s="3" t="s">
        <v>407</v>
      </c>
      <c r="D81" s="3" t="s">
        <v>408</v>
      </c>
      <c r="E81" s="3" t="s">
        <v>409</v>
      </c>
      <c r="F81" s="3" t="s">
        <v>410</v>
      </c>
      <c r="G81" s="3" t="s">
        <v>236</v>
      </c>
      <c r="H81" s="3" t="s">
        <v>6</v>
      </c>
      <c r="I81" s="3"/>
      <c r="J81" s="3" t="s">
        <v>411</v>
      </c>
      <c r="K81" s="3"/>
      <c r="L81" s="3"/>
      <c r="M81" s="3" t="s">
        <v>22</v>
      </c>
      <c r="N81" s="3"/>
      <c r="O81" s="3"/>
      <c r="P81" s="4">
        <v>45925</v>
      </c>
      <c r="Q81" s="5">
        <v>1000</v>
      </c>
      <c r="R81" s="3">
        <v>473</v>
      </c>
      <c r="S81" s="3"/>
      <c r="T81" s="3">
        <v>0</v>
      </c>
      <c r="U81" s="3" t="s">
        <v>8</v>
      </c>
      <c r="V81" s="3">
        <v>0</v>
      </c>
      <c r="W81" s="3">
        <v>0</v>
      </c>
      <c r="X81" s="3">
        <v>0</v>
      </c>
      <c r="Y81" s="3">
        <v>0</v>
      </c>
      <c r="Z81" s="5">
        <v>57222.48</v>
      </c>
      <c r="AA81" s="5">
        <v>57222.48</v>
      </c>
      <c r="AF81" s="25"/>
      <c r="AG81" s="18"/>
      <c r="AH81" s="3"/>
      <c r="AI81" s="3"/>
      <c r="AJ81" s="5"/>
      <c r="AK81" s="15">
        <f t="shared" si="13"/>
        <v>0</v>
      </c>
      <c r="AL81" s="15">
        <f t="shared" si="14"/>
        <v>57222.48</v>
      </c>
      <c r="AM81" s="15">
        <f>AL81</f>
        <v>57222.48</v>
      </c>
      <c r="AN81" s="15">
        <f t="shared" si="15"/>
        <v>0</v>
      </c>
    </row>
    <row r="82" spans="1:40" x14ac:dyDescent="0.25">
      <c r="A82" s="10" t="s">
        <v>412</v>
      </c>
      <c r="B82" s="10" t="s">
        <v>1050</v>
      </c>
      <c r="C82" s="3" t="s">
        <v>413</v>
      </c>
      <c r="D82" s="3" t="s">
        <v>414</v>
      </c>
      <c r="E82" s="6" t="s">
        <v>415</v>
      </c>
      <c r="F82" s="3" t="s">
        <v>416</v>
      </c>
      <c r="G82" s="3" t="s">
        <v>14</v>
      </c>
      <c r="H82" s="3" t="s">
        <v>6</v>
      </c>
      <c r="I82" s="3" t="s">
        <v>33</v>
      </c>
      <c r="J82" s="3" t="s">
        <v>417</v>
      </c>
      <c r="K82" s="3"/>
      <c r="L82" s="3"/>
      <c r="M82" s="3"/>
      <c r="N82" s="3">
        <v>2047</v>
      </c>
      <c r="O82" s="3"/>
      <c r="P82" s="4">
        <v>46057</v>
      </c>
      <c r="Q82" s="5">
        <v>11427.55</v>
      </c>
      <c r="R82" s="3">
        <v>476</v>
      </c>
      <c r="S82" s="3"/>
      <c r="T82" s="3">
        <v>0</v>
      </c>
      <c r="U82" s="3" t="s">
        <v>8</v>
      </c>
      <c r="V82" s="5">
        <v>11486.2</v>
      </c>
      <c r="W82" s="5">
        <v>11083.7</v>
      </c>
      <c r="X82" s="3">
        <v>0</v>
      </c>
      <c r="Y82" s="3">
        <v>0</v>
      </c>
      <c r="Z82" s="3">
        <v>0</v>
      </c>
      <c r="AA82" s="5">
        <v>22569.9</v>
      </c>
      <c r="AC82" t="str">
        <f>[1]nedredc!$A$23</f>
        <v>04/03/2026</v>
      </c>
      <c r="AD82" t="str">
        <f>[1]nedredc!$B$23</f>
        <v>110038 - Kargo International L</v>
      </c>
      <c r="AE82" s="15">
        <f>[1]nedredc!$C$23</f>
        <v>11083.7</v>
      </c>
      <c r="AF82" s="25"/>
      <c r="AG82" s="19">
        <f>W82</f>
        <v>11083.7</v>
      </c>
      <c r="AH82" s="3"/>
      <c r="AI82" s="3"/>
      <c r="AJ82" s="3"/>
      <c r="AK82" s="15">
        <f t="shared" si="13"/>
        <v>11083.7</v>
      </c>
      <c r="AL82" s="15">
        <f t="shared" si="14"/>
        <v>11486.2</v>
      </c>
      <c r="AM82">
        <v>11486.2</v>
      </c>
      <c r="AN82" s="15">
        <f t="shared" si="15"/>
        <v>0</v>
      </c>
    </row>
    <row r="83" spans="1:40" x14ac:dyDescent="0.25">
      <c r="A83" s="10" t="s">
        <v>418</v>
      </c>
      <c r="B83" s="10" t="s">
        <v>1051</v>
      </c>
      <c r="C83" s="3" t="s">
        <v>419</v>
      </c>
      <c r="D83" s="3" t="s">
        <v>420</v>
      </c>
      <c r="E83" s="3" t="s">
        <v>421</v>
      </c>
      <c r="F83" s="3" t="s">
        <v>422</v>
      </c>
      <c r="G83" s="3" t="s">
        <v>14</v>
      </c>
      <c r="H83" s="3" t="s">
        <v>6</v>
      </c>
      <c r="I83" s="3" t="s">
        <v>33</v>
      </c>
      <c r="J83" s="3" t="s">
        <v>417</v>
      </c>
      <c r="K83" s="3"/>
      <c r="L83" s="3"/>
      <c r="M83" s="3"/>
      <c r="N83" s="3">
        <v>2047</v>
      </c>
      <c r="O83" s="3"/>
      <c r="P83" s="4">
        <v>46057</v>
      </c>
      <c r="Q83" s="5">
        <v>26781.200000000001</v>
      </c>
      <c r="R83" s="3">
        <v>398</v>
      </c>
      <c r="S83" s="3"/>
      <c r="T83" s="3">
        <v>0</v>
      </c>
      <c r="U83" s="3" t="s">
        <v>8</v>
      </c>
      <c r="V83" s="5">
        <v>21683.25</v>
      </c>
      <c r="W83" s="5">
        <v>19520.099999999999</v>
      </c>
      <c r="X83" s="3">
        <v>0</v>
      </c>
      <c r="Y83" s="3">
        <v>0</v>
      </c>
      <c r="Z83" s="5">
        <v>-0.01</v>
      </c>
      <c r="AA83" s="5">
        <v>41203.339999999997</v>
      </c>
      <c r="AC83" t="str">
        <f>[1]nedredc!$A$31</f>
        <v>04/03/2026</v>
      </c>
      <c r="AD83" t="str">
        <f>[1]nedredc!$B$31</f>
        <v>110090 - Kargo Long Distance (</v>
      </c>
      <c r="AE83" s="15">
        <f>[1]nedredc!$C$31</f>
        <v>18247.05</v>
      </c>
      <c r="AF83" s="25"/>
      <c r="AG83" s="19">
        <f>W83</f>
        <v>19520.099999999999</v>
      </c>
      <c r="AH83" s="3"/>
      <c r="AI83" s="3"/>
      <c r="AJ83" s="5"/>
      <c r="AK83" s="15">
        <f t="shared" si="13"/>
        <v>19520.099999999999</v>
      </c>
      <c r="AL83" s="15">
        <f t="shared" si="14"/>
        <v>21683.239999999998</v>
      </c>
      <c r="AM83">
        <v>24163.79</v>
      </c>
      <c r="AN83" s="15">
        <f t="shared" si="15"/>
        <v>-2480.5500000000029</v>
      </c>
    </row>
    <row r="84" spans="1:40" x14ac:dyDescent="0.25">
      <c r="A84" s="10" t="s">
        <v>423</v>
      </c>
      <c r="B84" s="10" t="s">
        <v>1052</v>
      </c>
      <c r="C84" s="3" t="s">
        <v>424</v>
      </c>
      <c r="D84" s="3" t="s">
        <v>425</v>
      </c>
      <c r="E84" s="6" t="s">
        <v>415</v>
      </c>
      <c r="F84" s="3" t="s">
        <v>426</v>
      </c>
      <c r="G84" s="3" t="s">
        <v>14</v>
      </c>
      <c r="H84" s="3" t="s">
        <v>6</v>
      </c>
      <c r="I84" s="3" t="s">
        <v>33</v>
      </c>
      <c r="J84" s="3" t="s">
        <v>417</v>
      </c>
      <c r="K84" s="3"/>
      <c r="L84" s="3"/>
      <c r="M84" s="3"/>
      <c r="N84" s="3">
        <v>2047</v>
      </c>
      <c r="O84" s="3"/>
      <c r="P84" s="4">
        <v>46057</v>
      </c>
      <c r="Q84" s="5">
        <v>34861.97</v>
      </c>
      <c r="R84" s="3">
        <v>1067</v>
      </c>
      <c r="S84" s="3"/>
      <c r="T84" s="3">
        <v>0</v>
      </c>
      <c r="U84" s="3" t="s">
        <v>8</v>
      </c>
      <c r="V84" s="5">
        <v>46503.96</v>
      </c>
      <c r="W84" s="5">
        <v>36516.94</v>
      </c>
      <c r="X84" s="5">
        <v>5738.17</v>
      </c>
      <c r="Y84" s="3">
        <v>0</v>
      </c>
      <c r="Z84" s="5">
        <v>-1.38</v>
      </c>
      <c r="AA84" s="5">
        <v>88757.69</v>
      </c>
      <c r="AC84" t="str">
        <f>[1]nedredc!$A$20</f>
        <v>04/03/2026</v>
      </c>
      <c r="AD84" t="str">
        <f>[1]nedredc!$B$20</f>
        <v>109899 - Kargo National (Pty)</v>
      </c>
      <c r="AE84" s="28">
        <f>[1]nedredc!$C$20</f>
        <v>6082.02</v>
      </c>
      <c r="AF84" s="25"/>
      <c r="AG84" s="19">
        <f>AE84+AE85-AH84</f>
        <v>36860.790000000008</v>
      </c>
      <c r="AH84" s="5">
        <f>X84</f>
        <v>5738.17</v>
      </c>
      <c r="AI84" s="3"/>
      <c r="AJ84" s="5"/>
      <c r="AK84" s="15">
        <f t="shared" si="13"/>
        <v>42598.960000000006</v>
      </c>
      <c r="AL84" s="15">
        <f t="shared" si="14"/>
        <v>46158.729999999996</v>
      </c>
      <c r="AM84">
        <v>46158.73</v>
      </c>
      <c r="AN84" s="15">
        <f t="shared" si="15"/>
        <v>0</v>
      </c>
    </row>
    <row r="85" spans="1:40" x14ac:dyDescent="0.25">
      <c r="A85" s="10"/>
      <c r="B85" s="10"/>
      <c r="C85" s="3"/>
      <c r="D85" s="3"/>
      <c r="E85" s="6"/>
      <c r="F85" s="3"/>
      <c r="G85" s="3"/>
      <c r="H85" s="3"/>
      <c r="I85" s="3"/>
      <c r="J85" s="3"/>
      <c r="K85" s="3"/>
      <c r="L85" s="3"/>
      <c r="M85" s="3"/>
      <c r="N85" s="3"/>
      <c r="O85" s="3"/>
      <c r="P85" s="4"/>
      <c r="Q85" s="5"/>
      <c r="R85" s="3"/>
      <c r="S85" s="3"/>
      <c r="T85" s="3"/>
      <c r="U85" s="3"/>
      <c r="V85" s="5"/>
      <c r="W85" s="5"/>
      <c r="X85" s="5"/>
      <c r="Y85" s="3"/>
      <c r="Z85" s="5"/>
      <c r="AA85" s="5"/>
      <c r="AC85" t="str">
        <f>[1]nedredc!$A$38</f>
        <v>04/03/2026</v>
      </c>
      <c r="AD85" t="str">
        <f>[1]nedredc!$B$38</f>
        <v>109898 - Kargo National (Pty)</v>
      </c>
      <c r="AE85" s="28">
        <f>[1]nedredc!$C$38</f>
        <v>36516.94</v>
      </c>
      <c r="AF85" s="25"/>
      <c r="AG85" s="19"/>
      <c r="AH85" s="5"/>
      <c r="AI85" s="3"/>
      <c r="AJ85" s="5"/>
      <c r="AK85" s="15"/>
      <c r="AL85" s="15"/>
      <c r="AN85" s="15"/>
    </row>
    <row r="86" spans="1:40" x14ac:dyDescent="0.25">
      <c r="A86" s="10" t="s">
        <v>427</v>
      </c>
      <c r="B86" s="10" t="s">
        <v>1053</v>
      </c>
      <c r="C86" s="3" t="s">
        <v>428</v>
      </c>
      <c r="D86" s="3" t="s">
        <v>429</v>
      </c>
      <c r="E86" s="3" t="s">
        <v>430</v>
      </c>
      <c r="F86" s="3" t="s">
        <v>431</v>
      </c>
      <c r="G86" s="3" t="s">
        <v>14</v>
      </c>
      <c r="H86" s="3"/>
      <c r="I86" s="3" t="s">
        <v>33</v>
      </c>
      <c r="J86" s="3" t="s">
        <v>432</v>
      </c>
      <c r="K86" s="3"/>
      <c r="L86" s="3"/>
      <c r="M86" s="3"/>
      <c r="N86" s="3"/>
      <c r="O86" s="3"/>
      <c r="P86" s="4">
        <v>46046</v>
      </c>
      <c r="Q86" s="5">
        <v>637.30999999999995</v>
      </c>
      <c r="R86" s="3">
        <v>102</v>
      </c>
      <c r="S86" s="3"/>
      <c r="T86" s="3">
        <v>0</v>
      </c>
      <c r="U86" s="3" t="s">
        <v>8</v>
      </c>
      <c r="V86" s="16">
        <v>637.30999999999995</v>
      </c>
      <c r="W86" s="3">
        <v>0</v>
      </c>
      <c r="X86" s="3">
        <v>0</v>
      </c>
      <c r="Y86" s="3">
        <v>0</v>
      </c>
      <c r="Z86" s="3">
        <v>0.31</v>
      </c>
      <c r="AA86" s="5">
        <v>637.62</v>
      </c>
      <c r="AC86" t="str">
        <f>[1]nedredc!$A$5</f>
        <v>05/03/2026</v>
      </c>
      <c r="AD86" t="str">
        <f>[1]nedredc!$B$5</f>
        <v>ABSA BANK KN001 / 117973</v>
      </c>
      <c r="AE86" s="17">
        <f>[1]nedredc!$C$5</f>
        <v>637.30999999999995</v>
      </c>
      <c r="AF86" s="26">
        <f>AE86</f>
        <v>637.30999999999995</v>
      </c>
      <c r="AG86" s="18"/>
      <c r="AH86" s="3"/>
      <c r="AI86" s="3"/>
      <c r="AJ86" s="3"/>
      <c r="AK86" s="15">
        <f t="shared" si="13"/>
        <v>637.30999999999995</v>
      </c>
      <c r="AL86" s="15">
        <f t="shared" si="14"/>
        <v>0.31000000000005912</v>
      </c>
      <c r="AM86">
        <v>0.31</v>
      </c>
      <c r="AN86" s="15">
        <f t="shared" si="15"/>
        <v>5.9119376061289586E-14</v>
      </c>
    </row>
    <row r="87" spans="1:40" x14ac:dyDescent="0.25">
      <c r="A87" s="10" t="s">
        <v>433</v>
      </c>
      <c r="B87" s="10" t="s">
        <v>1054</v>
      </c>
      <c r="C87" s="3" t="s">
        <v>434</v>
      </c>
      <c r="D87" s="3" t="s">
        <v>435</v>
      </c>
      <c r="E87" s="3" t="s">
        <v>436</v>
      </c>
      <c r="F87" s="3" t="s">
        <v>437</v>
      </c>
      <c r="G87" s="3" t="s">
        <v>14</v>
      </c>
      <c r="H87" s="3"/>
      <c r="I87" s="3" t="s">
        <v>15</v>
      </c>
      <c r="J87" s="3" t="s">
        <v>438</v>
      </c>
      <c r="K87" s="3"/>
      <c r="L87" s="3"/>
      <c r="M87" s="3"/>
      <c r="N87" s="3">
        <v>1402</v>
      </c>
      <c r="O87" s="3"/>
      <c r="P87" s="4">
        <v>46060</v>
      </c>
      <c r="Q87" s="5">
        <v>2725.96</v>
      </c>
      <c r="R87" s="3">
        <v>154</v>
      </c>
      <c r="S87" s="3"/>
      <c r="T87" s="3">
        <v>0</v>
      </c>
      <c r="U87" s="3" t="s">
        <v>8</v>
      </c>
      <c r="V87" s="5">
        <v>2725.96</v>
      </c>
      <c r="W87" s="16">
        <v>2725.96</v>
      </c>
      <c r="X87" s="3">
        <v>0</v>
      </c>
      <c r="Y87" s="3">
        <v>0</v>
      </c>
      <c r="Z87" s="3">
        <v>0</v>
      </c>
      <c r="AA87" s="5">
        <v>5451.92</v>
      </c>
      <c r="AC87" t="str">
        <f>[1]nedredc!$A$13</f>
        <v>07/03/2026</v>
      </c>
      <c r="AD87" t="str">
        <f>[1]nedredc!$B$13</f>
        <v>KENBERT</v>
      </c>
      <c r="AE87" s="17">
        <f>[1]nedredc!$C$13</f>
        <v>2725.96</v>
      </c>
      <c r="AF87" s="25"/>
      <c r="AG87" s="19">
        <f>AE87</f>
        <v>2725.96</v>
      </c>
      <c r="AH87" s="3"/>
      <c r="AI87" s="3"/>
      <c r="AJ87" s="3"/>
      <c r="AK87" s="15">
        <f t="shared" si="13"/>
        <v>2725.96</v>
      </c>
      <c r="AL87" s="15">
        <f t="shared" si="14"/>
        <v>2725.96</v>
      </c>
      <c r="AM87">
        <v>2725.96</v>
      </c>
      <c r="AN87" s="15">
        <f>AL87-AM87</f>
        <v>0</v>
      </c>
    </row>
    <row r="88" spans="1:40" x14ac:dyDescent="0.25">
      <c r="A88" s="10">
        <v>1134</v>
      </c>
      <c r="B88" s="10" t="s">
        <v>1055</v>
      </c>
      <c r="C88" s="3" t="s">
        <v>439</v>
      </c>
      <c r="D88" s="3"/>
      <c r="E88" s="3" t="s">
        <v>440</v>
      </c>
      <c r="F88" s="3" t="s">
        <v>441</v>
      </c>
      <c r="G88" s="3" t="s">
        <v>14</v>
      </c>
      <c r="H88" s="3" t="s">
        <v>6</v>
      </c>
      <c r="I88" s="3" t="s">
        <v>15</v>
      </c>
      <c r="J88" s="3" t="s">
        <v>442</v>
      </c>
      <c r="K88" s="3"/>
      <c r="L88" s="3"/>
      <c r="M88" s="3" t="s">
        <v>22</v>
      </c>
      <c r="N88" s="3"/>
      <c r="O88" s="3"/>
      <c r="P88" s="4">
        <v>46053</v>
      </c>
      <c r="Q88" s="5">
        <v>28723.53</v>
      </c>
      <c r="R88" s="3">
        <v>110</v>
      </c>
      <c r="S88" s="3"/>
      <c r="T88" s="3">
        <v>0</v>
      </c>
      <c r="U88" s="3" t="s">
        <v>8</v>
      </c>
      <c r="V88" s="5">
        <v>28838.53</v>
      </c>
      <c r="W88" s="5">
        <v>28723.53</v>
      </c>
      <c r="X88" s="3">
        <v>0</v>
      </c>
      <c r="Y88" s="3">
        <v>0</v>
      </c>
      <c r="Z88" s="3">
        <v>0</v>
      </c>
      <c r="AA88" s="5">
        <v>57562.06</v>
      </c>
      <c r="AC88" t="str">
        <f>[1]nedredc!$A$36</f>
        <v>03/03/2026</v>
      </c>
      <c r="AD88" t="str">
        <f>[1]nedredc!$B$36</f>
        <v>KERIZZMA STEEL (PTY) LTD</v>
      </c>
      <c r="AE88" s="15">
        <f>[1]nedredc!$C$36</f>
        <v>28723.53</v>
      </c>
      <c r="AF88" s="25"/>
      <c r="AG88" s="19">
        <f>AE88</f>
        <v>28723.53</v>
      </c>
      <c r="AH88" s="3"/>
      <c r="AI88" s="3"/>
      <c r="AJ88" s="3"/>
      <c r="AK88" s="15">
        <f t="shared" si="13"/>
        <v>28723.53</v>
      </c>
      <c r="AL88" s="15">
        <f t="shared" si="14"/>
        <v>28838.53</v>
      </c>
      <c r="AM88">
        <v>28838.53</v>
      </c>
      <c r="AN88" s="15">
        <f t="shared" ref="AN88:AN152" si="16">AL88-AM88</f>
        <v>0</v>
      </c>
    </row>
    <row r="89" spans="1:40" x14ac:dyDescent="0.25">
      <c r="A89" s="10" t="s">
        <v>443</v>
      </c>
      <c r="B89" s="10" t="s">
        <v>1056</v>
      </c>
      <c r="C89" s="3" t="s">
        <v>444</v>
      </c>
      <c r="D89" s="3" t="s">
        <v>445</v>
      </c>
      <c r="E89" s="3"/>
      <c r="F89" s="3" t="s">
        <v>446</v>
      </c>
      <c r="G89" s="3" t="s">
        <v>14</v>
      </c>
      <c r="H89" s="3" t="s">
        <v>6</v>
      </c>
      <c r="I89" s="3"/>
      <c r="J89" s="3" t="s">
        <v>447</v>
      </c>
      <c r="K89" s="3"/>
      <c r="L89" s="3"/>
      <c r="M89" s="3" t="s">
        <v>22</v>
      </c>
      <c r="N89" s="3"/>
      <c r="O89" s="3"/>
      <c r="P89" s="4">
        <v>45663</v>
      </c>
      <c r="Q89" s="5">
        <v>4600</v>
      </c>
      <c r="R89" s="3">
        <v>95</v>
      </c>
      <c r="S89" s="3"/>
      <c r="T89" s="3">
        <v>0</v>
      </c>
      <c r="U89" s="3" t="s">
        <v>8</v>
      </c>
      <c r="V89" s="5">
        <v>7337</v>
      </c>
      <c r="W89" s="3">
        <v>0</v>
      </c>
      <c r="X89" s="3">
        <v>0</v>
      </c>
      <c r="Y89" s="3">
        <v>0</v>
      </c>
      <c r="Z89" s="3">
        <v>0</v>
      </c>
      <c r="AA89" s="5">
        <v>7337</v>
      </c>
      <c r="AF89" s="25"/>
      <c r="AG89" s="18"/>
      <c r="AH89" s="3"/>
      <c r="AI89" s="3"/>
      <c r="AJ89" s="3"/>
      <c r="AK89" s="15">
        <f t="shared" si="13"/>
        <v>0</v>
      </c>
      <c r="AL89" s="15">
        <f t="shared" si="14"/>
        <v>7337</v>
      </c>
      <c r="AM89" s="15">
        <f>AL89</f>
        <v>7337</v>
      </c>
      <c r="AN89" s="15">
        <f t="shared" si="16"/>
        <v>0</v>
      </c>
    </row>
    <row r="90" spans="1:40" x14ac:dyDescent="0.25">
      <c r="A90" s="10" t="s">
        <v>448</v>
      </c>
      <c r="B90" s="10" t="s">
        <v>1057</v>
      </c>
      <c r="C90" s="3" t="s">
        <v>449</v>
      </c>
      <c r="D90" s="3" t="s">
        <v>450</v>
      </c>
      <c r="E90" s="6" t="s">
        <v>451</v>
      </c>
      <c r="F90" s="3" t="s">
        <v>452</v>
      </c>
      <c r="G90" s="3" t="s">
        <v>14</v>
      </c>
      <c r="H90" s="3" t="s">
        <v>6</v>
      </c>
      <c r="I90" s="3" t="s">
        <v>15</v>
      </c>
      <c r="J90" s="3" t="s">
        <v>453</v>
      </c>
      <c r="K90" s="3"/>
      <c r="L90" s="3"/>
      <c r="M90" s="3" t="s">
        <v>22</v>
      </c>
      <c r="N90" s="3"/>
      <c r="O90" s="3"/>
      <c r="P90" s="4">
        <v>46060</v>
      </c>
      <c r="Q90" s="5">
        <v>2561.11</v>
      </c>
      <c r="R90" s="3">
        <v>230</v>
      </c>
      <c r="S90" s="3"/>
      <c r="T90" s="3">
        <v>0</v>
      </c>
      <c r="U90" s="3" t="s">
        <v>8</v>
      </c>
      <c r="V90" s="5">
        <v>2714.77</v>
      </c>
      <c r="W90" s="5">
        <v>2714.77</v>
      </c>
      <c r="X90" s="16">
        <v>2561.11</v>
      </c>
      <c r="Y90" s="3">
        <v>0</v>
      </c>
      <c r="Z90" s="3">
        <v>0</v>
      </c>
      <c r="AA90" s="5">
        <v>7990.65</v>
      </c>
      <c r="AC90" t="str">
        <f>[1]nedredc!$A$12</f>
        <v>07/03/2026</v>
      </c>
      <c r="AD90" t="str">
        <f>[1]nedredc!$B$12</f>
        <v>LECE</v>
      </c>
      <c r="AE90" s="17">
        <f>[1]nedredc!$C$12</f>
        <v>2561.11</v>
      </c>
      <c r="AF90" s="25"/>
      <c r="AG90" s="19"/>
      <c r="AH90" s="5">
        <f>AE90</f>
        <v>2561.11</v>
      </c>
      <c r="AI90" s="3"/>
      <c r="AJ90" s="3"/>
      <c r="AK90" s="15">
        <f t="shared" si="13"/>
        <v>2561.11</v>
      </c>
      <c r="AL90" s="15">
        <f t="shared" si="14"/>
        <v>5429.5399999999991</v>
      </c>
      <c r="AM90" s="15">
        <f>AL90</f>
        <v>5429.5399999999991</v>
      </c>
      <c r="AN90" s="15">
        <f t="shared" si="16"/>
        <v>0</v>
      </c>
    </row>
    <row r="91" spans="1:40" x14ac:dyDescent="0.25">
      <c r="A91" s="10" t="s">
        <v>454</v>
      </c>
      <c r="B91" s="10"/>
      <c r="C91" s="3" t="s">
        <v>455</v>
      </c>
      <c r="D91" s="3" t="s">
        <v>456</v>
      </c>
      <c r="E91" s="3" t="s">
        <v>457</v>
      </c>
      <c r="F91" s="3" t="s">
        <v>458</v>
      </c>
      <c r="G91" s="3" t="s">
        <v>249</v>
      </c>
      <c r="H91" s="3" t="s">
        <v>6</v>
      </c>
      <c r="I91" s="3"/>
      <c r="J91" s="3" t="s">
        <v>459</v>
      </c>
      <c r="K91" s="3"/>
      <c r="L91" s="3"/>
      <c r="M91" s="3"/>
      <c r="N91" s="6" t="s">
        <v>460</v>
      </c>
      <c r="O91" s="3"/>
      <c r="P91" s="4">
        <v>45811</v>
      </c>
      <c r="Q91" s="5">
        <v>758.65</v>
      </c>
      <c r="R91" s="3">
        <v>17</v>
      </c>
      <c r="S91" s="3"/>
      <c r="T91" s="3">
        <v>0</v>
      </c>
      <c r="U91" s="3" t="s">
        <v>8</v>
      </c>
      <c r="V91" s="3">
        <v>0</v>
      </c>
      <c r="W91" s="3">
        <v>0</v>
      </c>
      <c r="X91" s="3">
        <v>0</v>
      </c>
      <c r="Y91" s="3">
        <v>0</v>
      </c>
      <c r="Z91" s="5">
        <v>-758.66</v>
      </c>
      <c r="AA91" s="5">
        <v>-758.66</v>
      </c>
      <c r="AF91" s="25"/>
      <c r="AG91" s="18"/>
      <c r="AH91" s="3"/>
      <c r="AI91" s="3"/>
      <c r="AJ91" s="5"/>
      <c r="AK91" s="15">
        <f t="shared" si="13"/>
        <v>0</v>
      </c>
      <c r="AL91" s="15">
        <f t="shared" si="14"/>
        <v>-758.66</v>
      </c>
      <c r="AN91" s="15">
        <f t="shared" si="16"/>
        <v>-758.66</v>
      </c>
    </row>
    <row r="92" spans="1:40" x14ac:dyDescent="0.25">
      <c r="A92" s="10">
        <v>1133</v>
      </c>
      <c r="B92" s="10" t="s">
        <v>1058</v>
      </c>
      <c r="C92" s="3" t="s">
        <v>461</v>
      </c>
      <c r="D92" s="3" t="s">
        <v>462</v>
      </c>
      <c r="E92" s="6" t="s">
        <v>463</v>
      </c>
      <c r="F92" s="3" t="s">
        <v>464</v>
      </c>
      <c r="G92" s="3" t="s">
        <v>14</v>
      </c>
      <c r="H92" s="3" t="s">
        <v>6</v>
      </c>
      <c r="I92" s="3" t="s">
        <v>15</v>
      </c>
      <c r="J92" s="3" t="s">
        <v>465</v>
      </c>
      <c r="K92" s="3"/>
      <c r="L92" s="3"/>
      <c r="M92" s="3" t="s">
        <v>22</v>
      </c>
      <c r="N92" s="3"/>
      <c r="O92" s="3"/>
      <c r="P92" s="4">
        <v>46052</v>
      </c>
      <c r="Q92" s="5">
        <v>10102.219999999999</v>
      </c>
      <c r="R92" s="3">
        <v>129</v>
      </c>
      <c r="S92" s="3"/>
      <c r="T92" s="3">
        <v>0</v>
      </c>
      <c r="U92" s="3" t="s">
        <v>8</v>
      </c>
      <c r="V92" s="5">
        <v>10102.219999999999</v>
      </c>
      <c r="W92" s="3">
        <v>0</v>
      </c>
      <c r="X92" s="3">
        <v>0</v>
      </c>
      <c r="Y92" s="3">
        <v>0</v>
      </c>
      <c r="Z92" s="3">
        <v>0</v>
      </c>
      <c r="AA92" s="5">
        <v>10102.219999999999</v>
      </c>
      <c r="AC92" t="str">
        <f>[1]nedredc!$A$21</f>
        <v>03/03/2026</v>
      </c>
      <c r="AD92" t="str">
        <f>[1]nedredc!$B$21</f>
        <v>LEBONE 11 COLLEGE</v>
      </c>
      <c r="AE92" s="15">
        <f>[1]nedredc!$C$21</f>
        <v>10102.219999999999</v>
      </c>
      <c r="AF92" s="26">
        <f>V92</f>
        <v>10102.219999999999</v>
      </c>
      <c r="AG92" s="18"/>
      <c r="AH92" s="3"/>
      <c r="AI92" s="3"/>
      <c r="AJ92" s="3"/>
      <c r="AK92" s="15">
        <f t="shared" si="13"/>
        <v>10102.219999999999</v>
      </c>
      <c r="AL92" s="15">
        <f t="shared" si="14"/>
        <v>0</v>
      </c>
      <c r="AM92">
        <v>0</v>
      </c>
      <c r="AN92" s="15">
        <f t="shared" si="16"/>
        <v>0</v>
      </c>
    </row>
    <row r="93" spans="1:40" x14ac:dyDescent="0.25">
      <c r="A93" s="10" t="s">
        <v>466</v>
      </c>
      <c r="B93" s="10" t="s">
        <v>1059</v>
      </c>
      <c r="C93" s="3" t="s">
        <v>467</v>
      </c>
      <c r="D93" s="3" t="s">
        <v>468</v>
      </c>
      <c r="E93" s="3" t="s">
        <v>469</v>
      </c>
      <c r="F93" s="3" t="s">
        <v>470</v>
      </c>
      <c r="G93" s="3" t="s">
        <v>14</v>
      </c>
      <c r="H93" s="3" t="s">
        <v>6</v>
      </c>
      <c r="I93" s="3"/>
      <c r="J93" s="3" t="s">
        <v>471</v>
      </c>
      <c r="K93" s="3"/>
      <c r="L93" s="3"/>
      <c r="M93" s="3" t="s">
        <v>22</v>
      </c>
      <c r="N93" s="3"/>
      <c r="O93" s="3"/>
      <c r="P93" s="4">
        <v>46081</v>
      </c>
      <c r="Q93" s="5">
        <v>1025.06</v>
      </c>
      <c r="R93" s="3">
        <v>51</v>
      </c>
      <c r="S93" s="3"/>
      <c r="T93" s="3">
        <v>0</v>
      </c>
      <c r="U93" s="3" t="s">
        <v>8</v>
      </c>
      <c r="V93" s="5">
        <v>646.30999999999995</v>
      </c>
      <c r="W93" s="3">
        <v>0</v>
      </c>
      <c r="X93" s="3">
        <v>0</v>
      </c>
      <c r="Y93" s="3">
        <v>0</v>
      </c>
      <c r="Z93" s="3">
        <v>0</v>
      </c>
      <c r="AA93" s="5">
        <v>646.30999999999995</v>
      </c>
      <c r="AF93" s="25"/>
      <c r="AG93" s="18"/>
      <c r="AH93" s="3"/>
      <c r="AI93" s="3"/>
      <c r="AJ93" s="3"/>
      <c r="AK93" s="15">
        <f t="shared" si="13"/>
        <v>0</v>
      </c>
      <c r="AL93" s="15">
        <f t="shared" si="14"/>
        <v>646.30999999999995</v>
      </c>
      <c r="AM93" s="15">
        <f>AL93</f>
        <v>646.30999999999995</v>
      </c>
      <c r="AN93" s="15">
        <f t="shared" si="16"/>
        <v>0</v>
      </c>
    </row>
    <row r="94" spans="1:40" x14ac:dyDescent="0.25">
      <c r="A94" s="10" t="s">
        <v>472</v>
      </c>
      <c r="B94" s="10" t="s">
        <v>1060</v>
      </c>
      <c r="C94" s="3" t="s">
        <v>473</v>
      </c>
      <c r="D94" s="3" t="s">
        <v>474</v>
      </c>
      <c r="E94" s="3" t="s">
        <v>475</v>
      </c>
      <c r="F94" s="3" t="s">
        <v>476</v>
      </c>
      <c r="G94" s="3" t="s">
        <v>14</v>
      </c>
      <c r="H94" s="3" t="s">
        <v>6</v>
      </c>
      <c r="I94" s="3" t="s">
        <v>15</v>
      </c>
      <c r="J94" s="3" t="s">
        <v>477</v>
      </c>
      <c r="K94" s="3"/>
      <c r="L94" s="3"/>
      <c r="M94" s="3"/>
      <c r="N94" s="3"/>
      <c r="O94" s="3"/>
      <c r="P94" s="4">
        <v>46081</v>
      </c>
      <c r="Q94" s="5">
        <v>358.59</v>
      </c>
      <c r="R94" s="3">
        <v>40</v>
      </c>
      <c r="S94" s="3"/>
      <c r="T94" s="3">
        <v>0</v>
      </c>
      <c r="U94" s="3" t="s">
        <v>8</v>
      </c>
      <c r="V94" s="5">
        <v>358.59</v>
      </c>
      <c r="W94" s="3">
        <v>0</v>
      </c>
      <c r="X94" s="3">
        <v>0</v>
      </c>
      <c r="Y94" s="3">
        <v>0</v>
      </c>
      <c r="Z94" s="3">
        <v>0</v>
      </c>
      <c r="AA94" s="5">
        <v>358.59</v>
      </c>
      <c r="AF94" s="25"/>
      <c r="AG94" s="18"/>
      <c r="AH94" s="3"/>
      <c r="AI94" s="3"/>
      <c r="AJ94" s="3"/>
      <c r="AK94" s="15">
        <f t="shared" si="13"/>
        <v>0</v>
      </c>
      <c r="AL94" s="15">
        <f t="shared" si="14"/>
        <v>358.59</v>
      </c>
      <c r="AM94" s="15">
        <f>AL94</f>
        <v>358.59</v>
      </c>
      <c r="AN94" s="15">
        <f t="shared" si="16"/>
        <v>0</v>
      </c>
    </row>
    <row r="95" spans="1:40" x14ac:dyDescent="0.25">
      <c r="A95" s="10" t="s">
        <v>478</v>
      </c>
      <c r="B95" s="10" t="s">
        <v>1061</v>
      </c>
      <c r="C95" s="3" t="s">
        <v>479</v>
      </c>
      <c r="D95" s="3" t="s">
        <v>480</v>
      </c>
      <c r="E95" s="3" t="s">
        <v>481</v>
      </c>
      <c r="F95" s="3" t="s">
        <v>482</v>
      </c>
      <c r="G95" s="3" t="s">
        <v>14</v>
      </c>
      <c r="H95" s="3" t="s">
        <v>6</v>
      </c>
      <c r="I95" s="3" t="s">
        <v>33</v>
      </c>
      <c r="J95" s="3" t="s">
        <v>483</v>
      </c>
      <c r="K95" s="3"/>
      <c r="L95" s="3"/>
      <c r="M95" s="3"/>
      <c r="N95" s="3">
        <v>1600</v>
      </c>
      <c r="O95" s="3"/>
      <c r="P95" s="4">
        <v>46080</v>
      </c>
      <c r="Q95" s="5">
        <v>17493.34</v>
      </c>
      <c r="R95" s="3">
        <v>555</v>
      </c>
      <c r="S95" s="3"/>
      <c r="T95" s="3">
        <v>0</v>
      </c>
      <c r="U95" s="3" t="s">
        <v>8</v>
      </c>
      <c r="V95" s="5">
        <v>17493.34</v>
      </c>
      <c r="W95" s="3">
        <v>0</v>
      </c>
      <c r="X95" s="3">
        <v>0</v>
      </c>
      <c r="Y95" s="3">
        <v>0</v>
      </c>
      <c r="Z95" s="3">
        <v>0</v>
      </c>
      <c r="AA95" s="5">
        <v>17493.34</v>
      </c>
      <c r="AC95" t="str">
        <f>[1]nedredc!$A$30</f>
        <v>30/03/2026</v>
      </c>
      <c r="AD95" t="str">
        <f>[1]nedredc!$B$30</f>
        <v>LTS BULK KENZAM TRANSPORT</v>
      </c>
      <c r="AE95" s="15">
        <f>[1]nedredc!$C$30</f>
        <v>17493.34</v>
      </c>
      <c r="AF95" s="25"/>
      <c r="AG95" s="18"/>
      <c r="AH95" s="3"/>
      <c r="AI95" s="3"/>
      <c r="AJ95" s="3"/>
      <c r="AK95" s="15">
        <f t="shared" si="13"/>
        <v>0</v>
      </c>
      <c r="AL95" s="15">
        <f t="shared" si="14"/>
        <v>17493.34</v>
      </c>
      <c r="AM95">
        <v>17493.34</v>
      </c>
      <c r="AN95" s="15">
        <f t="shared" si="16"/>
        <v>0</v>
      </c>
    </row>
    <row r="96" spans="1:40" x14ac:dyDescent="0.25">
      <c r="A96" s="10" t="s">
        <v>484</v>
      </c>
      <c r="B96" s="10" t="s">
        <v>1062</v>
      </c>
      <c r="C96" s="3" t="s">
        <v>485</v>
      </c>
      <c r="D96" s="3" t="s">
        <v>486</v>
      </c>
      <c r="E96" s="3" t="s">
        <v>487</v>
      </c>
      <c r="F96" s="3" t="s">
        <v>488</v>
      </c>
      <c r="G96" s="3" t="s">
        <v>14</v>
      </c>
      <c r="H96" s="3" t="s">
        <v>6</v>
      </c>
      <c r="I96" s="3" t="s">
        <v>15</v>
      </c>
      <c r="J96" s="3" t="s">
        <v>489</v>
      </c>
      <c r="K96" s="3"/>
      <c r="L96" s="3"/>
      <c r="M96" s="3"/>
      <c r="N96" s="3">
        <v>8570</v>
      </c>
      <c r="O96" s="3"/>
      <c r="P96" s="4">
        <v>46022</v>
      </c>
      <c r="Q96" s="5">
        <v>1687.29</v>
      </c>
      <c r="R96" s="3">
        <v>204</v>
      </c>
      <c r="S96" s="3"/>
      <c r="T96" s="3">
        <v>0</v>
      </c>
      <c r="U96" s="3" t="s">
        <v>8</v>
      </c>
      <c r="V96" s="3">
        <v>0</v>
      </c>
      <c r="W96" s="3">
        <v>0</v>
      </c>
      <c r="X96" s="5">
        <v>-0.01</v>
      </c>
      <c r="Y96" s="5">
        <v>-0.01</v>
      </c>
      <c r="Z96" s="3">
        <v>0.01</v>
      </c>
      <c r="AA96" s="5">
        <v>-0.01</v>
      </c>
      <c r="AF96" s="25"/>
      <c r="AG96" s="18"/>
      <c r="AH96" s="5"/>
      <c r="AI96" s="5"/>
      <c r="AJ96" s="3"/>
      <c r="AK96" s="15">
        <f t="shared" si="13"/>
        <v>0</v>
      </c>
      <c r="AL96" s="15">
        <f t="shared" si="14"/>
        <v>-0.01</v>
      </c>
      <c r="AN96" s="15">
        <f t="shared" si="16"/>
        <v>-0.01</v>
      </c>
    </row>
    <row r="97" spans="1:40" x14ac:dyDescent="0.25">
      <c r="A97" s="10" t="s">
        <v>490</v>
      </c>
      <c r="B97" s="10"/>
      <c r="C97" s="3" t="s">
        <v>491</v>
      </c>
      <c r="D97" s="3" t="s">
        <v>492</v>
      </c>
      <c r="E97" s="3"/>
      <c r="F97" s="3" t="s">
        <v>493</v>
      </c>
      <c r="G97" s="3" t="s">
        <v>328</v>
      </c>
      <c r="H97" s="3" t="s">
        <v>6</v>
      </c>
      <c r="I97" s="3"/>
      <c r="J97" s="3" t="s">
        <v>494</v>
      </c>
      <c r="K97" s="3"/>
      <c r="L97" s="3"/>
      <c r="M97" s="3" t="s">
        <v>22</v>
      </c>
      <c r="N97" s="3"/>
      <c r="O97" s="3"/>
      <c r="P97" s="4">
        <v>45841</v>
      </c>
      <c r="Q97" s="5">
        <v>-12749.13</v>
      </c>
      <c r="R97" s="3">
        <v>167</v>
      </c>
      <c r="S97" s="3"/>
      <c r="T97" s="3">
        <v>0</v>
      </c>
      <c r="U97" s="3" t="s">
        <v>8</v>
      </c>
      <c r="V97" s="3">
        <v>0</v>
      </c>
      <c r="W97" s="3">
        <v>0</v>
      </c>
      <c r="X97" s="3">
        <v>0</v>
      </c>
      <c r="Y97" s="3">
        <v>0</v>
      </c>
      <c r="Z97" s="5">
        <v>50996.52</v>
      </c>
      <c r="AA97" s="5">
        <v>50996.52</v>
      </c>
      <c r="AF97" s="25"/>
      <c r="AG97" s="18"/>
      <c r="AH97" s="3"/>
      <c r="AI97" s="3"/>
      <c r="AJ97" s="5"/>
      <c r="AK97" s="15">
        <f t="shared" si="13"/>
        <v>0</v>
      </c>
      <c r="AL97" s="15">
        <f t="shared" si="14"/>
        <v>50996.52</v>
      </c>
      <c r="AM97" s="15">
        <v>0</v>
      </c>
      <c r="AN97" s="15">
        <f t="shared" si="16"/>
        <v>50996.52</v>
      </c>
    </row>
    <row r="98" spans="1:40" x14ac:dyDescent="0.25">
      <c r="A98" s="10" t="s">
        <v>495</v>
      </c>
      <c r="B98" s="10" t="s">
        <v>1063</v>
      </c>
      <c r="C98" s="3" t="s">
        <v>496</v>
      </c>
      <c r="D98" s="3" t="s">
        <v>314</v>
      </c>
      <c r="E98" s="3" t="s">
        <v>497</v>
      </c>
      <c r="F98" s="3" t="s">
        <v>316</v>
      </c>
      <c r="G98" s="3" t="s">
        <v>14</v>
      </c>
      <c r="H98" s="3" t="s">
        <v>6</v>
      </c>
      <c r="I98" s="3" t="s">
        <v>33</v>
      </c>
      <c r="J98" s="3" t="s">
        <v>498</v>
      </c>
      <c r="K98" s="3"/>
      <c r="L98" s="3"/>
      <c r="M98" s="3"/>
      <c r="N98" s="3">
        <v>2000</v>
      </c>
      <c r="O98" s="3"/>
      <c r="P98" s="4">
        <v>46081</v>
      </c>
      <c r="Q98" s="5">
        <v>2748.44</v>
      </c>
      <c r="R98" s="3">
        <v>359</v>
      </c>
      <c r="S98" s="3"/>
      <c r="T98" s="3">
        <v>0</v>
      </c>
      <c r="U98" s="3" t="s">
        <v>8</v>
      </c>
      <c r="V98" s="5">
        <v>19440.68</v>
      </c>
      <c r="W98" s="3">
        <v>0</v>
      </c>
      <c r="X98" s="3">
        <v>0</v>
      </c>
      <c r="Y98" s="3">
        <v>0</v>
      </c>
      <c r="Z98" s="5">
        <v>-3.78</v>
      </c>
      <c r="AA98" s="5">
        <v>19436.900000000001</v>
      </c>
      <c r="AF98" s="25"/>
      <c r="AG98" s="18"/>
      <c r="AH98" s="3"/>
      <c r="AI98" s="3"/>
      <c r="AJ98" s="5"/>
      <c r="AK98" s="15">
        <f t="shared" si="13"/>
        <v>0</v>
      </c>
      <c r="AL98" s="15">
        <f t="shared" si="14"/>
        <v>19436.900000000001</v>
      </c>
      <c r="AM98" s="15">
        <f>AL98</f>
        <v>19436.900000000001</v>
      </c>
      <c r="AN98" s="15">
        <f t="shared" si="16"/>
        <v>0</v>
      </c>
    </row>
    <row r="99" spans="1:40" x14ac:dyDescent="0.25">
      <c r="A99" s="10" t="s">
        <v>499</v>
      </c>
      <c r="B99" s="10" t="s">
        <v>1064</v>
      </c>
      <c r="C99" s="3" t="s">
        <v>500</v>
      </c>
      <c r="D99" s="3" t="s">
        <v>314</v>
      </c>
      <c r="E99" s="3" t="s">
        <v>501</v>
      </c>
      <c r="F99" s="3" t="s">
        <v>316</v>
      </c>
      <c r="G99" s="3" t="s">
        <v>14</v>
      </c>
      <c r="H99" s="3" t="s">
        <v>6</v>
      </c>
      <c r="I99" s="3" t="s">
        <v>33</v>
      </c>
      <c r="J99" s="3" t="s">
        <v>502</v>
      </c>
      <c r="K99" s="3"/>
      <c r="L99" s="3"/>
      <c r="M99" s="3"/>
      <c r="N99" s="3">
        <v>2000</v>
      </c>
      <c r="O99" s="3"/>
      <c r="P99" s="4">
        <v>46081</v>
      </c>
      <c r="Q99" s="5">
        <v>1212.6400000000001</v>
      </c>
      <c r="R99" s="3">
        <v>71</v>
      </c>
      <c r="S99" s="3" t="s">
        <v>503</v>
      </c>
      <c r="T99" s="3">
        <v>0</v>
      </c>
      <c r="U99" s="3" t="s">
        <v>8</v>
      </c>
      <c r="V99" s="5">
        <v>1212.6400000000001</v>
      </c>
      <c r="W99" s="3">
        <v>0</v>
      </c>
      <c r="X99" s="3">
        <v>0</v>
      </c>
      <c r="Y99" s="3">
        <v>0</v>
      </c>
      <c r="Z99" s="3">
        <v>0</v>
      </c>
      <c r="AA99" s="5">
        <v>1212.6400000000001</v>
      </c>
      <c r="AF99" s="25"/>
      <c r="AG99" s="18"/>
      <c r="AH99" s="3"/>
      <c r="AI99" s="3"/>
      <c r="AJ99" s="3"/>
      <c r="AK99" s="15">
        <f t="shared" si="13"/>
        <v>0</v>
      </c>
      <c r="AL99" s="15">
        <f t="shared" si="14"/>
        <v>1212.6400000000001</v>
      </c>
      <c r="AM99" s="15">
        <f>AL99</f>
        <v>1212.6400000000001</v>
      </c>
      <c r="AN99" s="15">
        <f t="shared" si="16"/>
        <v>0</v>
      </c>
    </row>
    <row r="100" spans="1:40" x14ac:dyDescent="0.25">
      <c r="A100" s="10" t="s">
        <v>504</v>
      </c>
      <c r="B100" s="10"/>
      <c r="C100" s="3" t="s">
        <v>505</v>
      </c>
      <c r="D100" s="3" t="s">
        <v>506</v>
      </c>
      <c r="E100" s="3"/>
      <c r="F100" s="3" t="s">
        <v>507</v>
      </c>
      <c r="G100" s="3" t="s">
        <v>14</v>
      </c>
      <c r="H100" s="3" t="s">
        <v>6</v>
      </c>
      <c r="I100" s="3"/>
      <c r="J100" s="3" t="s">
        <v>508</v>
      </c>
      <c r="K100" s="3"/>
      <c r="L100" s="3"/>
      <c r="M100" s="3" t="s">
        <v>22</v>
      </c>
      <c r="N100" s="3"/>
      <c r="O100" s="3"/>
      <c r="P100" s="4">
        <v>46081</v>
      </c>
      <c r="Q100" s="5">
        <v>3908.2</v>
      </c>
      <c r="R100" s="3">
        <v>227</v>
      </c>
      <c r="S100" s="3"/>
      <c r="T100" s="3">
        <v>0</v>
      </c>
      <c r="U100" s="3" t="s">
        <v>8</v>
      </c>
      <c r="V100" s="5">
        <v>3908.2</v>
      </c>
      <c r="W100" s="3">
        <v>0</v>
      </c>
      <c r="X100" s="3">
        <v>0</v>
      </c>
      <c r="Y100" s="3">
        <v>0</v>
      </c>
      <c r="Z100" s="3">
        <v>0</v>
      </c>
      <c r="AA100" s="5">
        <v>3908.2</v>
      </c>
      <c r="AF100" s="25"/>
      <c r="AG100" s="18"/>
      <c r="AH100" s="3"/>
      <c r="AI100" s="3"/>
      <c r="AJ100" s="3"/>
      <c r="AK100" s="15">
        <f t="shared" si="13"/>
        <v>0</v>
      </c>
      <c r="AL100" s="15">
        <f t="shared" si="14"/>
        <v>3908.2</v>
      </c>
      <c r="AM100" s="15">
        <f>AL100</f>
        <v>3908.2</v>
      </c>
      <c r="AN100" s="15">
        <f t="shared" si="16"/>
        <v>0</v>
      </c>
    </row>
    <row r="101" spans="1:40" x14ac:dyDescent="0.25">
      <c r="A101" s="10" t="s">
        <v>509</v>
      </c>
      <c r="B101" s="10" t="s">
        <v>1065</v>
      </c>
      <c r="C101" s="3" t="s">
        <v>510</v>
      </c>
      <c r="D101" s="3" t="s">
        <v>30</v>
      </c>
      <c r="E101" s="3" t="s">
        <v>511</v>
      </c>
      <c r="F101" s="3" t="s">
        <v>512</v>
      </c>
      <c r="G101" s="3" t="s">
        <v>14</v>
      </c>
      <c r="H101" s="3" t="s">
        <v>6</v>
      </c>
      <c r="I101" s="3"/>
      <c r="J101" s="3" t="s">
        <v>513</v>
      </c>
      <c r="K101" s="3"/>
      <c r="L101" s="3"/>
      <c r="M101" s="3"/>
      <c r="N101" s="3"/>
      <c r="O101" s="3"/>
      <c r="P101" s="4">
        <v>46053</v>
      </c>
      <c r="Q101" s="5">
        <v>2870.02</v>
      </c>
      <c r="R101" s="3">
        <v>39</v>
      </c>
      <c r="S101" s="3"/>
      <c r="T101" s="3">
        <v>0</v>
      </c>
      <c r="U101" s="3" t="s">
        <v>8</v>
      </c>
      <c r="V101" s="5">
        <v>2870.02</v>
      </c>
      <c r="W101" s="3">
        <v>0</v>
      </c>
      <c r="X101" s="3">
        <v>0</v>
      </c>
      <c r="Y101" s="3">
        <v>0</v>
      </c>
      <c r="Z101" s="3">
        <v>0</v>
      </c>
      <c r="AA101" s="5">
        <v>2870.02</v>
      </c>
      <c r="AF101" s="25"/>
      <c r="AG101" s="18"/>
      <c r="AH101" s="3"/>
      <c r="AI101" s="3"/>
      <c r="AJ101" s="3"/>
      <c r="AK101" s="15">
        <f t="shared" si="13"/>
        <v>0</v>
      </c>
      <c r="AL101" s="15">
        <f t="shared" si="14"/>
        <v>2870.02</v>
      </c>
      <c r="AM101" s="15">
        <f t="shared" ref="AM101:AM122" si="17">AL101</f>
        <v>2870.02</v>
      </c>
      <c r="AN101" s="15">
        <f t="shared" si="16"/>
        <v>0</v>
      </c>
    </row>
    <row r="102" spans="1:40" x14ac:dyDescent="0.25">
      <c r="A102" s="10">
        <v>1151</v>
      </c>
      <c r="B102" s="10" t="s">
        <v>1066</v>
      </c>
      <c r="C102" s="3" t="s">
        <v>514</v>
      </c>
      <c r="D102" s="3" t="s">
        <v>515</v>
      </c>
      <c r="E102" s="3" t="s">
        <v>516</v>
      </c>
      <c r="F102" s="3" t="s">
        <v>517</v>
      </c>
      <c r="G102" s="3" t="s">
        <v>14</v>
      </c>
      <c r="H102" s="3" t="s">
        <v>6</v>
      </c>
      <c r="I102" s="3"/>
      <c r="J102" s="3" t="s">
        <v>518</v>
      </c>
      <c r="K102" s="3"/>
      <c r="L102" s="3"/>
      <c r="M102" s="3" t="s">
        <v>22</v>
      </c>
      <c r="N102" s="3"/>
      <c r="O102" s="3"/>
      <c r="P102" s="4">
        <v>46079</v>
      </c>
      <c r="Q102" s="5">
        <v>2250.8200000000002</v>
      </c>
      <c r="R102" s="6" t="s">
        <v>519</v>
      </c>
      <c r="S102" s="3"/>
      <c r="T102" s="3">
        <v>0</v>
      </c>
      <c r="U102" s="3" t="s">
        <v>8</v>
      </c>
      <c r="V102" s="5">
        <v>10646.61</v>
      </c>
      <c r="W102" s="3">
        <v>0</v>
      </c>
      <c r="X102" s="3">
        <v>0</v>
      </c>
      <c r="Y102" s="3">
        <v>0</v>
      </c>
      <c r="Z102" s="3">
        <v>0</v>
      </c>
      <c r="AA102" s="5">
        <v>10646.61</v>
      </c>
      <c r="AF102" s="25"/>
      <c r="AG102" s="18"/>
      <c r="AH102" s="3"/>
      <c r="AI102" s="3"/>
      <c r="AJ102" s="3"/>
      <c r="AK102" s="15">
        <f t="shared" si="13"/>
        <v>0</v>
      </c>
      <c r="AL102" s="15">
        <f t="shared" si="14"/>
        <v>10646.61</v>
      </c>
      <c r="AM102" s="15">
        <f t="shared" si="17"/>
        <v>10646.61</v>
      </c>
      <c r="AN102" s="15">
        <f t="shared" si="16"/>
        <v>0</v>
      </c>
    </row>
    <row r="103" spans="1:40" x14ac:dyDescent="0.25">
      <c r="A103" s="10" t="s">
        <v>520</v>
      </c>
      <c r="B103" s="10" t="s">
        <v>1067</v>
      </c>
      <c r="C103" s="3" t="s">
        <v>521</v>
      </c>
      <c r="D103" s="3" t="s">
        <v>522</v>
      </c>
      <c r="E103" s="3" t="s">
        <v>523</v>
      </c>
      <c r="F103" s="3" t="s">
        <v>524</v>
      </c>
      <c r="G103" s="3" t="s">
        <v>14</v>
      </c>
      <c r="H103" s="3" t="s">
        <v>6</v>
      </c>
      <c r="I103" s="3"/>
      <c r="J103" s="3" t="s">
        <v>525</v>
      </c>
      <c r="K103" s="3"/>
      <c r="L103" s="3"/>
      <c r="M103" s="3" t="s">
        <v>22</v>
      </c>
      <c r="N103" s="3"/>
      <c r="O103" s="3"/>
      <c r="P103" s="4">
        <v>46078</v>
      </c>
      <c r="Q103" s="5">
        <v>4897.21</v>
      </c>
      <c r="R103" s="3">
        <v>179</v>
      </c>
      <c r="S103" s="3"/>
      <c r="T103" s="3">
        <v>0</v>
      </c>
      <c r="U103" s="3" t="s">
        <v>8</v>
      </c>
      <c r="V103" s="5">
        <v>4012.77</v>
      </c>
      <c r="W103" s="3">
        <v>0</v>
      </c>
      <c r="X103" s="3">
        <v>0</v>
      </c>
      <c r="Y103" s="3">
        <v>0</v>
      </c>
      <c r="Z103" s="3">
        <v>0</v>
      </c>
      <c r="AA103" s="5">
        <v>4012.77</v>
      </c>
      <c r="AF103" s="25"/>
      <c r="AG103" s="18"/>
      <c r="AH103" s="3"/>
      <c r="AI103" s="3"/>
      <c r="AJ103" s="3"/>
      <c r="AK103" s="15">
        <f t="shared" si="13"/>
        <v>0</v>
      </c>
      <c r="AL103" s="15">
        <f t="shared" si="14"/>
        <v>4012.77</v>
      </c>
      <c r="AM103" s="15">
        <f t="shared" si="17"/>
        <v>4012.77</v>
      </c>
      <c r="AN103" s="15">
        <f t="shared" si="16"/>
        <v>0</v>
      </c>
    </row>
    <row r="104" spans="1:40" x14ac:dyDescent="0.25">
      <c r="A104" s="10" t="s">
        <v>526</v>
      </c>
      <c r="B104" s="10" t="s">
        <v>1068</v>
      </c>
      <c r="C104" s="3" t="s">
        <v>527</v>
      </c>
      <c r="D104" s="3" t="s">
        <v>314</v>
      </c>
      <c r="E104" s="3" t="s">
        <v>528</v>
      </c>
      <c r="F104" s="3" t="s">
        <v>316</v>
      </c>
      <c r="G104" s="3" t="s">
        <v>14</v>
      </c>
      <c r="H104" s="3" t="s">
        <v>6</v>
      </c>
      <c r="I104" s="3" t="s">
        <v>33</v>
      </c>
      <c r="J104" s="3" t="s">
        <v>529</v>
      </c>
      <c r="K104" s="3"/>
      <c r="L104" s="3"/>
      <c r="M104" s="3"/>
      <c r="N104" s="3">
        <v>1422</v>
      </c>
      <c r="O104" s="3"/>
      <c r="P104" s="4">
        <v>45930</v>
      </c>
      <c r="Q104" s="5">
        <v>1207.5</v>
      </c>
      <c r="R104" s="3">
        <v>1339</v>
      </c>
      <c r="S104" s="3" t="s">
        <v>530</v>
      </c>
      <c r="T104" s="3">
        <v>0</v>
      </c>
      <c r="U104" s="3" t="s">
        <v>8</v>
      </c>
      <c r="V104" s="5">
        <v>28245.61</v>
      </c>
      <c r="W104" s="3">
        <v>0</v>
      </c>
      <c r="X104" s="3">
        <v>0</v>
      </c>
      <c r="Y104" s="3">
        <v>0</v>
      </c>
      <c r="Z104" s="5">
        <v>-0.1</v>
      </c>
      <c r="AA104" s="5">
        <v>28245.51</v>
      </c>
      <c r="AF104" s="25"/>
      <c r="AG104" s="18"/>
      <c r="AH104" s="3"/>
      <c r="AI104" s="3"/>
      <c r="AJ104" s="5"/>
      <c r="AK104" s="15">
        <f t="shared" si="13"/>
        <v>0</v>
      </c>
      <c r="AL104" s="15">
        <f t="shared" si="14"/>
        <v>28245.51</v>
      </c>
      <c r="AM104" s="15">
        <f t="shared" si="17"/>
        <v>28245.51</v>
      </c>
      <c r="AN104" s="15">
        <f t="shared" si="16"/>
        <v>0</v>
      </c>
    </row>
    <row r="105" spans="1:40" x14ac:dyDescent="0.25">
      <c r="A105" s="10" t="s">
        <v>531</v>
      </c>
      <c r="B105" s="10" t="s">
        <v>1069</v>
      </c>
      <c r="C105" s="3" t="s">
        <v>532</v>
      </c>
      <c r="D105" s="3" t="s">
        <v>314</v>
      </c>
      <c r="E105" s="3" t="s">
        <v>533</v>
      </c>
      <c r="F105" s="3" t="s">
        <v>316</v>
      </c>
      <c r="G105" s="3"/>
      <c r="H105" s="3" t="s">
        <v>6</v>
      </c>
      <c r="I105" s="3" t="s">
        <v>33</v>
      </c>
      <c r="J105" s="3" t="s">
        <v>534</v>
      </c>
      <c r="K105" s="3"/>
      <c r="L105" s="3"/>
      <c r="M105" s="3" t="s">
        <v>22</v>
      </c>
      <c r="N105" s="3"/>
      <c r="O105" s="3"/>
      <c r="P105" s="4">
        <v>46081</v>
      </c>
      <c r="Q105" s="5">
        <v>1212.6400000000001</v>
      </c>
      <c r="R105" s="3">
        <v>61</v>
      </c>
      <c r="S105" s="3"/>
      <c r="T105" s="3">
        <v>0</v>
      </c>
      <c r="U105" s="3" t="s">
        <v>8</v>
      </c>
      <c r="V105" s="5">
        <v>1212.6400000000001</v>
      </c>
      <c r="W105" s="3">
        <v>0</v>
      </c>
      <c r="X105" s="3">
        <v>0</v>
      </c>
      <c r="Y105" s="3">
        <v>0</v>
      </c>
      <c r="Z105" s="3">
        <v>0</v>
      </c>
      <c r="AA105" s="5">
        <v>1212.6400000000001</v>
      </c>
      <c r="AF105" s="25"/>
      <c r="AG105" s="18"/>
      <c r="AH105" s="3"/>
      <c r="AI105" s="3"/>
      <c r="AJ105" s="3"/>
      <c r="AK105" s="15">
        <f t="shared" si="13"/>
        <v>0</v>
      </c>
      <c r="AL105" s="15">
        <f t="shared" si="14"/>
        <v>1212.6400000000001</v>
      </c>
      <c r="AM105" s="15">
        <f t="shared" si="17"/>
        <v>1212.6400000000001</v>
      </c>
      <c r="AN105" s="15">
        <f t="shared" si="16"/>
        <v>0</v>
      </c>
    </row>
    <row r="106" spans="1:40" x14ac:dyDescent="0.25">
      <c r="A106" s="10" t="s">
        <v>535</v>
      </c>
      <c r="B106" s="10" t="s">
        <v>1070</v>
      </c>
      <c r="C106" s="3" t="s">
        <v>536</v>
      </c>
      <c r="D106" s="3" t="s">
        <v>314</v>
      </c>
      <c r="E106" s="3" t="s">
        <v>537</v>
      </c>
      <c r="F106" s="3" t="s">
        <v>316</v>
      </c>
      <c r="G106" s="3" t="s">
        <v>14</v>
      </c>
      <c r="H106" s="3" t="s">
        <v>6</v>
      </c>
      <c r="I106" s="3" t="s">
        <v>33</v>
      </c>
      <c r="J106" s="3" t="s">
        <v>538</v>
      </c>
      <c r="K106" s="3"/>
      <c r="L106" s="3"/>
      <c r="M106" s="3"/>
      <c r="N106" s="3">
        <v>2000</v>
      </c>
      <c r="O106" s="3"/>
      <c r="P106" s="4">
        <v>46081</v>
      </c>
      <c r="Q106" s="5">
        <v>6669.39</v>
      </c>
      <c r="R106" s="3">
        <v>127</v>
      </c>
      <c r="S106" s="3"/>
      <c r="T106" s="3">
        <v>0</v>
      </c>
      <c r="U106" s="3" t="s">
        <v>8</v>
      </c>
      <c r="V106" s="5">
        <v>7558.87</v>
      </c>
      <c r="W106" s="3">
        <v>0</v>
      </c>
      <c r="X106" s="3">
        <v>0</v>
      </c>
      <c r="Y106" s="3">
        <v>0</v>
      </c>
      <c r="Z106" s="3">
        <v>0</v>
      </c>
      <c r="AA106" s="5">
        <v>7558.87</v>
      </c>
      <c r="AF106" s="25"/>
      <c r="AG106" s="18"/>
      <c r="AH106" s="3"/>
      <c r="AI106" s="3"/>
      <c r="AJ106" s="3"/>
      <c r="AK106" s="15">
        <f t="shared" si="13"/>
        <v>0</v>
      </c>
      <c r="AL106" s="15">
        <f t="shared" si="14"/>
        <v>7558.87</v>
      </c>
      <c r="AM106" s="15">
        <f t="shared" si="17"/>
        <v>7558.87</v>
      </c>
      <c r="AN106" s="15">
        <f t="shared" si="16"/>
        <v>0</v>
      </c>
    </row>
    <row r="107" spans="1:40" x14ac:dyDescent="0.25">
      <c r="A107" s="10" t="s">
        <v>539</v>
      </c>
      <c r="B107" s="10" t="s">
        <v>1071</v>
      </c>
      <c r="C107" s="3" t="s">
        <v>540</v>
      </c>
      <c r="D107" s="3" t="s">
        <v>314</v>
      </c>
      <c r="E107" s="3" t="s">
        <v>541</v>
      </c>
      <c r="F107" s="3" t="s">
        <v>316</v>
      </c>
      <c r="G107" s="3" t="s">
        <v>14</v>
      </c>
      <c r="H107" s="3" t="s">
        <v>6</v>
      </c>
      <c r="I107" s="3" t="s">
        <v>33</v>
      </c>
      <c r="J107" s="3" t="s">
        <v>542</v>
      </c>
      <c r="K107" s="3"/>
      <c r="L107" s="3"/>
      <c r="M107" s="3"/>
      <c r="N107" s="3">
        <v>1508</v>
      </c>
      <c r="O107" s="3"/>
      <c r="P107" s="4">
        <v>46081</v>
      </c>
      <c r="Q107" s="5">
        <v>13064.4</v>
      </c>
      <c r="R107" s="3">
        <v>273</v>
      </c>
      <c r="S107" s="3" t="s">
        <v>543</v>
      </c>
      <c r="T107" s="3">
        <v>0</v>
      </c>
      <c r="U107" s="3" t="s">
        <v>8</v>
      </c>
      <c r="V107" s="5">
        <v>13064.4</v>
      </c>
      <c r="W107" s="3">
        <v>0</v>
      </c>
      <c r="X107" s="3">
        <v>0</v>
      </c>
      <c r="Y107" s="3">
        <v>0</v>
      </c>
      <c r="Z107" s="5">
        <v>-0.06</v>
      </c>
      <c r="AA107" s="5">
        <v>13064.34</v>
      </c>
      <c r="AF107" s="25"/>
      <c r="AG107" s="18"/>
      <c r="AH107" s="3"/>
      <c r="AI107" s="3"/>
      <c r="AJ107" s="5"/>
      <c r="AK107" s="15">
        <f t="shared" si="13"/>
        <v>0</v>
      </c>
      <c r="AL107" s="15">
        <f t="shared" si="14"/>
        <v>13064.34</v>
      </c>
      <c r="AM107" s="15">
        <f t="shared" si="17"/>
        <v>13064.34</v>
      </c>
      <c r="AN107" s="15">
        <f t="shared" si="16"/>
        <v>0</v>
      </c>
    </row>
    <row r="108" spans="1:40" x14ac:dyDescent="0.25">
      <c r="A108" s="10" t="s">
        <v>544</v>
      </c>
      <c r="B108" s="10" t="s">
        <v>1072</v>
      </c>
      <c r="C108" s="3" t="s">
        <v>545</v>
      </c>
      <c r="D108" s="3" t="s">
        <v>314</v>
      </c>
      <c r="E108" s="3" t="s">
        <v>533</v>
      </c>
      <c r="F108" s="3" t="s">
        <v>316</v>
      </c>
      <c r="G108" s="3" t="s">
        <v>14</v>
      </c>
      <c r="H108" s="3" t="s">
        <v>6</v>
      </c>
      <c r="I108" s="3" t="s">
        <v>33</v>
      </c>
      <c r="J108" s="3" t="s">
        <v>546</v>
      </c>
      <c r="K108" s="3"/>
      <c r="L108" s="3"/>
      <c r="M108" s="3"/>
      <c r="N108" s="3">
        <v>4110</v>
      </c>
      <c r="O108" s="3"/>
      <c r="P108" s="4">
        <v>46081</v>
      </c>
      <c r="Q108" s="5">
        <v>4495.95</v>
      </c>
      <c r="R108" s="3">
        <v>62</v>
      </c>
      <c r="S108" s="3"/>
      <c r="T108" s="3">
        <v>0</v>
      </c>
      <c r="U108" s="3" t="s">
        <v>8</v>
      </c>
      <c r="V108" s="5">
        <v>4495.91</v>
      </c>
      <c r="W108" s="3">
        <v>0</v>
      </c>
      <c r="X108" s="3">
        <v>0</v>
      </c>
      <c r="Y108" s="3">
        <v>0</v>
      </c>
      <c r="Z108" s="3">
        <v>0</v>
      </c>
      <c r="AA108" s="5">
        <v>4495.91</v>
      </c>
      <c r="AF108" s="25"/>
      <c r="AG108" s="18"/>
      <c r="AH108" s="3"/>
      <c r="AI108" s="3"/>
      <c r="AJ108" s="3"/>
      <c r="AK108" s="15">
        <f t="shared" si="13"/>
        <v>0</v>
      </c>
      <c r="AL108" s="15">
        <f t="shared" si="14"/>
        <v>4495.91</v>
      </c>
      <c r="AM108" s="15">
        <f t="shared" si="17"/>
        <v>4495.91</v>
      </c>
      <c r="AN108" s="15">
        <f t="shared" si="16"/>
        <v>0</v>
      </c>
    </row>
    <row r="109" spans="1:40" x14ac:dyDescent="0.25">
      <c r="A109" s="10" t="s">
        <v>547</v>
      </c>
      <c r="B109" s="10" t="s">
        <v>1073</v>
      </c>
      <c r="C109" s="3" t="s">
        <v>548</v>
      </c>
      <c r="D109" s="3" t="s">
        <v>314</v>
      </c>
      <c r="E109" s="3" t="s">
        <v>549</v>
      </c>
      <c r="F109" s="3" t="s">
        <v>316</v>
      </c>
      <c r="G109" s="3" t="s">
        <v>14</v>
      </c>
      <c r="H109" s="3" t="s">
        <v>6</v>
      </c>
      <c r="I109" s="3" t="s">
        <v>33</v>
      </c>
      <c r="J109" s="3" t="s">
        <v>550</v>
      </c>
      <c r="K109" s="3"/>
      <c r="L109" s="3"/>
      <c r="M109" s="3"/>
      <c r="N109" s="3">
        <v>9300</v>
      </c>
      <c r="O109" s="3"/>
      <c r="P109" s="4">
        <v>46081</v>
      </c>
      <c r="Q109" s="5">
        <v>15462.71</v>
      </c>
      <c r="R109" s="3">
        <v>284</v>
      </c>
      <c r="S109" s="3"/>
      <c r="T109" s="3">
        <v>0</v>
      </c>
      <c r="U109" s="3" t="s">
        <v>8</v>
      </c>
      <c r="V109" s="5">
        <v>15462.71</v>
      </c>
      <c r="W109" s="3">
        <v>0</v>
      </c>
      <c r="X109" s="3">
        <v>0.01</v>
      </c>
      <c r="Y109" s="3">
        <v>0</v>
      </c>
      <c r="Z109" s="5">
        <v>-0.08</v>
      </c>
      <c r="AA109" s="5">
        <v>15462.64</v>
      </c>
      <c r="AF109" s="25"/>
      <c r="AG109" s="18"/>
      <c r="AH109" s="3"/>
      <c r="AI109" s="3"/>
      <c r="AJ109" s="5"/>
      <c r="AK109" s="15">
        <f t="shared" si="13"/>
        <v>0</v>
      </c>
      <c r="AL109" s="15">
        <f t="shared" si="14"/>
        <v>15462.64</v>
      </c>
      <c r="AM109" s="15">
        <f t="shared" si="17"/>
        <v>15462.64</v>
      </c>
      <c r="AN109" s="15">
        <f t="shared" si="16"/>
        <v>0</v>
      </c>
    </row>
    <row r="110" spans="1:40" x14ac:dyDescent="0.25">
      <c r="A110" s="10" t="s">
        <v>551</v>
      </c>
      <c r="B110" s="10"/>
      <c r="C110" s="3" t="s">
        <v>552</v>
      </c>
      <c r="D110" s="3" t="s">
        <v>314</v>
      </c>
      <c r="E110" s="3" t="s">
        <v>553</v>
      </c>
      <c r="F110" s="3" t="s">
        <v>316</v>
      </c>
      <c r="G110" s="3" t="s">
        <v>14</v>
      </c>
      <c r="H110" s="3" t="s">
        <v>6</v>
      </c>
      <c r="I110" s="3" t="s">
        <v>33</v>
      </c>
      <c r="J110" s="3" t="s">
        <v>554</v>
      </c>
      <c r="K110" s="3"/>
      <c r="L110" s="3"/>
      <c r="M110" s="3"/>
      <c r="N110" s="3">
        <v>1960</v>
      </c>
      <c r="O110" s="3"/>
      <c r="P110" s="4">
        <v>46081</v>
      </c>
      <c r="Q110" s="5">
        <v>6778.22</v>
      </c>
      <c r="R110" s="3">
        <v>183</v>
      </c>
      <c r="S110" s="3"/>
      <c r="T110" s="3">
        <v>0</v>
      </c>
      <c r="U110" s="3" t="s">
        <v>8</v>
      </c>
      <c r="V110" s="5">
        <v>14691.38</v>
      </c>
      <c r="W110" s="3">
        <v>0</v>
      </c>
      <c r="X110" s="3">
        <v>0</v>
      </c>
      <c r="Y110" s="3">
        <v>0</v>
      </c>
      <c r="Z110" s="3">
        <v>0</v>
      </c>
      <c r="AA110" s="5">
        <v>14691.38</v>
      </c>
      <c r="AF110" s="25"/>
      <c r="AG110" s="18"/>
      <c r="AH110" s="3"/>
      <c r="AI110" s="3"/>
      <c r="AJ110" s="3"/>
      <c r="AK110" s="15">
        <f t="shared" si="13"/>
        <v>0</v>
      </c>
      <c r="AL110" s="15">
        <f t="shared" si="14"/>
        <v>14691.38</v>
      </c>
      <c r="AM110" s="15">
        <f t="shared" si="17"/>
        <v>14691.38</v>
      </c>
      <c r="AN110" s="15">
        <f t="shared" si="16"/>
        <v>0</v>
      </c>
    </row>
    <row r="111" spans="1:40" x14ac:dyDescent="0.25">
      <c r="A111" s="10" t="s">
        <v>555</v>
      </c>
      <c r="B111" s="10" t="s">
        <v>1074</v>
      </c>
      <c r="C111" s="3" t="s">
        <v>556</v>
      </c>
      <c r="D111" s="3" t="s">
        <v>314</v>
      </c>
      <c r="E111" s="3" t="s">
        <v>557</v>
      </c>
      <c r="F111" s="3" t="s">
        <v>316</v>
      </c>
      <c r="G111" s="3" t="s">
        <v>14</v>
      </c>
      <c r="H111" s="3" t="s">
        <v>6</v>
      </c>
      <c r="I111" s="3" t="s">
        <v>33</v>
      </c>
      <c r="J111" s="3" t="s">
        <v>558</v>
      </c>
      <c r="K111" s="3"/>
      <c r="L111" s="3"/>
      <c r="M111" s="3"/>
      <c r="N111" s="3">
        <v>7535</v>
      </c>
      <c r="O111" s="3"/>
      <c r="P111" s="4">
        <v>46081</v>
      </c>
      <c r="Q111" s="5">
        <v>23815.02</v>
      </c>
      <c r="R111" s="3">
        <v>290</v>
      </c>
      <c r="S111" s="3" t="s">
        <v>559</v>
      </c>
      <c r="T111" s="3">
        <v>0</v>
      </c>
      <c r="U111" s="3" t="s">
        <v>8</v>
      </c>
      <c r="V111" s="5">
        <v>23815.02</v>
      </c>
      <c r="W111" s="3">
        <v>0</v>
      </c>
      <c r="X111" s="3">
        <v>0</v>
      </c>
      <c r="Y111" s="3">
        <v>0</v>
      </c>
      <c r="Z111" s="3">
        <v>0</v>
      </c>
      <c r="AA111" s="5">
        <v>23815.02</v>
      </c>
      <c r="AF111" s="25"/>
      <c r="AG111" s="18"/>
      <c r="AH111" s="3"/>
      <c r="AI111" s="3"/>
      <c r="AJ111" s="3"/>
      <c r="AK111" s="15">
        <f t="shared" si="13"/>
        <v>0</v>
      </c>
      <c r="AL111" s="15">
        <f t="shared" si="14"/>
        <v>23815.02</v>
      </c>
      <c r="AM111" s="15">
        <f>AL111</f>
        <v>23815.02</v>
      </c>
      <c r="AN111" s="15">
        <f t="shared" si="16"/>
        <v>0</v>
      </c>
    </row>
    <row r="112" spans="1:40" x14ac:dyDescent="0.25">
      <c r="A112" s="10" t="s">
        <v>560</v>
      </c>
      <c r="B112" s="10" t="s">
        <v>1075</v>
      </c>
      <c r="C112" s="3" t="s">
        <v>561</v>
      </c>
      <c r="D112" s="3" t="s">
        <v>314</v>
      </c>
      <c r="E112" s="3" t="s">
        <v>533</v>
      </c>
      <c r="F112" s="3" t="s">
        <v>316</v>
      </c>
      <c r="G112" s="3" t="s">
        <v>14</v>
      </c>
      <c r="H112" s="3" t="s">
        <v>6</v>
      </c>
      <c r="I112" s="3" t="s">
        <v>33</v>
      </c>
      <c r="J112" s="3" t="s">
        <v>546</v>
      </c>
      <c r="K112" s="3"/>
      <c r="L112" s="3"/>
      <c r="M112" s="3"/>
      <c r="N112" s="3">
        <v>4000</v>
      </c>
      <c r="O112" s="3"/>
      <c r="P112" s="4">
        <v>46081</v>
      </c>
      <c r="Q112" s="5">
        <v>3314.76</v>
      </c>
      <c r="R112" s="3">
        <v>216</v>
      </c>
      <c r="S112" s="3" t="s">
        <v>562</v>
      </c>
      <c r="T112" s="3">
        <v>0</v>
      </c>
      <c r="U112" s="3" t="s">
        <v>8</v>
      </c>
      <c r="V112" s="5">
        <v>30561.75</v>
      </c>
      <c r="W112" s="3">
        <v>0.01</v>
      </c>
      <c r="X112" s="3">
        <v>0.01</v>
      </c>
      <c r="Y112" s="3">
        <v>0.01</v>
      </c>
      <c r="Z112" s="3">
        <v>0.01</v>
      </c>
      <c r="AA112" s="5">
        <v>30561.79</v>
      </c>
      <c r="AF112" s="25"/>
      <c r="AG112" s="18"/>
      <c r="AH112" s="3"/>
      <c r="AI112" s="3"/>
      <c r="AJ112" s="3"/>
      <c r="AK112" s="15">
        <f t="shared" si="13"/>
        <v>0</v>
      </c>
      <c r="AL112" s="15">
        <f t="shared" si="14"/>
        <v>30561.79</v>
      </c>
      <c r="AM112" s="15">
        <f t="shared" si="17"/>
        <v>30561.79</v>
      </c>
      <c r="AN112" s="15">
        <f t="shared" si="16"/>
        <v>0</v>
      </c>
    </row>
    <row r="113" spans="1:40" x14ac:dyDescent="0.25">
      <c r="A113" s="10" t="s">
        <v>563</v>
      </c>
      <c r="B113" s="10" t="s">
        <v>1076</v>
      </c>
      <c r="C113" s="3" t="s">
        <v>564</v>
      </c>
      <c r="D113" s="3" t="s">
        <v>314</v>
      </c>
      <c r="E113" s="3" t="s">
        <v>541</v>
      </c>
      <c r="F113" s="3" t="s">
        <v>316</v>
      </c>
      <c r="G113" s="3" t="s">
        <v>14</v>
      </c>
      <c r="H113" s="3" t="s">
        <v>6</v>
      </c>
      <c r="I113" s="3" t="s">
        <v>33</v>
      </c>
      <c r="J113" s="3" t="s">
        <v>565</v>
      </c>
      <c r="K113" s="3"/>
      <c r="L113" s="3"/>
      <c r="M113" s="3"/>
      <c r="N113" s="3">
        <v>2000</v>
      </c>
      <c r="O113" s="3"/>
      <c r="P113" s="4">
        <v>46081</v>
      </c>
      <c r="Q113" s="5">
        <v>62304.67</v>
      </c>
      <c r="R113" s="3">
        <v>463</v>
      </c>
      <c r="S113" s="3" t="s">
        <v>566</v>
      </c>
      <c r="T113" s="3">
        <v>0</v>
      </c>
      <c r="U113" s="3" t="s">
        <v>8</v>
      </c>
      <c r="V113" s="5">
        <v>62304.639999999999</v>
      </c>
      <c r="W113" s="3">
        <v>0</v>
      </c>
      <c r="X113" s="3">
        <v>0</v>
      </c>
      <c r="Y113" s="3">
        <v>0</v>
      </c>
      <c r="Z113" s="5">
        <v>-0.38</v>
      </c>
      <c r="AA113" s="5">
        <v>62304.26</v>
      </c>
      <c r="AF113" s="25"/>
      <c r="AG113" s="18"/>
      <c r="AH113" s="3"/>
      <c r="AI113" s="3"/>
      <c r="AJ113" s="5"/>
      <c r="AK113" s="15">
        <f t="shared" si="13"/>
        <v>0</v>
      </c>
      <c r="AL113" s="15">
        <f t="shared" si="14"/>
        <v>62304.26</v>
      </c>
      <c r="AM113" s="15">
        <f t="shared" si="17"/>
        <v>62304.26</v>
      </c>
      <c r="AN113" s="15">
        <f t="shared" si="16"/>
        <v>0</v>
      </c>
    </row>
    <row r="114" spans="1:40" x14ac:dyDescent="0.25">
      <c r="A114" s="10" t="s">
        <v>567</v>
      </c>
      <c r="B114" s="10" t="s">
        <v>1077</v>
      </c>
      <c r="C114" s="3" t="s">
        <v>568</v>
      </c>
      <c r="D114" s="3" t="s">
        <v>314</v>
      </c>
      <c r="E114" s="3" t="s">
        <v>569</v>
      </c>
      <c r="F114" s="3" t="s">
        <v>316</v>
      </c>
      <c r="G114" s="3" t="s">
        <v>14</v>
      </c>
      <c r="H114" s="3" t="s">
        <v>6</v>
      </c>
      <c r="I114" s="3"/>
      <c r="J114" s="3" t="s">
        <v>570</v>
      </c>
      <c r="K114" s="3"/>
      <c r="L114" s="3"/>
      <c r="M114" s="3"/>
      <c r="N114" s="3">
        <v>2000</v>
      </c>
      <c r="O114" s="3"/>
      <c r="P114" s="4">
        <v>46081</v>
      </c>
      <c r="Q114" s="5">
        <v>4091.06</v>
      </c>
      <c r="R114" s="3">
        <v>414</v>
      </c>
      <c r="S114" s="3"/>
      <c r="T114" s="3">
        <v>0</v>
      </c>
      <c r="U114" s="3" t="s">
        <v>8</v>
      </c>
      <c r="V114" s="5">
        <v>3646.31</v>
      </c>
      <c r="W114" s="3">
        <v>0</v>
      </c>
      <c r="X114" s="3">
        <v>0</v>
      </c>
      <c r="Y114" s="3">
        <v>0</v>
      </c>
      <c r="Z114" s="3">
        <v>0.04</v>
      </c>
      <c r="AA114" s="5">
        <v>3646.35</v>
      </c>
      <c r="AF114" s="25"/>
      <c r="AG114" s="18"/>
      <c r="AH114" s="3"/>
      <c r="AI114" s="3"/>
      <c r="AJ114" s="3"/>
      <c r="AK114" s="15">
        <f t="shared" si="13"/>
        <v>0</v>
      </c>
      <c r="AL114" s="15">
        <f t="shared" si="14"/>
        <v>3646.35</v>
      </c>
      <c r="AM114" s="15">
        <f t="shared" si="17"/>
        <v>3646.35</v>
      </c>
      <c r="AN114" s="15">
        <f t="shared" si="16"/>
        <v>0</v>
      </c>
    </row>
    <row r="115" spans="1:40" x14ac:dyDescent="0.25">
      <c r="A115" s="10" t="s">
        <v>571</v>
      </c>
      <c r="B115" s="10" t="s">
        <v>1078</v>
      </c>
      <c r="C115" s="3" t="s">
        <v>572</v>
      </c>
      <c r="D115" s="3" t="s">
        <v>314</v>
      </c>
      <c r="E115" s="3" t="s">
        <v>541</v>
      </c>
      <c r="F115" s="3" t="s">
        <v>316</v>
      </c>
      <c r="G115" s="3" t="s">
        <v>14</v>
      </c>
      <c r="H115" s="3" t="s">
        <v>6</v>
      </c>
      <c r="I115" s="3" t="s">
        <v>33</v>
      </c>
      <c r="J115" s="3" t="s">
        <v>573</v>
      </c>
      <c r="K115" s="3"/>
      <c r="L115" s="3"/>
      <c r="M115" s="3"/>
      <c r="N115" s="3">
        <v>1390</v>
      </c>
      <c r="O115" s="3"/>
      <c r="P115" s="4">
        <v>46081</v>
      </c>
      <c r="Q115" s="5">
        <v>4051.17</v>
      </c>
      <c r="R115" s="3">
        <v>166</v>
      </c>
      <c r="S115" s="3" t="s">
        <v>574</v>
      </c>
      <c r="T115" s="3">
        <v>0</v>
      </c>
      <c r="U115" s="3" t="s">
        <v>8</v>
      </c>
      <c r="V115" s="5">
        <v>4051.17</v>
      </c>
      <c r="W115" s="3">
        <v>0</v>
      </c>
      <c r="X115" s="3">
        <v>0</v>
      </c>
      <c r="Y115" s="3">
        <v>0</v>
      </c>
      <c r="Z115" s="3">
        <v>0</v>
      </c>
      <c r="AA115" s="5">
        <v>4051.17</v>
      </c>
      <c r="AF115" s="25"/>
      <c r="AG115" s="18"/>
      <c r="AH115" s="3"/>
      <c r="AI115" s="3"/>
      <c r="AJ115" s="3"/>
      <c r="AK115" s="15">
        <f t="shared" si="13"/>
        <v>0</v>
      </c>
      <c r="AL115" s="15">
        <f t="shared" si="14"/>
        <v>4051.17</v>
      </c>
      <c r="AM115" s="15">
        <f t="shared" si="17"/>
        <v>4051.17</v>
      </c>
      <c r="AN115" s="15">
        <f t="shared" si="16"/>
        <v>0</v>
      </c>
    </row>
    <row r="116" spans="1:40" x14ac:dyDescent="0.25">
      <c r="A116" s="10" t="s">
        <v>575</v>
      </c>
      <c r="B116" s="10" t="s">
        <v>30</v>
      </c>
      <c r="C116" s="3" t="s">
        <v>576</v>
      </c>
      <c r="D116" s="3" t="s">
        <v>314</v>
      </c>
      <c r="E116" s="3" t="s">
        <v>577</v>
      </c>
      <c r="F116" s="3" t="s">
        <v>316</v>
      </c>
      <c r="G116" s="3" t="s">
        <v>14</v>
      </c>
      <c r="H116" s="3" t="s">
        <v>6</v>
      </c>
      <c r="I116" s="3" t="s">
        <v>33</v>
      </c>
      <c r="J116" s="3" t="s">
        <v>578</v>
      </c>
      <c r="K116" s="3"/>
      <c r="L116" s="3"/>
      <c r="M116" s="3"/>
      <c r="N116" s="3">
        <v>1422</v>
      </c>
      <c r="O116" s="3"/>
      <c r="P116" s="4">
        <v>46081</v>
      </c>
      <c r="Q116" s="5">
        <v>10931.65</v>
      </c>
      <c r="R116" s="3">
        <v>240</v>
      </c>
      <c r="S116" s="3" t="s">
        <v>579</v>
      </c>
      <c r="T116" s="3">
        <v>0</v>
      </c>
      <c r="U116" s="3" t="s">
        <v>8</v>
      </c>
      <c r="V116" s="5">
        <v>10931.65</v>
      </c>
      <c r="W116" s="3">
        <v>0</v>
      </c>
      <c r="X116" s="3">
        <v>0</v>
      </c>
      <c r="Y116" s="3">
        <v>0</v>
      </c>
      <c r="Z116" s="5">
        <v>-0.02</v>
      </c>
      <c r="AA116" s="5">
        <v>10931.63</v>
      </c>
      <c r="AF116" s="25"/>
      <c r="AG116" s="18"/>
      <c r="AH116" s="3"/>
      <c r="AI116" s="3"/>
      <c r="AJ116" s="5"/>
      <c r="AK116" s="15">
        <f t="shared" si="13"/>
        <v>0</v>
      </c>
      <c r="AL116" s="15">
        <f t="shared" si="14"/>
        <v>10931.63</v>
      </c>
      <c r="AM116" s="15">
        <f t="shared" si="17"/>
        <v>10931.63</v>
      </c>
      <c r="AN116" s="15">
        <f t="shared" si="16"/>
        <v>0</v>
      </c>
    </row>
    <row r="117" spans="1:40" x14ac:dyDescent="0.25">
      <c r="A117" s="10" t="s">
        <v>580</v>
      </c>
      <c r="B117" s="10" t="s">
        <v>1080</v>
      </c>
      <c r="C117" s="3" t="s">
        <v>581</v>
      </c>
      <c r="D117" s="3" t="s">
        <v>314</v>
      </c>
      <c r="E117" s="3" t="s">
        <v>582</v>
      </c>
      <c r="F117" s="3" t="s">
        <v>316</v>
      </c>
      <c r="G117" s="3" t="s">
        <v>14</v>
      </c>
      <c r="H117" s="3" t="s">
        <v>6</v>
      </c>
      <c r="I117" s="3" t="s">
        <v>33</v>
      </c>
      <c r="J117" s="3" t="s">
        <v>583</v>
      </c>
      <c r="K117" s="3"/>
      <c r="L117" s="3"/>
      <c r="M117" s="3"/>
      <c r="N117" s="3">
        <v>6000</v>
      </c>
      <c r="O117" s="3"/>
      <c r="P117" s="4">
        <v>46081</v>
      </c>
      <c r="Q117" s="5">
        <v>8642.8799999999992</v>
      </c>
      <c r="R117" s="3">
        <v>239</v>
      </c>
      <c r="S117" s="3"/>
      <c r="T117" s="3">
        <v>0</v>
      </c>
      <c r="U117" s="3" t="s">
        <v>8</v>
      </c>
      <c r="V117" s="5">
        <v>8642.89</v>
      </c>
      <c r="W117" s="3">
        <v>0</v>
      </c>
      <c r="X117" s="3">
        <v>0</v>
      </c>
      <c r="Y117" s="3">
        <v>0</v>
      </c>
      <c r="Z117" s="5">
        <v>-0.39</v>
      </c>
      <c r="AA117" s="5">
        <v>8642.5</v>
      </c>
      <c r="AF117" s="25"/>
      <c r="AG117" s="18"/>
      <c r="AH117" s="3"/>
      <c r="AI117" s="3"/>
      <c r="AJ117" s="5"/>
      <c r="AK117" s="15">
        <f t="shared" si="13"/>
        <v>0</v>
      </c>
      <c r="AL117" s="15">
        <f t="shared" si="14"/>
        <v>8642.5</v>
      </c>
      <c r="AM117" s="15">
        <f t="shared" si="17"/>
        <v>8642.5</v>
      </c>
      <c r="AN117" s="15">
        <f t="shared" si="16"/>
        <v>0</v>
      </c>
    </row>
    <row r="118" spans="1:40" x14ac:dyDescent="0.25">
      <c r="A118" s="10" t="s">
        <v>584</v>
      </c>
      <c r="B118" s="10" t="s">
        <v>1079</v>
      </c>
      <c r="C118" s="3" t="s">
        <v>585</v>
      </c>
      <c r="D118" s="3" t="s">
        <v>314</v>
      </c>
      <c r="E118" s="3" t="s">
        <v>586</v>
      </c>
      <c r="F118" s="3" t="s">
        <v>316</v>
      </c>
      <c r="G118" s="3" t="s">
        <v>14</v>
      </c>
      <c r="H118" s="3" t="s">
        <v>6</v>
      </c>
      <c r="I118" s="3" t="s">
        <v>33</v>
      </c>
      <c r="J118" s="3" t="s">
        <v>587</v>
      </c>
      <c r="K118" s="3"/>
      <c r="L118" s="3"/>
      <c r="M118" s="3"/>
      <c r="N118" s="3">
        <v>1467</v>
      </c>
      <c r="O118" s="3"/>
      <c r="P118" s="4">
        <v>46081</v>
      </c>
      <c r="Q118" s="5">
        <v>19058.46</v>
      </c>
      <c r="R118" s="3">
        <v>357</v>
      </c>
      <c r="S118" s="3"/>
      <c r="T118" s="3">
        <v>0</v>
      </c>
      <c r="U118" s="3" t="s">
        <v>8</v>
      </c>
      <c r="V118" s="5">
        <v>18613.72</v>
      </c>
      <c r="W118" s="3">
        <v>0</v>
      </c>
      <c r="X118" s="3">
        <v>0</v>
      </c>
      <c r="Y118" s="3">
        <v>0</v>
      </c>
      <c r="Z118" s="3">
        <v>0</v>
      </c>
      <c r="AA118" s="5">
        <v>18613.72</v>
      </c>
      <c r="AF118" s="25"/>
      <c r="AG118" s="18"/>
      <c r="AH118" s="3"/>
      <c r="AI118" s="3"/>
      <c r="AJ118" s="3"/>
      <c r="AK118" s="15">
        <f t="shared" si="13"/>
        <v>0</v>
      </c>
      <c r="AL118" s="15">
        <f t="shared" si="14"/>
        <v>18613.72</v>
      </c>
      <c r="AM118" s="15">
        <f t="shared" si="17"/>
        <v>18613.72</v>
      </c>
      <c r="AN118" s="15">
        <f t="shared" si="16"/>
        <v>0</v>
      </c>
    </row>
    <row r="119" spans="1:40" x14ac:dyDescent="0.25">
      <c r="A119" s="10" t="s">
        <v>588</v>
      </c>
      <c r="B119" s="10" t="s">
        <v>1081</v>
      </c>
      <c r="C119" s="3" t="s">
        <v>589</v>
      </c>
      <c r="D119" s="3" t="s">
        <v>590</v>
      </c>
      <c r="E119" s="3" t="s">
        <v>591</v>
      </c>
      <c r="F119" s="3" t="s">
        <v>592</v>
      </c>
      <c r="G119" s="3" t="s">
        <v>14</v>
      </c>
      <c r="H119" s="3" t="s">
        <v>6</v>
      </c>
      <c r="I119" s="3" t="s">
        <v>15</v>
      </c>
      <c r="J119" s="3" t="s">
        <v>593</v>
      </c>
      <c r="K119" s="3"/>
      <c r="L119" s="3"/>
      <c r="M119" s="3"/>
      <c r="N119" s="3">
        <v>1457</v>
      </c>
      <c r="O119" s="3"/>
      <c r="P119" s="4">
        <v>46081</v>
      </c>
      <c r="Q119" s="5">
        <v>65469.06</v>
      </c>
      <c r="R119" s="3">
        <v>168</v>
      </c>
      <c r="S119" s="3" t="s">
        <v>594</v>
      </c>
      <c r="T119" s="3">
        <v>0</v>
      </c>
      <c r="U119" s="3" t="s">
        <v>8</v>
      </c>
      <c r="V119" s="5">
        <v>65469.06</v>
      </c>
      <c r="W119" s="3">
        <v>0</v>
      </c>
      <c r="X119" s="3">
        <v>0</v>
      </c>
      <c r="Y119" s="3">
        <v>0</v>
      </c>
      <c r="Z119" s="3">
        <v>0</v>
      </c>
      <c r="AA119" s="5">
        <v>65469.06</v>
      </c>
      <c r="AF119" s="25"/>
      <c r="AG119" s="18"/>
      <c r="AH119" s="3"/>
      <c r="AI119" s="3"/>
      <c r="AJ119" s="3"/>
      <c r="AK119" s="15">
        <f t="shared" si="13"/>
        <v>0</v>
      </c>
      <c r="AL119" s="15">
        <f t="shared" si="14"/>
        <v>65469.06</v>
      </c>
      <c r="AM119" s="15">
        <f t="shared" si="17"/>
        <v>65469.06</v>
      </c>
      <c r="AN119" s="15">
        <f t="shared" si="16"/>
        <v>0</v>
      </c>
    </row>
    <row r="120" spans="1:40" x14ac:dyDescent="0.25">
      <c r="A120" s="10" t="s">
        <v>595</v>
      </c>
      <c r="B120" s="10" t="s">
        <v>1082</v>
      </c>
      <c r="C120" s="3" t="s">
        <v>596</v>
      </c>
      <c r="D120" s="3" t="s">
        <v>597</v>
      </c>
      <c r="E120" s="3" t="s">
        <v>598</v>
      </c>
      <c r="F120" s="3" t="s">
        <v>599</v>
      </c>
      <c r="G120" s="3" t="s">
        <v>14</v>
      </c>
      <c r="H120" s="3" t="s">
        <v>6</v>
      </c>
      <c r="I120" s="3" t="s">
        <v>15</v>
      </c>
      <c r="J120" s="3" t="s">
        <v>600</v>
      </c>
      <c r="K120" s="3"/>
      <c r="L120" s="3"/>
      <c r="M120" s="3"/>
      <c r="N120" s="3">
        <v>9460</v>
      </c>
      <c r="O120" s="3"/>
      <c r="P120" s="4">
        <v>46081</v>
      </c>
      <c r="Q120" s="5">
        <v>175.18</v>
      </c>
      <c r="R120" s="3">
        <v>27</v>
      </c>
      <c r="S120" s="3" t="s">
        <v>601</v>
      </c>
      <c r="T120" s="3">
        <v>0</v>
      </c>
      <c r="U120" s="3" t="s">
        <v>8</v>
      </c>
      <c r="V120" s="5">
        <v>175.18</v>
      </c>
      <c r="W120" s="3">
        <v>0</v>
      </c>
      <c r="X120" s="3">
        <v>0</v>
      </c>
      <c r="Y120" s="3">
        <v>0</v>
      </c>
      <c r="Z120" s="3">
        <v>0</v>
      </c>
      <c r="AA120" s="5">
        <v>175.18</v>
      </c>
      <c r="AF120" s="25"/>
      <c r="AG120" s="18"/>
      <c r="AH120" s="3"/>
      <c r="AI120" s="3"/>
      <c r="AJ120" s="3"/>
      <c r="AK120" s="15">
        <f t="shared" si="13"/>
        <v>0</v>
      </c>
      <c r="AL120" s="15">
        <f t="shared" si="14"/>
        <v>175.18</v>
      </c>
      <c r="AM120" s="15">
        <f>AL120</f>
        <v>175.18</v>
      </c>
      <c r="AN120" s="15">
        <f t="shared" si="16"/>
        <v>0</v>
      </c>
    </row>
    <row r="121" spans="1:40" x14ac:dyDescent="0.25">
      <c r="A121" s="10" t="s">
        <v>602</v>
      </c>
      <c r="B121" s="10" t="s">
        <v>1083</v>
      </c>
      <c r="C121" s="3" t="s">
        <v>603</v>
      </c>
      <c r="D121" s="3" t="s">
        <v>603</v>
      </c>
      <c r="E121" s="3"/>
      <c r="F121" s="3" t="s">
        <v>604</v>
      </c>
      <c r="G121" s="3" t="s">
        <v>14</v>
      </c>
      <c r="H121" s="3" t="s">
        <v>6</v>
      </c>
      <c r="I121" s="3"/>
      <c r="J121" s="3" t="s">
        <v>605</v>
      </c>
      <c r="K121" s="3"/>
      <c r="L121" s="3"/>
      <c r="M121" s="3"/>
      <c r="N121" s="3"/>
      <c r="O121" s="3"/>
      <c r="P121" s="4">
        <v>46081</v>
      </c>
      <c r="Q121" s="5">
        <v>214.27</v>
      </c>
      <c r="R121" s="3">
        <v>39</v>
      </c>
      <c r="S121" s="3"/>
      <c r="T121" s="3">
        <v>0</v>
      </c>
      <c r="U121" s="3" t="s">
        <v>8</v>
      </c>
      <c r="V121" s="5">
        <v>214.27</v>
      </c>
      <c r="W121" s="3">
        <v>0</v>
      </c>
      <c r="X121" s="3">
        <v>0</v>
      </c>
      <c r="Y121" s="3">
        <v>0</v>
      </c>
      <c r="Z121" s="3">
        <v>0</v>
      </c>
      <c r="AA121" s="5">
        <v>214.27</v>
      </c>
      <c r="AF121" s="25"/>
      <c r="AG121" s="18"/>
      <c r="AH121" s="3"/>
      <c r="AI121" s="3"/>
      <c r="AJ121" s="3"/>
      <c r="AK121" s="15">
        <f t="shared" si="13"/>
        <v>0</v>
      </c>
      <c r="AL121" s="15">
        <f t="shared" si="14"/>
        <v>214.27</v>
      </c>
      <c r="AM121" s="15">
        <f t="shared" si="17"/>
        <v>214.27</v>
      </c>
      <c r="AN121" s="15">
        <f t="shared" si="16"/>
        <v>0</v>
      </c>
    </row>
    <row r="122" spans="1:40" x14ac:dyDescent="0.25">
      <c r="A122" s="10" t="s">
        <v>606</v>
      </c>
      <c r="B122" s="10"/>
      <c r="C122" s="3" t="s">
        <v>607</v>
      </c>
      <c r="D122" s="3" t="s">
        <v>608</v>
      </c>
      <c r="E122" s="3"/>
      <c r="F122" s="3" t="s">
        <v>609</v>
      </c>
      <c r="G122" s="3" t="s">
        <v>14</v>
      </c>
      <c r="H122" s="3" t="s">
        <v>6</v>
      </c>
      <c r="I122" s="3"/>
      <c r="J122" s="3" t="s">
        <v>610</v>
      </c>
      <c r="K122" s="3"/>
      <c r="L122" s="3"/>
      <c r="M122" s="3"/>
      <c r="N122" s="3"/>
      <c r="O122" s="3"/>
      <c r="P122" s="4">
        <v>46080</v>
      </c>
      <c r="Q122" s="5">
        <v>131.80000000000001</v>
      </c>
      <c r="R122" s="3">
        <v>23</v>
      </c>
      <c r="S122" s="3"/>
      <c r="T122" s="3">
        <v>0</v>
      </c>
      <c r="U122" s="3" t="s">
        <v>8</v>
      </c>
      <c r="V122" s="5">
        <v>131.80000000000001</v>
      </c>
      <c r="W122" s="3">
        <v>0</v>
      </c>
      <c r="X122" s="3">
        <v>0</v>
      </c>
      <c r="Y122" s="3">
        <v>0</v>
      </c>
      <c r="Z122" s="3">
        <v>0</v>
      </c>
      <c r="AA122" s="5">
        <v>131.80000000000001</v>
      </c>
      <c r="AF122" s="25"/>
      <c r="AG122" s="18"/>
      <c r="AH122" s="3"/>
      <c r="AI122" s="3"/>
      <c r="AJ122" s="3"/>
      <c r="AK122" s="15">
        <f t="shared" si="13"/>
        <v>0</v>
      </c>
      <c r="AL122" s="15">
        <f t="shared" si="14"/>
        <v>131.80000000000001</v>
      </c>
      <c r="AM122" s="15">
        <f t="shared" si="17"/>
        <v>131.80000000000001</v>
      </c>
      <c r="AN122" s="15">
        <f t="shared" si="16"/>
        <v>0</v>
      </c>
    </row>
    <row r="123" spans="1:40" x14ac:dyDescent="0.25">
      <c r="A123" s="10">
        <v>1110</v>
      </c>
      <c r="B123" s="10"/>
      <c r="C123" s="3" t="s">
        <v>611</v>
      </c>
      <c r="D123" s="3"/>
      <c r="E123" s="3" t="s">
        <v>612</v>
      </c>
      <c r="F123" s="3" t="s">
        <v>613</v>
      </c>
      <c r="G123" s="3" t="s">
        <v>14</v>
      </c>
      <c r="H123" s="3" t="s">
        <v>6</v>
      </c>
      <c r="I123" s="3" t="s">
        <v>15</v>
      </c>
      <c r="J123" s="3" t="s">
        <v>614</v>
      </c>
      <c r="K123" s="3"/>
      <c r="L123" s="3"/>
      <c r="M123" s="3"/>
      <c r="N123" s="3">
        <v>1657</v>
      </c>
      <c r="O123" s="3"/>
      <c r="P123" s="4">
        <v>46053</v>
      </c>
      <c r="Q123" s="5">
        <v>600</v>
      </c>
      <c r="R123" s="3">
        <v>20</v>
      </c>
      <c r="S123" s="3"/>
      <c r="T123" s="3">
        <v>0</v>
      </c>
      <c r="U123" s="3" t="s">
        <v>8</v>
      </c>
      <c r="V123" s="5">
        <v>251.05</v>
      </c>
      <c r="W123" s="5">
        <v>-600</v>
      </c>
      <c r="X123" s="3">
        <v>0</v>
      </c>
      <c r="Y123" s="5">
        <v>251.05</v>
      </c>
      <c r="Z123" s="3">
        <v>0</v>
      </c>
      <c r="AA123" s="5">
        <v>-97.9</v>
      </c>
      <c r="AF123" s="25"/>
      <c r="AG123" s="19"/>
      <c r="AH123" s="3"/>
      <c r="AI123" s="5"/>
      <c r="AJ123" s="3"/>
      <c r="AK123" s="15">
        <f t="shared" si="13"/>
        <v>0</v>
      </c>
      <c r="AL123" s="15">
        <f t="shared" si="14"/>
        <v>-97.9</v>
      </c>
      <c r="AN123" s="15">
        <f t="shared" si="16"/>
        <v>-97.9</v>
      </c>
    </row>
    <row r="124" spans="1:40" x14ac:dyDescent="0.25">
      <c r="A124" s="10" t="s">
        <v>615</v>
      </c>
      <c r="B124" s="10" t="s">
        <v>1084</v>
      </c>
      <c r="C124" s="3" t="s">
        <v>616</v>
      </c>
      <c r="D124" s="3"/>
      <c r="E124" s="3" t="s">
        <v>617</v>
      </c>
      <c r="F124" s="3" t="s">
        <v>618</v>
      </c>
      <c r="G124" s="3" t="s">
        <v>14</v>
      </c>
      <c r="H124" s="3" t="s">
        <v>6</v>
      </c>
      <c r="I124" s="3"/>
      <c r="J124" s="3" t="s">
        <v>619</v>
      </c>
      <c r="K124" s="3" t="s">
        <v>620</v>
      </c>
      <c r="L124" s="3"/>
      <c r="M124" s="3"/>
      <c r="N124" s="3">
        <v>2066</v>
      </c>
      <c r="O124" s="3"/>
      <c r="P124" s="4">
        <v>46055</v>
      </c>
      <c r="Q124" s="5">
        <v>30000</v>
      </c>
      <c r="R124" s="3">
        <v>56</v>
      </c>
      <c r="S124" s="3"/>
      <c r="T124" s="3">
        <v>0</v>
      </c>
      <c r="U124" s="3" t="s">
        <v>8</v>
      </c>
      <c r="V124" s="5">
        <v>11037.7</v>
      </c>
      <c r="W124" s="5">
        <v>9657.7000000000007</v>
      </c>
      <c r="X124" s="5">
        <v>173555.83</v>
      </c>
      <c r="Y124" s="3">
        <v>0</v>
      </c>
      <c r="Z124" s="5">
        <v>-23712.95</v>
      </c>
      <c r="AA124" s="5">
        <v>170538.28</v>
      </c>
      <c r="AC124" t="str">
        <f>[1]nedredc!$A$37</f>
        <v>05/03/2026</v>
      </c>
      <c r="AD124" t="str">
        <f>[1]nedredc!$B$37</f>
        <v>MAYSENE LOGISTICS</v>
      </c>
      <c r="AE124" s="15">
        <f>[1]nedredc!$C$37</f>
        <v>30000</v>
      </c>
      <c r="AF124" s="25"/>
      <c r="AG124" s="19"/>
      <c r="AH124" s="5">
        <f>AE124</f>
        <v>30000</v>
      </c>
      <c r="AI124" s="3"/>
      <c r="AJ124" s="5"/>
      <c r="AK124" s="15">
        <f t="shared" si="13"/>
        <v>30000</v>
      </c>
      <c r="AL124" s="15">
        <f t="shared" si="14"/>
        <v>140538.28</v>
      </c>
      <c r="AM124">
        <v>140538.28</v>
      </c>
      <c r="AN124" s="15">
        <f t="shared" si="16"/>
        <v>0</v>
      </c>
    </row>
    <row r="125" spans="1:40" x14ac:dyDescent="0.25">
      <c r="A125" s="10" t="s">
        <v>621</v>
      </c>
      <c r="B125" s="10"/>
      <c r="C125" s="3" t="s">
        <v>622</v>
      </c>
      <c r="D125" s="3" t="s">
        <v>622</v>
      </c>
      <c r="E125" s="3"/>
      <c r="F125" s="3" t="s">
        <v>623</v>
      </c>
      <c r="G125" s="3" t="s">
        <v>14</v>
      </c>
      <c r="H125" s="3" t="s">
        <v>6</v>
      </c>
      <c r="I125" s="3"/>
      <c r="J125" s="3" t="s">
        <v>624</v>
      </c>
      <c r="K125" s="3"/>
      <c r="L125" s="3"/>
      <c r="M125" s="3" t="s">
        <v>22</v>
      </c>
      <c r="N125" s="3"/>
      <c r="O125" s="3"/>
      <c r="P125" s="4">
        <v>46081</v>
      </c>
      <c r="Q125" s="5">
        <v>128.80000000000001</v>
      </c>
      <c r="R125" s="3">
        <v>42</v>
      </c>
      <c r="S125" s="3"/>
      <c r="T125" s="3">
        <v>0</v>
      </c>
      <c r="U125" s="3" t="s">
        <v>8</v>
      </c>
      <c r="V125" s="5">
        <v>128.80000000000001</v>
      </c>
      <c r="W125" s="3">
        <v>0</v>
      </c>
      <c r="X125" s="3">
        <v>0</v>
      </c>
      <c r="Y125" s="3">
        <v>0</v>
      </c>
      <c r="Z125" s="3">
        <v>0</v>
      </c>
      <c r="AA125" s="5">
        <v>128.80000000000001</v>
      </c>
      <c r="AF125" s="25"/>
      <c r="AG125" s="18"/>
      <c r="AH125" s="3"/>
      <c r="AI125" s="3"/>
      <c r="AJ125" s="3"/>
      <c r="AK125" s="15">
        <f t="shared" si="13"/>
        <v>0</v>
      </c>
      <c r="AL125" s="15">
        <f t="shared" si="14"/>
        <v>128.80000000000001</v>
      </c>
      <c r="AM125" s="15">
        <f>AL125</f>
        <v>128.80000000000001</v>
      </c>
      <c r="AN125" s="15">
        <f t="shared" si="16"/>
        <v>0</v>
      </c>
    </row>
    <row r="126" spans="1:40" x14ac:dyDescent="0.25">
      <c r="A126" s="10" t="s">
        <v>625</v>
      </c>
      <c r="B126" s="10" t="s">
        <v>1085</v>
      </c>
      <c r="C126" s="3" t="s">
        <v>626</v>
      </c>
      <c r="D126" s="3" t="s">
        <v>626</v>
      </c>
      <c r="E126" s="3"/>
      <c r="F126" s="3" t="s">
        <v>627</v>
      </c>
      <c r="G126" s="3" t="s">
        <v>14</v>
      </c>
      <c r="H126" s="3" t="s">
        <v>6</v>
      </c>
      <c r="I126" s="3" t="s">
        <v>15</v>
      </c>
      <c r="J126" s="3" t="s">
        <v>628</v>
      </c>
      <c r="K126" s="3"/>
      <c r="L126" s="3"/>
      <c r="M126" s="3" t="s">
        <v>22</v>
      </c>
      <c r="N126" s="3"/>
      <c r="O126" s="3"/>
      <c r="P126" s="4">
        <v>46079</v>
      </c>
      <c r="Q126" s="5">
        <v>143.41999999999999</v>
      </c>
      <c r="R126" s="3">
        <v>60</v>
      </c>
      <c r="S126" s="3"/>
      <c r="T126" s="3">
        <v>0</v>
      </c>
      <c r="U126" s="3" t="s">
        <v>8</v>
      </c>
      <c r="V126" s="3">
        <v>0</v>
      </c>
      <c r="W126" s="3">
        <v>0</v>
      </c>
      <c r="X126" s="3">
        <v>0</v>
      </c>
      <c r="Y126" s="5">
        <v>143.41999999999999</v>
      </c>
      <c r="Z126" s="5">
        <v>143.41999999999999</v>
      </c>
      <c r="AA126" s="5">
        <v>286.83999999999997</v>
      </c>
      <c r="AF126" s="25"/>
      <c r="AG126" s="18"/>
      <c r="AH126" s="3"/>
      <c r="AI126" s="5"/>
      <c r="AJ126" s="5"/>
      <c r="AK126" s="15">
        <f t="shared" si="13"/>
        <v>0</v>
      </c>
      <c r="AL126" s="15">
        <f t="shared" si="14"/>
        <v>286.83999999999997</v>
      </c>
      <c r="AM126" s="15">
        <f t="shared" ref="AM126:AM127" si="18">AL126</f>
        <v>286.83999999999997</v>
      </c>
      <c r="AN126" s="15">
        <f t="shared" si="16"/>
        <v>0</v>
      </c>
    </row>
    <row r="127" spans="1:40" x14ac:dyDescent="0.25">
      <c r="A127" s="10" t="s">
        <v>629</v>
      </c>
      <c r="B127" s="10" t="s">
        <v>1086</v>
      </c>
      <c r="C127" s="3" t="s">
        <v>630</v>
      </c>
      <c r="D127" s="3" t="s">
        <v>631</v>
      </c>
      <c r="E127" s="3"/>
      <c r="F127" s="3" t="s">
        <v>632</v>
      </c>
      <c r="G127" s="3" t="s">
        <v>14</v>
      </c>
      <c r="H127" s="3" t="s">
        <v>6</v>
      </c>
      <c r="I127" s="3" t="s">
        <v>15</v>
      </c>
      <c r="J127" s="3" t="s">
        <v>633</v>
      </c>
      <c r="K127" s="3"/>
      <c r="L127" s="3"/>
      <c r="M127" s="3"/>
      <c r="N127" s="3">
        <v>2196</v>
      </c>
      <c r="O127" s="3"/>
      <c r="P127" s="4">
        <v>46081</v>
      </c>
      <c r="Q127" s="5">
        <v>742.42</v>
      </c>
      <c r="R127" s="3">
        <v>85</v>
      </c>
      <c r="S127" s="3"/>
      <c r="T127" s="3">
        <v>0</v>
      </c>
      <c r="U127" s="3" t="s">
        <v>8</v>
      </c>
      <c r="V127" s="5">
        <v>742.42</v>
      </c>
      <c r="W127" s="3">
        <v>0</v>
      </c>
      <c r="X127" s="3">
        <v>0</v>
      </c>
      <c r="Y127" s="3">
        <v>0</v>
      </c>
      <c r="Z127" s="3">
        <v>0</v>
      </c>
      <c r="AA127" s="5">
        <v>742.42</v>
      </c>
      <c r="AF127" s="25"/>
      <c r="AG127" s="18"/>
      <c r="AH127" s="3"/>
      <c r="AI127" s="3"/>
      <c r="AJ127" s="3"/>
      <c r="AK127" s="15">
        <f t="shared" si="13"/>
        <v>0</v>
      </c>
      <c r="AL127" s="15">
        <f t="shared" si="14"/>
        <v>742.42</v>
      </c>
      <c r="AM127" s="15">
        <f t="shared" si="18"/>
        <v>742.42</v>
      </c>
      <c r="AN127" s="15">
        <f t="shared" si="16"/>
        <v>0</v>
      </c>
    </row>
    <row r="128" spans="1:40" x14ac:dyDescent="0.25">
      <c r="A128" s="10" t="s">
        <v>634</v>
      </c>
      <c r="B128" s="10"/>
      <c r="C128" s="3" t="s">
        <v>635</v>
      </c>
      <c r="D128" s="3" t="s">
        <v>636</v>
      </c>
      <c r="E128" s="3" t="s">
        <v>637</v>
      </c>
      <c r="F128" s="3"/>
      <c r="G128" s="3" t="s">
        <v>14</v>
      </c>
      <c r="H128" s="3" t="s">
        <v>6</v>
      </c>
      <c r="I128" s="3" t="s">
        <v>33</v>
      </c>
      <c r="J128" s="3" t="s">
        <v>638</v>
      </c>
      <c r="K128" s="3"/>
      <c r="L128" s="3"/>
      <c r="M128" s="3"/>
      <c r="N128" s="3">
        <v>1686</v>
      </c>
      <c r="O128" s="3"/>
      <c r="P128" s="4">
        <v>46074</v>
      </c>
      <c r="Q128" s="5">
        <v>5531.5</v>
      </c>
      <c r="R128" s="3">
        <v>66</v>
      </c>
      <c r="S128" s="3"/>
      <c r="T128" s="3">
        <v>0</v>
      </c>
      <c r="U128" s="3" t="s">
        <v>8</v>
      </c>
      <c r="V128" s="5">
        <v>4634.5</v>
      </c>
      <c r="W128" s="3">
        <v>0</v>
      </c>
      <c r="X128" s="5">
        <v>149.5</v>
      </c>
      <c r="Y128" s="5">
        <v>299</v>
      </c>
      <c r="Z128" s="5">
        <v>395.05</v>
      </c>
      <c r="AA128" s="5">
        <v>5478.05</v>
      </c>
      <c r="AF128" s="25"/>
      <c r="AG128" s="18"/>
      <c r="AH128" s="5"/>
      <c r="AI128" s="5"/>
      <c r="AJ128" s="5"/>
      <c r="AK128" s="15">
        <f t="shared" si="13"/>
        <v>0</v>
      </c>
      <c r="AL128" s="15">
        <f t="shared" si="14"/>
        <v>5478.05</v>
      </c>
      <c r="AM128" s="15">
        <v>5328.55</v>
      </c>
      <c r="AN128" s="15">
        <f t="shared" si="16"/>
        <v>149.5</v>
      </c>
    </row>
    <row r="129" spans="1:40" x14ac:dyDescent="0.25">
      <c r="A129" s="10" t="s">
        <v>634</v>
      </c>
      <c r="B129" s="10"/>
      <c r="C129" s="3" t="s">
        <v>635</v>
      </c>
      <c r="D129" s="3" t="s">
        <v>636</v>
      </c>
      <c r="E129" s="3" t="s">
        <v>637</v>
      </c>
      <c r="F129" s="3"/>
      <c r="G129" s="3" t="s">
        <v>14</v>
      </c>
      <c r="H129" s="3" t="s">
        <v>6</v>
      </c>
      <c r="I129" s="3" t="s">
        <v>33</v>
      </c>
      <c r="J129" s="3" t="s">
        <v>638</v>
      </c>
      <c r="K129" s="3"/>
      <c r="L129" s="3"/>
      <c r="M129" s="3"/>
      <c r="N129" s="3">
        <v>1686</v>
      </c>
      <c r="O129" s="3"/>
      <c r="P129" s="4">
        <v>46074</v>
      </c>
      <c r="Q129" s="5">
        <v>5531.5</v>
      </c>
      <c r="R129" s="3">
        <v>66</v>
      </c>
      <c r="S129" s="3"/>
      <c r="T129" s="3">
        <v>0</v>
      </c>
      <c r="U129" s="3" t="s">
        <v>639</v>
      </c>
      <c r="V129" s="3">
        <v>0</v>
      </c>
      <c r="W129" s="3">
        <v>0</v>
      </c>
      <c r="X129" s="3">
        <v>0</v>
      </c>
      <c r="Y129" s="5">
        <v>-16</v>
      </c>
      <c r="Z129" s="5">
        <v>-16</v>
      </c>
      <c r="AA129" s="5">
        <v>-32</v>
      </c>
      <c r="AF129" s="25"/>
      <c r="AG129" s="18"/>
      <c r="AH129" s="3"/>
      <c r="AI129" s="5"/>
      <c r="AJ129" s="5"/>
      <c r="AK129" s="15">
        <f t="shared" si="13"/>
        <v>0</v>
      </c>
      <c r="AL129" s="15">
        <f t="shared" si="14"/>
        <v>-32</v>
      </c>
      <c r="AN129" s="15">
        <f t="shared" si="16"/>
        <v>-32</v>
      </c>
    </row>
    <row r="130" spans="1:40" x14ac:dyDescent="0.25">
      <c r="A130" s="10" t="s">
        <v>640</v>
      </c>
      <c r="B130" s="10"/>
      <c r="C130" s="3" t="s">
        <v>641</v>
      </c>
      <c r="D130" s="3" t="s">
        <v>642</v>
      </c>
      <c r="E130" s="3"/>
      <c r="F130" s="3" t="s">
        <v>643</v>
      </c>
      <c r="G130" s="3" t="s">
        <v>14</v>
      </c>
      <c r="H130" s="3" t="s">
        <v>6</v>
      </c>
      <c r="I130" s="3"/>
      <c r="J130" s="3" t="s">
        <v>644</v>
      </c>
      <c r="K130" s="3"/>
      <c r="L130" s="3"/>
      <c r="M130" s="3" t="s">
        <v>22</v>
      </c>
      <c r="N130" s="3"/>
      <c r="O130" s="3"/>
      <c r="P130" s="4">
        <v>46045</v>
      </c>
      <c r="Q130" s="5">
        <v>21948.9</v>
      </c>
      <c r="R130" s="3">
        <v>59</v>
      </c>
      <c r="S130" s="3"/>
      <c r="T130" s="3">
        <v>0</v>
      </c>
      <c r="U130" s="3" t="s">
        <v>8</v>
      </c>
      <c r="V130" s="5">
        <v>21319.15</v>
      </c>
      <c r="W130" s="5">
        <v>3117.61</v>
      </c>
      <c r="X130" s="5">
        <v>747.5</v>
      </c>
      <c r="Y130" s="3">
        <v>0.02</v>
      </c>
      <c r="Z130" s="3">
        <v>0</v>
      </c>
      <c r="AA130" s="5">
        <v>25184.28</v>
      </c>
      <c r="AC130" t="str">
        <f>[1]nedredc!$A$15</f>
        <v>14/03/2026</v>
      </c>
      <c r="AD130" t="str">
        <f>[1]nedredc!$B$15</f>
        <v>MIXENTERPRISE001</v>
      </c>
      <c r="AF130" s="26">
        <f>[1]nedredc!$C$15</f>
        <v>3117.65</v>
      </c>
      <c r="AG130" s="19">
        <f>AF130</f>
        <v>3117.65</v>
      </c>
      <c r="AH130" s="5"/>
      <c r="AI130" s="3"/>
      <c r="AJ130" s="3"/>
      <c r="AK130" s="15">
        <f t="shared" si="13"/>
        <v>6235.3</v>
      </c>
      <c r="AL130" s="15">
        <f t="shared" si="14"/>
        <v>18948.98</v>
      </c>
      <c r="AM130" s="15">
        <f>AL130</f>
        <v>18948.98</v>
      </c>
      <c r="AN130" s="15">
        <f t="shared" si="16"/>
        <v>0</v>
      </c>
    </row>
    <row r="131" spans="1:40" x14ac:dyDescent="0.25">
      <c r="A131" s="10" t="s">
        <v>645</v>
      </c>
      <c r="B131" s="10" t="s">
        <v>1087</v>
      </c>
      <c r="C131" s="3" t="s">
        <v>646</v>
      </c>
      <c r="D131" s="3" t="s">
        <v>647</v>
      </c>
      <c r="E131" s="3"/>
      <c r="F131" s="3" t="s">
        <v>648</v>
      </c>
      <c r="G131" s="3" t="s">
        <v>14</v>
      </c>
      <c r="H131" s="3" t="s">
        <v>6</v>
      </c>
      <c r="I131" s="3"/>
      <c r="J131" s="3" t="s">
        <v>649</v>
      </c>
      <c r="K131" s="3"/>
      <c r="L131" s="3"/>
      <c r="M131" s="3" t="s">
        <v>22</v>
      </c>
      <c r="N131" s="3"/>
      <c r="O131" s="3"/>
      <c r="P131" s="4">
        <v>46081</v>
      </c>
      <c r="Q131" s="5">
        <v>18400</v>
      </c>
      <c r="R131" s="3">
        <v>71</v>
      </c>
      <c r="S131" s="3"/>
      <c r="T131" s="3">
        <v>0</v>
      </c>
      <c r="U131" s="3" t="s">
        <v>8</v>
      </c>
      <c r="V131" s="5">
        <v>20861</v>
      </c>
      <c r="W131" s="3">
        <v>0</v>
      </c>
      <c r="X131" s="3">
        <v>0</v>
      </c>
      <c r="Y131" s="3">
        <v>0</v>
      </c>
      <c r="Z131" s="3">
        <v>0</v>
      </c>
      <c r="AA131" s="5">
        <v>20861</v>
      </c>
      <c r="AF131" s="25"/>
      <c r="AG131" s="18"/>
      <c r="AH131" s="3"/>
      <c r="AI131" s="3"/>
      <c r="AJ131" s="3"/>
      <c r="AK131" s="15">
        <f t="shared" si="13"/>
        <v>0</v>
      </c>
      <c r="AL131" s="15">
        <f t="shared" si="14"/>
        <v>20861</v>
      </c>
      <c r="AM131" s="15">
        <f t="shared" ref="AM131:AM135" si="19">AL131</f>
        <v>20861</v>
      </c>
      <c r="AN131" s="15">
        <f t="shared" si="16"/>
        <v>0</v>
      </c>
    </row>
    <row r="132" spans="1:40" x14ac:dyDescent="0.25">
      <c r="A132" s="10" t="s">
        <v>650</v>
      </c>
      <c r="B132" s="10"/>
      <c r="C132" s="3" t="s">
        <v>651</v>
      </c>
      <c r="D132" s="3" t="s">
        <v>652</v>
      </c>
      <c r="E132" s="3" t="s">
        <v>653</v>
      </c>
      <c r="F132" s="3"/>
      <c r="G132" s="3" t="s">
        <v>14</v>
      </c>
      <c r="H132" s="3" t="s">
        <v>6</v>
      </c>
      <c r="I132" s="3"/>
      <c r="J132" s="3" t="s">
        <v>654</v>
      </c>
      <c r="K132" s="3"/>
      <c r="L132" s="3"/>
      <c r="M132" s="3"/>
      <c r="N132" s="3">
        <v>1400</v>
      </c>
      <c r="O132" s="3"/>
      <c r="P132" s="4">
        <v>46058</v>
      </c>
      <c r="Q132" s="5">
        <v>340000</v>
      </c>
      <c r="R132" s="3">
        <v>1456</v>
      </c>
      <c r="S132" s="3"/>
      <c r="T132" s="3">
        <v>0</v>
      </c>
      <c r="U132" s="3" t="s">
        <v>8</v>
      </c>
      <c r="V132" s="3">
        <v>0</v>
      </c>
      <c r="W132" s="5">
        <v>895</v>
      </c>
      <c r="X132" s="3">
        <v>0</v>
      </c>
      <c r="Y132" s="3">
        <v>0</v>
      </c>
      <c r="Z132" s="3">
        <v>0</v>
      </c>
      <c r="AA132" s="5">
        <v>895</v>
      </c>
      <c r="AF132" s="25"/>
      <c r="AG132" s="19"/>
      <c r="AH132" s="3"/>
      <c r="AI132" s="3"/>
      <c r="AJ132" s="3"/>
      <c r="AK132" s="15">
        <f t="shared" si="13"/>
        <v>0</v>
      </c>
      <c r="AL132" s="15">
        <f t="shared" si="14"/>
        <v>895</v>
      </c>
      <c r="AM132" s="15">
        <f t="shared" si="19"/>
        <v>895</v>
      </c>
      <c r="AN132" s="15">
        <f t="shared" si="16"/>
        <v>0</v>
      </c>
    </row>
    <row r="133" spans="1:40" x14ac:dyDescent="0.25">
      <c r="A133" s="10" t="s">
        <v>655</v>
      </c>
      <c r="B133" s="10" t="s">
        <v>1088</v>
      </c>
      <c r="C133" s="3" t="s">
        <v>656</v>
      </c>
      <c r="D133" s="3" t="s">
        <v>657</v>
      </c>
      <c r="E133" s="3" t="s">
        <v>658</v>
      </c>
      <c r="F133" s="3" t="s">
        <v>659</v>
      </c>
      <c r="G133" s="3" t="s">
        <v>14</v>
      </c>
      <c r="H133" s="3" t="s">
        <v>6</v>
      </c>
      <c r="I133" s="3"/>
      <c r="J133" s="3" t="s">
        <v>660</v>
      </c>
      <c r="K133" s="3"/>
      <c r="L133" s="3"/>
      <c r="M133" s="3" t="s">
        <v>22</v>
      </c>
      <c r="N133" s="3"/>
      <c r="O133" s="3"/>
      <c r="P133" s="4">
        <v>46051</v>
      </c>
      <c r="Q133" s="5">
        <v>13627.5</v>
      </c>
      <c r="R133" s="3">
        <v>31</v>
      </c>
      <c r="S133" s="3"/>
      <c r="T133" s="3">
        <v>0</v>
      </c>
      <c r="U133" s="3" t="s">
        <v>8</v>
      </c>
      <c r="V133" s="5">
        <v>13627.5</v>
      </c>
      <c r="W133" s="3">
        <v>0</v>
      </c>
      <c r="X133" s="3">
        <v>0</v>
      </c>
      <c r="Y133" s="3">
        <v>0</v>
      </c>
      <c r="Z133" s="3">
        <v>0</v>
      </c>
      <c r="AA133" s="5">
        <v>13627.5</v>
      </c>
      <c r="AC133" t="str">
        <f>[1]nedredc!$A$27</f>
        <v>04/03/2026</v>
      </c>
      <c r="AD133">
        <f>[1]nedredc!$B$27</f>
        <v>118236</v>
      </c>
      <c r="AE133" s="15">
        <f>[1]nedredc!$C$27</f>
        <v>13627.5</v>
      </c>
      <c r="AF133" s="26">
        <f>V133</f>
        <v>13627.5</v>
      </c>
      <c r="AG133" s="18"/>
      <c r="AH133" s="3"/>
      <c r="AI133" s="3"/>
      <c r="AJ133" s="3"/>
      <c r="AK133" s="15">
        <f t="shared" si="13"/>
        <v>13627.5</v>
      </c>
      <c r="AL133" s="15">
        <f t="shared" si="14"/>
        <v>0</v>
      </c>
      <c r="AM133" s="15">
        <f t="shared" si="19"/>
        <v>0</v>
      </c>
      <c r="AN133" s="15">
        <f t="shared" si="16"/>
        <v>0</v>
      </c>
    </row>
    <row r="134" spans="1:40" x14ac:dyDescent="0.25">
      <c r="A134" s="10">
        <v>1137</v>
      </c>
      <c r="B134" s="10"/>
      <c r="C134" s="3" t="s">
        <v>661</v>
      </c>
      <c r="D134" s="3" t="s">
        <v>662</v>
      </c>
      <c r="E134" s="3"/>
      <c r="F134" s="3" t="s">
        <v>663</v>
      </c>
      <c r="G134" s="3" t="s">
        <v>14</v>
      </c>
      <c r="H134" s="3" t="s">
        <v>6</v>
      </c>
      <c r="I134" s="3" t="s">
        <v>15</v>
      </c>
      <c r="J134" s="3" t="s">
        <v>664</v>
      </c>
      <c r="K134" s="3"/>
      <c r="L134" s="3"/>
      <c r="M134" s="3" t="s">
        <v>22</v>
      </c>
      <c r="N134" s="3"/>
      <c r="O134" s="3"/>
      <c r="P134" s="4">
        <v>46081</v>
      </c>
      <c r="Q134" s="5">
        <v>2458.6999999999998</v>
      </c>
      <c r="R134" s="3">
        <v>279</v>
      </c>
      <c r="S134" s="3"/>
      <c r="T134" s="3">
        <v>0</v>
      </c>
      <c r="U134" s="3" t="s">
        <v>8</v>
      </c>
      <c r="V134" s="5">
        <v>2458.6999999999998</v>
      </c>
      <c r="W134" s="3">
        <v>0</v>
      </c>
      <c r="X134" s="3">
        <v>0</v>
      </c>
      <c r="Y134" s="3">
        <v>0</v>
      </c>
      <c r="Z134" s="3">
        <v>0</v>
      </c>
      <c r="AA134" s="5">
        <v>2458.6999999999998</v>
      </c>
      <c r="AF134" s="25"/>
      <c r="AG134" s="18"/>
      <c r="AH134" s="3"/>
      <c r="AI134" s="3"/>
      <c r="AJ134" s="3"/>
      <c r="AK134" s="15">
        <f t="shared" si="13"/>
        <v>0</v>
      </c>
      <c r="AL134" s="15">
        <f t="shared" si="14"/>
        <v>2458.6999999999998</v>
      </c>
      <c r="AM134" s="15">
        <f t="shared" si="19"/>
        <v>2458.6999999999998</v>
      </c>
      <c r="AN134" s="15">
        <f t="shared" si="16"/>
        <v>0</v>
      </c>
    </row>
    <row r="135" spans="1:40" x14ac:dyDescent="0.25">
      <c r="A135" s="10" t="s">
        <v>665</v>
      </c>
      <c r="B135" s="10"/>
      <c r="C135" s="3" t="s">
        <v>666</v>
      </c>
      <c r="D135" s="3" t="s">
        <v>667</v>
      </c>
      <c r="E135" s="3" t="s">
        <v>668</v>
      </c>
      <c r="F135" s="3" t="s">
        <v>669</v>
      </c>
      <c r="G135" s="3" t="s">
        <v>14</v>
      </c>
      <c r="H135" s="3" t="s">
        <v>6</v>
      </c>
      <c r="I135" s="3" t="s">
        <v>15</v>
      </c>
      <c r="J135" s="3" t="s">
        <v>670</v>
      </c>
      <c r="K135" s="3"/>
      <c r="L135" s="3"/>
      <c r="M135" s="3" t="s">
        <v>22</v>
      </c>
      <c r="N135" s="3"/>
      <c r="O135" s="3"/>
      <c r="P135" s="4">
        <v>45625</v>
      </c>
      <c r="Q135" s="5">
        <v>19285.5</v>
      </c>
      <c r="R135" s="3">
        <v>200</v>
      </c>
      <c r="S135" s="3"/>
      <c r="T135" s="3">
        <v>0</v>
      </c>
      <c r="U135" s="3" t="s">
        <v>8</v>
      </c>
      <c r="V135" s="3">
        <v>0</v>
      </c>
      <c r="W135" s="3">
        <v>0</v>
      </c>
      <c r="X135" s="3">
        <v>0</v>
      </c>
      <c r="Y135" s="3">
        <v>0</v>
      </c>
      <c r="Z135" s="5">
        <v>38548</v>
      </c>
      <c r="AA135" s="5">
        <v>38548</v>
      </c>
      <c r="AF135" s="25"/>
      <c r="AG135" s="18"/>
      <c r="AH135" s="3"/>
      <c r="AI135" s="3"/>
      <c r="AJ135" s="5"/>
      <c r="AK135" s="15">
        <f t="shared" si="13"/>
        <v>0</v>
      </c>
      <c r="AL135" s="15">
        <f t="shared" si="14"/>
        <v>38548</v>
      </c>
      <c r="AM135" s="15">
        <f t="shared" si="19"/>
        <v>38548</v>
      </c>
      <c r="AN135" s="15">
        <f t="shared" si="16"/>
        <v>0</v>
      </c>
    </row>
    <row r="136" spans="1:40" x14ac:dyDescent="0.25">
      <c r="A136" s="10" t="s">
        <v>671</v>
      </c>
      <c r="B136" s="10"/>
      <c r="C136" s="3" t="s">
        <v>672</v>
      </c>
      <c r="D136" s="3" t="s">
        <v>672</v>
      </c>
      <c r="E136" s="6" t="s">
        <v>673</v>
      </c>
      <c r="F136" s="3" t="s">
        <v>674</v>
      </c>
      <c r="G136" s="3" t="s">
        <v>14</v>
      </c>
      <c r="H136" s="3" t="s">
        <v>6</v>
      </c>
      <c r="I136" s="3"/>
      <c r="J136" s="3" t="s">
        <v>675</v>
      </c>
      <c r="K136" s="3"/>
      <c r="L136" s="3"/>
      <c r="M136" s="3"/>
      <c r="N136" s="3"/>
      <c r="O136" s="3"/>
      <c r="P136" s="4">
        <v>46055</v>
      </c>
      <c r="Q136" s="5">
        <v>113.85</v>
      </c>
      <c r="R136" s="3">
        <v>54</v>
      </c>
      <c r="S136" s="3"/>
      <c r="T136" s="3">
        <v>0</v>
      </c>
      <c r="U136" s="3" t="s">
        <v>8</v>
      </c>
      <c r="V136" s="16">
        <v>113.85</v>
      </c>
      <c r="W136" s="3">
        <v>0</v>
      </c>
      <c r="X136" s="3">
        <v>0</v>
      </c>
      <c r="Y136" s="3">
        <v>0</v>
      </c>
      <c r="Z136" s="5">
        <v>-113.79</v>
      </c>
      <c r="AA136" s="3">
        <v>0.06</v>
      </c>
      <c r="AC136" t="str">
        <f>[1]nedredc!$A$2</f>
        <v>02/03/2026</v>
      </c>
      <c r="AD136" t="str">
        <f>[1]nedredc!$B$3</f>
        <v>Onyx Distributor ONY001</v>
      </c>
      <c r="AE136" s="17">
        <f>[1]nedredc!$C$2</f>
        <v>113.85</v>
      </c>
      <c r="AF136" s="26"/>
      <c r="AG136" s="20">
        <f>AE136</f>
        <v>113.85</v>
      </c>
      <c r="AH136" s="3"/>
      <c r="AI136" s="3"/>
      <c r="AJ136" s="5"/>
      <c r="AK136" s="15">
        <f t="shared" si="13"/>
        <v>113.85</v>
      </c>
      <c r="AL136" s="15">
        <f t="shared" si="14"/>
        <v>-113.78999999999999</v>
      </c>
      <c r="AM136">
        <v>-113.79</v>
      </c>
      <c r="AN136" s="15">
        <f t="shared" si="16"/>
        <v>0</v>
      </c>
    </row>
    <row r="137" spans="1:40" x14ac:dyDescent="0.25">
      <c r="A137" s="10" t="s">
        <v>676</v>
      </c>
      <c r="B137" s="10" t="s">
        <v>1089</v>
      </c>
      <c r="C137" s="3" t="s">
        <v>677</v>
      </c>
      <c r="D137" s="3" t="s">
        <v>678</v>
      </c>
      <c r="E137" s="3" t="s">
        <v>679</v>
      </c>
      <c r="F137" s="3" t="s">
        <v>680</v>
      </c>
      <c r="G137" s="3" t="s">
        <v>14</v>
      </c>
      <c r="H137" s="3" t="s">
        <v>6</v>
      </c>
      <c r="I137" s="3" t="s">
        <v>15</v>
      </c>
      <c r="J137" s="3" t="s">
        <v>681</v>
      </c>
      <c r="K137" s="3"/>
      <c r="L137" s="3"/>
      <c r="M137" s="3"/>
      <c r="N137" s="3">
        <v>2000</v>
      </c>
      <c r="O137" s="3"/>
      <c r="P137" s="4">
        <v>46081</v>
      </c>
      <c r="Q137" s="5">
        <v>338.25</v>
      </c>
      <c r="R137" s="3">
        <v>41</v>
      </c>
      <c r="S137" s="3"/>
      <c r="T137" s="3">
        <v>0</v>
      </c>
      <c r="U137" s="3" t="s">
        <v>8</v>
      </c>
      <c r="V137" s="5">
        <v>338.25</v>
      </c>
      <c r="W137" s="3">
        <v>0</v>
      </c>
      <c r="X137" s="3">
        <v>0.33</v>
      </c>
      <c r="Y137" s="3">
        <v>0</v>
      </c>
      <c r="Z137" s="5">
        <v>-0.33</v>
      </c>
      <c r="AA137" s="5">
        <v>338.25</v>
      </c>
      <c r="AF137" s="25"/>
      <c r="AG137" s="18"/>
      <c r="AH137" s="3"/>
      <c r="AI137" s="3"/>
      <c r="AJ137" s="5"/>
      <c r="AK137" s="15">
        <f t="shared" si="13"/>
        <v>0</v>
      </c>
      <c r="AL137" s="15">
        <f t="shared" si="14"/>
        <v>338.25</v>
      </c>
      <c r="AM137" s="15">
        <f>AL137</f>
        <v>338.25</v>
      </c>
      <c r="AN137" s="15">
        <f t="shared" si="16"/>
        <v>0</v>
      </c>
    </row>
    <row r="138" spans="1:40" x14ac:dyDescent="0.25">
      <c r="A138" s="10" t="s">
        <v>682</v>
      </c>
      <c r="B138" s="10" t="s">
        <v>1090</v>
      </c>
      <c r="C138" s="21" t="s">
        <v>683</v>
      </c>
      <c r="D138" s="21" t="s">
        <v>684</v>
      </c>
      <c r="E138" s="21" t="s">
        <v>685</v>
      </c>
      <c r="F138" s="21" t="s">
        <v>686</v>
      </c>
      <c r="G138" s="21" t="s">
        <v>14</v>
      </c>
      <c r="H138" s="21" t="s">
        <v>6</v>
      </c>
      <c r="I138" s="21"/>
      <c r="J138" s="21" t="s">
        <v>687</v>
      </c>
      <c r="K138" s="21"/>
      <c r="L138" s="21"/>
      <c r="M138" s="21" t="s">
        <v>22</v>
      </c>
      <c r="N138" s="21"/>
      <c r="O138" s="21"/>
      <c r="P138" s="22">
        <v>46049</v>
      </c>
      <c r="Q138" s="23">
        <v>79159.33</v>
      </c>
      <c r="R138" s="21">
        <v>116</v>
      </c>
      <c r="S138" s="21"/>
      <c r="T138" s="21">
        <v>0</v>
      </c>
      <c r="U138" s="21" t="s">
        <v>8</v>
      </c>
      <c r="V138" s="23">
        <v>79009.83</v>
      </c>
      <c r="W138" s="5">
        <v>805</v>
      </c>
      <c r="X138" s="3">
        <v>0</v>
      </c>
      <c r="Y138" s="3">
        <v>0.01</v>
      </c>
      <c r="Z138" s="3">
        <v>0</v>
      </c>
      <c r="AA138" s="5">
        <v>79814.84</v>
      </c>
      <c r="AC138" t="str">
        <f>[1]nedredc!$A$11</f>
        <v>16/03/2026</v>
      </c>
      <c r="AD138" t="str">
        <f>[1]nedredc!$B$11</f>
        <v>NN METALS</v>
      </c>
      <c r="AE138" s="17">
        <f>[1]nedredc!$C$11</f>
        <v>1437.51</v>
      </c>
      <c r="AF138" s="26">
        <f>AE139</f>
        <v>76939.83</v>
      </c>
      <c r="AG138" s="19">
        <f>AE138</f>
        <v>1437.51</v>
      </c>
      <c r="AH138" s="3"/>
      <c r="AI138" s="3"/>
      <c r="AJ138" s="3"/>
      <c r="AK138" s="15">
        <f t="shared" si="13"/>
        <v>78377.34</v>
      </c>
      <c r="AL138" s="15">
        <f t="shared" si="14"/>
        <v>1437.5</v>
      </c>
      <c r="AM138">
        <v>1437.5</v>
      </c>
      <c r="AN138" s="15">
        <f t="shared" si="16"/>
        <v>0</v>
      </c>
    </row>
    <row r="139" spans="1:40" x14ac:dyDescent="0.25">
      <c r="A139" s="10"/>
      <c r="B139" s="10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2"/>
      <c r="Q139" s="23"/>
      <c r="R139" s="21"/>
      <c r="S139" s="21"/>
      <c r="T139" s="21"/>
      <c r="U139" s="21"/>
      <c r="V139" s="23"/>
      <c r="W139" s="5"/>
      <c r="X139" s="3"/>
      <c r="Y139" s="3"/>
      <c r="Z139" s="3"/>
      <c r="AA139" s="5"/>
      <c r="AC139" t="str">
        <f>[1]nedredc!$A$42</f>
        <v>03/03/2026</v>
      </c>
      <c r="AD139" t="str">
        <f>[1]nedredc!$B$42</f>
        <v>NN METALS</v>
      </c>
      <c r="AE139" s="17">
        <f>[1]nedredc!$C$42</f>
        <v>76939.83</v>
      </c>
      <c r="AF139" s="25"/>
      <c r="AG139" s="19"/>
      <c r="AH139" s="3"/>
      <c r="AI139" s="3"/>
      <c r="AJ139" s="3"/>
      <c r="AK139" s="15"/>
      <c r="AL139" s="15"/>
      <c r="AN139" s="15"/>
    </row>
    <row r="140" spans="1:40" x14ac:dyDescent="0.25">
      <c r="A140" s="10" t="s">
        <v>688</v>
      </c>
      <c r="B140" s="10" t="s">
        <v>1091</v>
      </c>
      <c r="C140" s="3" t="s">
        <v>689</v>
      </c>
      <c r="D140" s="3" t="s">
        <v>690</v>
      </c>
      <c r="E140" s="3" t="s">
        <v>691</v>
      </c>
      <c r="F140" s="3" t="s">
        <v>692</v>
      </c>
      <c r="G140" s="3" t="s">
        <v>14</v>
      </c>
      <c r="H140" s="3" t="s">
        <v>6</v>
      </c>
      <c r="I140" s="3"/>
      <c r="J140" s="3" t="s">
        <v>693</v>
      </c>
      <c r="K140" s="3"/>
      <c r="L140" s="3"/>
      <c r="M140" s="3"/>
      <c r="N140" s="3"/>
      <c r="O140" s="3"/>
      <c r="P140" s="4">
        <v>46062</v>
      </c>
      <c r="Q140" s="5">
        <v>14934.9</v>
      </c>
      <c r="R140" s="3">
        <v>284</v>
      </c>
      <c r="S140" s="3" t="s">
        <v>694</v>
      </c>
      <c r="T140" s="3">
        <v>0</v>
      </c>
      <c r="U140" s="3" t="s">
        <v>8</v>
      </c>
      <c r="V140" s="5">
        <v>14934.9</v>
      </c>
      <c r="W140" s="3">
        <v>0</v>
      </c>
      <c r="X140" s="3">
        <v>0</v>
      </c>
      <c r="Y140" s="3">
        <v>0</v>
      </c>
      <c r="Z140" s="3">
        <v>0</v>
      </c>
      <c r="AA140" s="5">
        <v>14934.9</v>
      </c>
      <c r="AC140" t="str">
        <f>[1]nedredc!$A$28</f>
        <v>13/03/2026</v>
      </c>
      <c r="AD140" t="str">
        <f>[1]nedredc!$B$28</f>
        <v>NNS LOGISTICS</v>
      </c>
      <c r="AE140" s="15">
        <f>[1]nedredc!$C$28</f>
        <v>14934.9</v>
      </c>
      <c r="AF140" s="26">
        <f>V140</f>
        <v>14934.9</v>
      </c>
      <c r="AG140" s="18"/>
      <c r="AH140" s="3"/>
      <c r="AI140" s="3"/>
      <c r="AJ140" s="3"/>
      <c r="AK140" s="15">
        <f t="shared" ref="AK140:AK159" si="20">AG140+AH140+AI140+AJ140+AF140</f>
        <v>14934.9</v>
      </c>
      <c r="AL140" s="15">
        <f t="shared" si="14"/>
        <v>0</v>
      </c>
      <c r="AM140">
        <v>0</v>
      </c>
      <c r="AN140" s="15">
        <f t="shared" si="16"/>
        <v>0</v>
      </c>
    </row>
    <row r="141" spans="1:40" x14ac:dyDescent="0.25">
      <c r="A141" s="10" t="s">
        <v>695</v>
      </c>
      <c r="B141" s="10" t="s">
        <v>1092</v>
      </c>
      <c r="C141" s="3" t="s">
        <v>696</v>
      </c>
      <c r="D141" s="3" t="s">
        <v>697</v>
      </c>
      <c r="E141" s="3" t="s">
        <v>698</v>
      </c>
      <c r="F141" s="3" t="s">
        <v>699</v>
      </c>
      <c r="G141" s="3" t="s">
        <v>14</v>
      </c>
      <c r="H141" s="3" t="s">
        <v>6</v>
      </c>
      <c r="I141" s="3"/>
      <c r="J141" s="3" t="s">
        <v>700</v>
      </c>
      <c r="K141" s="3"/>
      <c r="L141" s="3"/>
      <c r="M141" s="3"/>
      <c r="N141" s="3">
        <v>2136</v>
      </c>
      <c r="O141" s="3"/>
      <c r="P141" s="4">
        <v>46081</v>
      </c>
      <c r="Q141" s="5">
        <v>1682.26</v>
      </c>
      <c r="R141" s="3">
        <v>66</v>
      </c>
      <c r="S141" s="3"/>
      <c r="T141" s="3">
        <v>0</v>
      </c>
      <c r="U141" s="3" t="s">
        <v>8</v>
      </c>
      <c r="V141" s="5">
        <v>1682.26</v>
      </c>
      <c r="W141" s="3">
        <v>0</v>
      </c>
      <c r="X141" s="3">
        <v>0</v>
      </c>
      <c r="Y141" s="3">
        <v>0</v>
      </c>
      <c r="Z141" s="3">
        <v>0</v>
      </c>
      <c r="AA141" s="5">
        <v>1682.26</v>
      </c>
      <c r="AF141" s="25"/>
      <c r="AG141" s="18"/>
      <c r="AH141" s="3"/>
      <c r="AI141" s="3"/>
      <c r="AJ141" s="3"/>
      <c r="AK141" s="15">
        <f t="shared" si="20"/>
        <v>0</v>
      </c>
      <c r="AL141" s="15">
        <f t="shared" ref="AL141:AL195" si="21">AA141-AK141</f>
        <v>1682.26</v>
      </c>
      <c r="AM141" s="15">
        <f>AL141</f>
        <v>1682.26</v>
      </c>
      <c r="AN141" s="15">
        <f t="shared" si="16"/>
        <v>0</v>
      </c>
    </row>
    <row r="142" spans="1:40" x14ac:dyDescent="0.25">
      <c r="A142" s="10" t="s">
        <v>701</v>
      </c>
      <c r="B142" s="10"/>
      <c r="C142" s="3" t="s">
        <v>702</v>
      </c>
      <c r="D142" s="3" t="s">
        <v>703</v>
      </c>
      <c r="E142" s="3" t="s">
        <v>704</v>
      </c>
      <c r="F142" s="3" t="s">
        <v>705</v>
      </c>
      <c r="G142" s="3" t="s">
        <v>14</v>
      </c>
      <c r="H142" s="3" t="s">
        <v>6</v>
      </c>
      <c r="I142" s="3"/>
      <c r="J142" s="3" t="s">
        <v>706</v>
      </c>
      <c r="K142" s="3"/>
      <c r="L142" s="3"/>
      <c r="M142" s="3"/>
      <c r="N142" s="3"/>
      <c r="O142" s="3"/>
      <c r="P142" s="4">
        <v>46056</v>
      </c>
      <c r="Q142" s="5">
        <v>583.03</v>
      </c>
      <c r="R142" s="3">
        <v>113</v>
      </c>
      <c r="S142" s="3"/>
      <c r="T142" s="3">
        <v>0</v>
      </c>
      <c r="U142" s="3" t="s">
        <v>8</v>
      </c>
      <c r="V142" s="16">
        <v>583.03</v>
      </c>
      <c r="W142" s="3">
        <v>0</v>
      </c>
      <c r="X142" s="3">
        <v>0</v>
      </c>
      <c r="Y142" s="3">
        <v>0</v>
      </c>
      <c r="Z142" s="3">
        <v>0</v>
      </c>
      <c r="AA142" s="5">
        <v>583.03</v>
      </c>
      <c r="AC142" t="str">
        <f>[1]nedredc!$A$3</f>
        <v>04/03/2026</v>
      </c>
      <c r="AD142" t="str">
        <f>[1]nedredc!$B$3</f>
        <v>Onyx Distributor ONY001</v>
      </c>
      <c r="AE142" s="17">
        <f>[1]nedredc!$C$3</f>
        <v>583.03</v>
      </c>
      <c r="AF142" s="27">
        <f>AE142</f>
        <v>583.03</v>
      </c>
      <c r="AG142" s="18"/>
      <c r="AH142" s="3"/>
      <c r="AI142" s="3"/>
      <c r="AJ142" s="3"/>
      <c r="AK142" s="15">
        <f t="shared" si="20"/>
        <v>583.03</v>
      </c>
      <c r="AL142" s="15">
        <f t="shared" si="21"/>
        <v>0</v>
      </c>
      <c r="AM142">
        <v>0</v>
      </c>
      <c r="AN142" s="15">
        <f t="shared" si="16"/>
        <v>0</v>
      </c>
    </row>
    <row r="143" spans="1:40" x14ac:dyDescent="0.25">
      <c r="A143" s="10" t="s">
        <v>707</v>
      </c>
      <c r="B143" s="10"/>
      <c r="C143" s="3" t="s">
        <v>708</v>
      </c>
      <c r="D143" s="3" t="s">
        <v>709</v>
      </c>
      <c r="E143" s="3" t="s">
        <v>710</v>
      </c>
      <c r="F143" s="3" t="s">
        <v>711</v>
      </c>
      <c r="G143" s="3" t="s">
        <v>249</v>
      </c>
      <c r="H143" s="3" t="s">
        <v>6</v>
      </c>
      <c r="I143" s="3" t="s">
        <v>15</v>
      </c>
      <c r="J143" s="3" t="s">
        <v>712</v>
      </c>
      <c r="K143" s="3"/>
      <c r="L143" s="3"/>
      <c r="M143" s="3" t="s">
        <v>22</v>
      </c>
      <c r="N143" s="3"/>
      <c r="O143" s="3"/>
      <c r="P143" s="4">
        <v>45716</v>
      </c>
      <c r="Q143" s="5">
        <v>154.88999999999999</v>
      </c>
      <c r="R143" s="3">
        <v>53</v>
      </c>
      <c r="S143" s="3"/>
      <c r="T143" s="3">
        <v>0</v>
      </c>
      <c r="U143" s="3" t="s">
        <v>8</v>
      </c>
      <c r="V143" s="3">
        <v>0</v>
      </c>
      <c r="W143" s="3">
        <v>0</v>
      </c>
      <c r="X143" s="3">
        <v>0</v>
      </c>
      <c r="Y143" s="3">
        <v>0</v>
      </c>
      <c r="Z143" s="5">
        <v>-154.88999999999999</v>
      </c>
      <c r="AA143" s="5">
        <v>-154.88999999999999</v>
      </c>
      <c r="AF143" s="25"/>
      <c r="AG143" s="18"/>
      <c r="AH143" s="3"/>
      <c r="AI143" s="3"/>
      <c r="AJ143" s="5"/>
      <c r="AK143" s="15">
        <f t="shared" si="20"/>
        <v>0</v>
      </c>
      <c r="AL143" s="15">
        <f t="shared" si="21"/>
        <v>-154.88999999999999</v>
      </c>
      <c r="AN143" s="15">
        <f t="shared" si="16"/>
        <v>-154.88999999999999</v>
      </c>
    </row>
    <row r="144" spans="1:40" x14ac:dyDescent="0.25">
      <c r="A144" s="10" t="s">
        <v>713</v>
      </c>
      <c r="B144" s="10"/>
      <c r="C144" s="3" t="s">
        <v>714</v>
      </c>
      <c r="D144" s="3" t="s">
        <v>715</v>
      </c>
      <c r="E144" s="3" t="s">
        <v>716</v>
      </c>
      <c r="F144" s="3" t="s">
        <v>717</v>
      </c>
      <c r="G144" s="3" t="s">
        <v>14</v>
      </c>
      <c r="H144" s="3" t="s">
        <v>6</v>
      </c>
      <c r="I144" s="3" t="s">
        <v>33</v>
      </c>
      <c r="J144" s="3" t="s">
        <v>718</v>
      </c>
      <c r="K144" s="3"/>
      <c r="L144" s="3"/>
      <c r="M144" s="3" t="s">
        <v>22</v>
      </c>
      <c r="N144" s="3"/>
      <c r="O144" s="3"/>
      <c r="P144" s="3"/>
      <c r="Q144" s="3">
        <v>0</v>
      </c>
      <c r="R144" s="3">
        <v>523</v>
      </c>
      <c r="S144" s="3"/>
      <c r="T144" s="3">
        <v>0</v>
      </c>
      <c r="U144" s="3" t="s">
        <v>8</v>
      </c>
      <c r="V144" s="3">
        <v>0</v>
      </c>
      <c r="W144" s="3">
        <v>0</v>
      </c>
      <c r="X144" s="3">
        <v>0</v>
      </c>
      <c r="Y144" s="5">
        <v>1505.1</v>
      </c>
      <c r="Z144" s="3">
        <v>0</v>
      </c>
      <c r="AA144" s="5">
        <v>1505.1</v>
      </c>
      <c r="AF144" s="25"/>
      <c r="AG144" s="18"/>
      <c r="AH144" s="3"/>
      <c r="AI144" s="5"/>
      <c r="AJ144" s="3"/>
      <c r="AK144" s="15">
        <f t="shared" si="20"/>
        <v>0</v>
      </c>
      <c r="AL144" s="15">
        <f t="shared" si="21"/>
        <v>1505.1</v>
      </c>
      <c r="AM144" s="15">
        <f>AL144</f>
        <v>1505.1</v>
      </c>
      <c r="AN144" s="15">
        <f t="shared" si="16"/>
        <v>0</v>
      </c>
    </row>
    <row r="145" spans="1:40" x14ac:dyDescent="0.25">
      <c r="A145" s="10" t="s">
        <v>719</v>
      </c>
      <c r="B145" s="10" t="s">
        <v>1093</v>
      </c>
      <c r="C145" s="3" t="s">
        <v>720</v>
      </c>
      <c r="D145" s="3" t="s">
        <v>721</v>
      </c>
      <c r="E145" s="3" t="s">
        <v>722</v>
      </c>
      <c r="F145" s="3" t="s">
        <v>723</v>
      </c>
      <c r="G145" s="3" t="s">
        <v>14</v>
      </c>
      <c r="H145" s="3" t="s">
        <v>6</v>
      </c>
      <c r="I145" s="3" t="s">
        <v>15</v>
      </c>
      <c r="J145" s="3" t="s">
        <v>724</v>
      </c>
      <c r="K145" s="3"/>
      <c r="L145" s="3"/>
      <c r="M145" s="3"/>
      <c r="N145" s="3">
        <v>1462</v>
      </c>
      <c r="O145" s="3"/>
      <c r="P145" s="4">
        <v>46081</v>
      </c>
      <c r="Q145" s="5">
        <v>60140.26</v>
      </c>
      <c r="R145" s="3">
        <v>549</v>
      </c>
      <c r="S145" s="3"/>
      <c r="T145" s="3">
        <v>0</v>
      </c>
      <c r="U145" s="3" t="s">
        <v>8</v>
      </c>
      <c r="V145" s="5">
        <v>60140.26</v>
      </c>
      <c r="W145" s="3">
        <v>0</v>
      </c>
      <c r="X145" s="3">
        <v>0</v>
      </c>
      <c r="Y145" s="3">
        <v>0</v>
      </c>
      <c r="Z145" s="3">
        <v>0</v>
      </c>
      <c r="AA145" s="5">
        <v>60140.26</v>
      </c>
      <c r="AF145" s="25"/>
      <c r="AG145" s="18"/>
      <c r="AH145" s="3"/>
      <c r="AI145" s="3"/>
      <c r="AJ145" s="3"/>
      <c r="AK145" s="15">
        <f t="shared" si="20"/>
        <v>0</v>
      </c>
      <c r="AL145" s="15">
        <f t="shared" si="21"/>
        <v>60140.26</v>
      </c>
      <c r="AM145" s="15">
        <f t="shared" ref="AM145:AM147" si="22">AL145</f>
        <v>60140.26</v>
      </c>
      <c r="AN145" s="15">
        <f t="shared" si="16"/>
        <v>0</v>
      </c>
    </row>
    <row r="146" spans="1:40" x14ac:dyDescent="0.25">
      <c r="A146" s="10" t="s">
        <v>725</v>
      </c>
      <c r="B146" s="10" t="s">
        <v>1094</v>
      </c>
      <c r="C146" s="3" t="s">
        <v>726</v>
      </c>
      <c r="D146" s="3" t="s">
        <v>727</v>
      </c>
      <c r="E146" s="3" t="s">
        <v>728</v>
      </c>
      <c r="F146" s="3" t="s">
        <v>729</v>
      </c>
      <c r="G146" s="3" t="s">
        <v>14</v>
      </c>
      <c r="H146" s="3" t="s">
        <v>6</v>
      </c>
      <c r="I146" s="3" t="s">
        <v>15</v>
      </c>
      <c r="J146" s="3" t="s">
        <v>730</v>
      </c>
      <c r="K146" s="3"/>
      <c r="L146" s="3"/>
      <c r="M146" s="3"/>
      <c r="N146" s="3"/>
      <c r="O146" s="3"/>
      <c r="P146" s="4">
        <v>46081</v>
      </c>
      <c r="Q146" s="5">
        <v>698.74</v>
      </c>
      <c r="R146" s="3">
        <v>78</v>
      </c>
      <c r="S146" s="3"/>
      <c r="T146" s="3">
        <v>0</v>
      </c>
      <c r="U146" s="3" t="s">
        <v>8</v>
      </c>
      <c r="V146" s="5">
        <v>349.37</v>
      </c>
      <c r="W146" s="3">
        <v>0</v>
      </c>
      <c r="X146" s="3">
        <v>0</v>
      </c>
      <c r="Y146" s="3">
        <v>0</v>
      </c>
      <c r="Z146" s="3">
        <v>0</v>
      </c>
      <c r="AA146" s="5">
        <v>349.37</v>
      </c>
      <c r="AF146" s="25"/>
      <c r="AG146" s="18"/>
      <c r="AH146" s="3"/>
      <c r="AI146" s="3"/>
      <c r="AJ146" s="3"/>
      <c r="AK146" s="15">
        <f t="shared" si="20"/>
        <v>0</v>
      </c>
      <c r="AL146" s="15">
        <f t="shared" si="21"/>
        <v>349.37</v>
      </c>
      <c r="AM146" s="15">
        <f t="shared" si="22"/>
        <v>349.37</v>
      </c>
      <c r="AN146" s="15">
        <f t="shared" si="16"/>
        <v>0</v>
      </c>
    </row>
    <row r="147" spans="1:40" x14ac:dyDescent="0.25">
      <c r="A147" s="10" t="s">
        <v>731</v>
      </c>
      <c r="B147" s="10" t="s">
        <v>1095</v>
      </c>
      <c r="C147" s="3" t="s">
        <v>732</v>
      </c>
      <c r="D147" s="3" t="s">
        <v>733</v>
      </c>
      <c r="E147" s="3" t="s">
        <v>734</v>
      </c>
      <c r="F147" s="3" t="s">
        <v>735</v>
      </c>
      <c r="G147" s="3" t="s">
        <v>14</v>
      </c>
      <c r="H147" s="3" t="s">
        <v>6</v>
      </c>
      <c r="I147" s="3"/>
      <c r="J147" s="3" t="s">
        <v>736</v>
      </c>
      <c r="K147" s="3"/>
      <c r="L147" s="3"/>
      <c r="M147" s="3"/>
      <c r="N147" s="3">
        <v>2037</v>
      </c>
      <c r="O147" s="3"/>
      <c r="P147" s="4">
        <v>46080</v>
      </c>
      <c r="Q147" s="5">
        <v>938.4</v>
      </c>
      <c r="R147" s="3">
        <v>106</v>
      </c>
      <c r="S147" s="3"/>
      <c r="T147" s="3">
        <v>0</v>
      </c>
      <c r="U147" s="3" t="s">
        <v>8</v>
      </c>
      <c r="V147" s="5">
        <v>938.4</v>
      </c>
      <c r="W147" s="3">
        <v>0</v>
      </c>
      <c r="X147" s="3">
        <v>0</v>
      </c>
      <c r="Y147" s="3">
        <v>0</v>
      </c>
      <c r="Z147" s="3">
        <v>0</v>
      </c>
      <c r="AA147" s="5">
        <v>938.4</v>
      </c>
      <c r="AF147" s="25"/>
      <c r="AG147" s="18"/>
      <c r="AH147" s="3"/>
      <c r="AI147" s="3"/>
      <c r="AJ147" s="3"/>
      <c r="AK147" s="15">
        <f t="shared" si="20"/>
        <v>0</v>
      </c>
      <c r="AL147" s="15">
        <f t="shared" si="21"/>
        <v>938.4</v>
      </c>
      <c r="AM147" s="15">
        <f t="shared" si="22"/>
        <v>938.4</v>
      </c>
      <c r="AN147" s="15">
        <f t="shared" si="16"/>
        <v>0</v>
      </c>
    </row>
    <row r="148" spans="1:40" x14ac:dyDescent="0.25">
      <c r="A148" s="10" t="s">
        <v>737</v>
      </c>
      <c r="B148" s="10" t="s">
        <v>1096</v>
      </c>
      <c r="C148" s="3" t="s">
        <v>738</v>
      </c>
      <c r="D148" s="3" t="s">
        <v>739</v>
      </c>
      <c r="E148" s="3"/>
      <c r="F148" s="3" t="s">
        <v>740</v>
      </c>
      <c r="G148" s="3" t="s">
        <v>14</v>
      </c>
      <c r="H148" s="3"/>
      <c r="I148" s="3"/>
      <c r="J148" s="3" t="s">
        <v>741</v>
      </c>
      <c r="K148" s="3"/>
      <c r="L148" s="3"/>
      <c r="M148" s="3"/>
      <c r="N148" s="3">
        <v>2144</v>
      </c>
      <c r="O148" s="3"/>
      <c r="P148" s="4">
        <v>46077</v>
      </c>
      <c r="Q148" s="5">
        <v>2817.5</v>
      </c>
      <c r="R148" s="3">
        <v>179</v>
      </c>
      <c r="S148" s="3"/>
      <c r="T148" s="3">
        <v>0</v>
      </c>
      <c r="U148" s="3" t="s">
        <v>8</v>
      </c>
      <c r="V148" s="5">
        <v>2817.5</v>
      </c>
      <c r="W148" s="3">
        <v>0</v>
      </c>
      <c r="X148" s="3">
        <v>0</v>
      </c>
      <c r="Y148" s="3">
        <v>0</v>
      </c>
      <c r="Z148" s="3">
        <v>0</v>
      </c>
      <c r="AA148" s="5">
        <v>2817.5</v>
      </c>
      <c r="AC148" t="str">
        <f>[1]nedredc!$A$14</f>
        <v>26/03/2026</v>
      </c>
      <c r="AD148" t="str">
        <f>[1]nedredc!$B$14</f>
        <v>MPFT</v>
      </c>
      <c r="AE148" s="15">
        <f>[1]nedredc!$C$14</f>
        <v>2817.5</v>
      </c>
      <c r="AF148" s="25"/>
      <c r="AG148" s="19">
        <f>AE148</f>
        <v>2817.5</v>
      </c>
      <c r="AH148" s="3"/>
      <c r="AI148" s="3"/>
      <c r="AJ148" s="3"/>
      <c r="AK148" s="15">
        <f t="shared" si="20"/>
        <v>2817.5</v>
      </c>
      <c r="AL148" s="15">
        <f t="shared" si="21"/>
        <v>0</v>
      </c>
      <c r="AM148">
        <v>0</v>
      </c>
      <c r="AN148" s="15">
        <f t="shared" si="16"/>
        <v>0</v>
      </c>
    </row>
    <row r="149" spans="1:40" x14ac:dyDescent="0.25">
      <c r="A149" s="10" t="s">
        <v>742</v>
      </c>
      <c r="B149" s="10" t="s">
        <v>1097</v>
      </c>
      <c r="C149" s="3" t="s">
        <v>743</v>
      </c>
      <c r="D149" s="3" t="s">
        <v>744</v>
      </c>
      <c r="E149" s="3" t="s">
        <v>745</v>
      </c>
      <c r="F149" s="3" t="s">
        <v>746</v>
      </c>
      <c r="G149" s="3" t="s">
        <v>14</v>
      </c>
      <c r="H149" s="3" t="s">
        <v>6</v>
      </c>
      <c r="I149" s="3" t="s">
        <v>15</v>
      </c>
      <c r="J149" s="3" t="s">
        <v>747</v>
      </c>
      <c r="K149" s="3"/>
      <c r="L149" s="3"/>
      <c r="M149" s="3" t="s">
        <v>22</v>
      </c>
      <c r="N149" s="3"/>
      <c r="O149" s="3"/>
      <c r="P149" s="4">
        <v>46081</v>
      </c>
      <c r="Q149" s="5">
        <v>232.14</v>
      </c>
      <c r="R149" s="3">
        <v>68</v>
      </c>
      <c r="S149" s="3"/>
      <c r="T149" s="3">
        <v>0</v>
      </c>
      <c r="U149" s="3" t="s">
        <v>8</v>
      </c>
      <c r="V149" s="5">
        <v>232.14</v>
      </c>
      <c r="W149" s="3">
        <v>0</v>
      </c>
      <c r="X149" s="3">
        <v>0</v>
      </c>
      <c r="Y149" s="3">
        <v>0</v>
      </c>
      <c r="Z149" s="3">
        <v>0</v>
      </c>
      <c r="AA149" s="5">
        <v>232.14</v>
      </c>
      <c r="AF149" s="25"/>
      <c r="AG149" s="18"/>
      <c r="AH149" s="3"/>
      <c r="AI149" s="3"/>
      <c r="AJ149" s="3"/>
      <c r="AK149" s="15">
        <f t="shared" si="20"/>
        <v>0</v>
      </c>
      <c r="AL149" s="15">
        <f t="shared" si="21"/>
        <v>232.14</v>
      </c>
      <c r="AM149" s="15">
        <f>AL149</f>
        <v>232.14</v>
      </c>
      <c r="AN149" s="15">
        <f t="shared" si="16"/>
        <v>0</v>
      </c>
    </row>
    <row r="150" spans="1:40" x14ac:dyDescent="0.25">
      <c r="A150" s="10">
        <v>1119</v>
      </c>
      <c r="B150" s="10"/>
      <c r="C150" s="3" t="s">
        <v>748</v>
      </c>
      <c r="D150" s="3" t="s">
        <v>749</v>
      </c>
      <c r="E150" s="3" t="s">
        <v>750</v>
      </c>
      <c r="F150" s="3" t="s">
        <v>751</v>
      </c>
      <c r="G150" s="3" t="s">
        <v>14</v>
      </c>
      <c r="H150" s="3" t="s">
        <v>6</v>
      </c>
      <c r="I150" s="3" t="s">
        <v>33</v>
      </c>
      <c r="J150" s="3" t="s">
        <v>752</v>
      </c>
      <c r="K150" s="3" t="s">
        <v>753</v>
      </c>
      <c r="L150" s="3" t="s">
        <v>754</v>
      </c>
      <c r="M150" s="3"/>
      <c r="N150" s="3">
        <v>3910</v>
      </c>
      <c r="O150" s="3"/>
      <c r="P150" s="4">
        <v>45847</v>
      </c>
      <c r="Q150" s="5">
        <v>5000</v>
      </c>
      <c r="R150" s="3">
        <v>300</v>
      </c>
      <c r="S150" s="3"/>
      <c r="T150" s="3">
        <v>0</v>
      </c>
      <c r="U150" s="3" t="s">
        <v>8</v>
      </c>
      <c r="V150" s="3">
        <v>0</v>
      </c>
      <c r="W150" s="3">
        <v>0</v>
      </c>
      <c r="X150" s="3">
        <v>0</v>
      </c>
      <c r="Y150" s="3">
        <v>0</v>
      </c>
      <c r="Z150" s="5">
        <v>88002.8</v>
      </c>
      <c r="AA150" s="5">
        <v>88002.8</v>
      </c>
      <c r="AF150" s="25"/>
      <c r="AG150" s="18"/>
      <c r="AH150" s="3"/>
      <c r="AI150" s="3"/>
      <c r="AJ150" s="5"/>
      <c r="AK150" s="15">
        <f t="shared" si="20"/>
        <v>0</v>
      </c>
      <c r="AL150" s="15">
        <f t="shared" si="21"/>
        <v>88002.8</v>
      </c>
      <c r="AM150" s="15">
        <f>AL150</f>
        <v>88002.8</v>
      </c>
      <c r="AN150" s="15">
        <f t="shared" si="16"/>
        <v>0</v>
      </c>
    </row>
    <row r="151" spans="1:40" x14ac:dyDescent="0.25">
      <c r="A151" s="10">
        <v>2275</v>
      </c>
      <c r="B151" s="10" t="s">
        <v>1098</v>
      </c>
      <c r="C151" s="3" t="s">
        <v>755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</v>
      </c>
      <c r="R151" s="3">
        <v>31</v>
      </c>
      <c r="S151" s="3"/>
      <c r="T151" s="3">
        <v>0</v>
      </c>
      <c r="U151" s="3" t="s">
        <v>8</v>
      </c>
      <c r="V151" s="5">
        <v>13436.6</v>
      </c>
      <c r="W151" s="3">
        <v>0</v>
      </c>
      <c r="X151" s="3">
        <v>0</v>
      </c>
      <c r="Y151" s="3">
        <v>0</v>
      </c>
      <c r="Z151" s="3">
        <v>0</v>
      </c>
      <c r="AA151" s="5">
        <v>13436.6</v>
      </c>
      <c r="AF151" s="25"/>
      <c r="AG151" s="18"/>
      <c r="AH151" s="3"/>
      <c r="AI151" s="3"/>
      <c r="AJ151" s="3"/>
      <c r="AK151" s="15">
        <f t="shared" si="20"/>
        <v>0</v>
      </c>
      <c r="AL151" s="15">
        <f t="shared" si="21"/>
        <v>13436.6</v>
      </c>
      <c r="AM151">
        <v>0</v>
      </c>
      <c r="AN151" s="15">
        <f t="shared" si="16"/>
        <v>13436.6</v>
      </c>
    </row>
    <row r="152" spans="1:40" x14ac:dyDescent="0.25">
      <c r="A152" s="10" t="s">
        <v>756</v>
      </c>
      <c r="B152" s="10"/>
      <c r="C152" s="3" t="s">
        <v>757</v>
      </c>
      <c r="D152" s="3" t="s">
        <v>758</v>
      </c>
      <c r="E152" s="3" t="s">
        <v>759</v>
      </c>
      <c r="F152" s="3" t="s">
        <v>760</v>
      </c>
      <c r="G152" s="3" t="s">
        <v>236</v>
      </c>
      <c r="H152" s="3" t="s">
        <v>6</v>
      </c>
      <c r="I152" s="3" t="s">
        <v>33</v>
      </c>
      <c r="J152" s="3" t="s">
        <v>761</v>
      </c>
      <c r="K152" s="3"/>
      <c r="L152" s="3"/>
      <c r="M152" s="3"/>
      <c r="N152" s="3">
        <v>2128</v>
      </c>
      <c r="O152" s="3"/>
      <c r="P152" s="4">
        <v>43231</v>
      </c>
      <c r="Q152" s="5">
        <v>164934.66</v>
      </c>
      <c r="R152" s="3">
        <v>1540</v>
      </c>
      <c r="S152" s="3"/>
      <c r="T152" s="3">
        <v>0</v>
      </c>
      <c r="U152" s="3" t="s">
        <v>8</v>
      </c>
      <c r="V152" s="3">
        <v>0</v>
      </c>
      <c r="W152" s="3">
        <v>0</v>
      </c>
      <c r="X152" s="3">
        <v>0</v>
      </c>
      <c r="Y152" s="3">
        <v>0</v>
      </c>
      <c r="Z152" s="5">
        <v>492294.76</v>
      </c>
      <c r="AA152" s="5">
        <v>492294.76</v>
      </c>
      <c r="AF152" s="25"/>
      <c r="AG152" s="18"/>
      <c r="AH152" s="3"/>
      <c r="AI152" s="3"/>
      <c r="AJ152" s="5"/>
      <c r="AK152" s="15">
        <f t="shared" si="20"/>
        <v>0</v>
      </c>
      <c r="AL152" s="15">
        <f t="shared" si="21"/>
        <v>492294.76</v>
      </c>
      <c r="AN152" s="15">
        <f t="shared" si="16"/>
        <v>492294.76</v>
      </c>
    </row>
    <row r="153" spans="1:40" x14ac:dyDescent="0.25">
      <c r="A153" s="10">
        <v>682</v>
      </c>
      <c r="B153" s="10" t="s">
        <v>1099</v>
      </c>
      <c r="C153" s="3" t="s">
        <v>762</v>
      </c>
      <c r="D153" s="3" t="s">
        <v>763</v>
      </c>
      <c r="E153" s="3" t="s">
        <v>764</v>
      </c>
      <c r="F153" s="3" t="s">
        <v>765</v>
      </c>
      <c r="G153" s="3" t="s">
        <v>14</v>
      </c>
      <c r="H153" s="3" t="s">
        <v>6</v>
      </c>
      <c r="I153" s="3" t="s">
        <v>15</v>
      </c>
      <c r="J153" s="3"/>
      <c r="K153" s="3"/>
      <c r="L153" s="3"/>
      <c r="M153" s="3"/>
      <c r="N153" s="3"/>
      <c r="O153" s="3"/>
      <c r="P153" s="4">
        <v>46081</v>
      </c>
      <c r="Q153" s="5">
        <v>5559.8</v>
      </c>
      <c r="R153" s="3">
        <v>261</v>
      </c>
      <c r="S153" s="3"/>
      <c r="T153" s="3">
        <v>0</v>
      </c>
      <c r="U153" s="3" t="s">
        <v>8</v>
      </c>
      <c r="V153" s="5">
        <v>5559.8</v>
      </c>
      <c r="W153" s="3">
        <v>0</v>
      </c>
      <c r="X153" s="3">
        <v>0</v>
      </c>
      <c r="Y153" s="3">
        <v>0</v>
      </c>
      <c r="Z153" s="3">
        <v>0</v>
      </c>
      <c r="AA153" s="5">
        <v>5559.8</v>
      </c>
      <c r="AF153" s="25"/>
      <c r="AG153" s="18"/>
      <c r="AH153" s="3"/>
      <c r="AI153" s="3"/>
      <c r="AJ153" s="3"/>
      <c r="AK153" s="15">
        <f t="shared" si="20"/>
        <v>0</v>
      </c>
      <c r="AL153" s="15">
        <f t="shared" si="21"/>
        <v>5559.8</v>
      </c>
      <c r="AM153" s="15">
        <f>AL153</f>
        <v>5559.8</v>
      </c>
      <c r="AN153" s="15">
        <f t="shared" ref="AN153:AN195" si="23">AL153-AM153</f>
        <v>0</v>
      </c>
    </row>
    <row r="154" spans="1:40" x14ac:dyDescent="0.25">
      <c r="A154" s="10">
        <v>2276</v>
      </c>
      <c r="B154" s="10" t="s">
        <v>1100</v>
      </c>
      <c r="C154" s="3" t="s">
        <v>766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</v>
      </c>
      <c r="R154" s="3">
        <v>31</v>
      </c>
      <c r="S154" s="3"/>
      <c r="T154" s="3">
        <v>0</v>
      </c>
      <c r="U154" s="3" t="s">
        <v>8</v>
      </c>
      <c r="V154" s="5">
        <v>19807.599999999999</v>
      </c>
      <c r="W154" s="3">
        <v>0</v>
      </c>
      <c r="X154" s="3">
        <v>0</v>
      </c>
      <c r="Y154" s="3">
        <v>0</v>
      </c>
      <c r="Z154" s="3">
        <v>0</v>
      </c>
      <c r="AA154" s="5">
        <v>19807.599999999999</v>
      </c>
      <c r="AF154" s="25"/>
      <c r="AG154" s="18"/>
      <c r="AH154" s="3"/>
      <c r="AI154" s="3"/>
      <c r="AJ154" s="3"/>
      <c r="AK154" s="15">
        <f t="shared" si="20"/>
        <v>0</v>
      </c>
      <c r="AL154" s="15">
        <f t="shared" si="21"/>
        <v>19807.599999999999</v>
      </c>
      <c r="AM154" s="15">
        <v>0</v>
      </c>
      <c r="AN154" s="15">
        <f t="shared" si="23"/>
        <v>19807.599999999999</v>
      </c>
    </row>
    <row r="155" spans="1:40" x14ac:dyDescent="0.25">
      <c r="A155" s="10" t="s">
        <v>767</v>
      </c>
      <c r="B155" s="10" t="s">
        <v>1101</v>
      </c>
      <c r="C155" s="3" t="s">
        <v>768</v>
      </c>
      <c r="D155" s="3" t="s">
        <v>769</v>
      </c>
      <c r="E155" s="3" t="s">
        <v>770</v>
      </c>
      <c r="F155" s="3" t="s">
        <v>771</v>
      </c>
      <c r="G155" s="3" t="s">
        <v>14</v>
      </c>
      <c r="H155" s="3"/>
      <c r="I155" s="3"/>
      <c r="J155" s="3" t="s">
        <v>772</v>
      </c>
      <c r="K155" s="3"/>
      <c r="L155" s="3"/>
      <c r="M155" s="3"/>
      <c r="N155" s="3">
        <v>1465</v>
      </c>
      <c r="O155" s="3"/>
      <c r="P155" s="4">
        <v>46052</v>
      </c>
      <c r="Q155" s="5">
        <v>21721.360000000001</v>
      </c>
      <c r="R155" s="3">
        <v>172</v>
      </c>
      <c r="S155" s="3"/>
      <c r="T155" s="3">
        <v>0</v>
      </c>
      <c r="U155" s="3" t="s">
        <v>8</v>
      </c>
      <c r="V155" s="5">
        <v>10860.68</v>
      </c>
      <c r="W155" s="5">
        <v>10860.68</v>
      </c>
      <c r="X155" s="3">
        <v>0</v>
      </c>
      <c r="Y155" s="3">
        <v>0</v>
      </c>
      <c r="Z155" s="3">
        <v>0</v>
      </c>
      <c r="AA155" s="5">
        <v>21721.360000000001</v>
      </c>
      <c r="AC155" t="str">
        <f>[1]nedredc!$A$22</f>
        <v>06/03/2026</v>
      </c>
      <c r="AD155" t="str">
        <f>[1]nedredc!$B$22</f>
        <v>RIGHT CORRUGATED</v>
      </c>
      <c r="AE155" s="15">
        <f>[1]nedredc!$C$22</f>
        <v>10860.68</v>
      </c>
      <c r="AF155" s="25"/>
      <c r="AG155" s="19">
        <f>W155</f>
        <v>10860.68</v>
      </c>
      <c r="AH155" s="3"/>
      <c r="AI155" s="3"/>
      <c r="AJ155" s="3"/>
      <c r="AK155" s="15">
        <f t="shared" si="20"/>
        <v>10860.68</v>
      </c>
      <c r="AL155" s="15">
        <f t="shared" si="21"/>
        <v>10860.68</v>
      </c>
      <c r="AM155">
        <v>10860.68</v>
      </c>
      <c r="AN155" s="15">
        <f t="shared" si="23"/>
        <v>0</v>
      </c>
    </row>
    <row r="156" spans="1:40" x14ac:dyDescent="0.25">
      <c r="A156" s="10" t="s">
        <v>773</v>
      </c>
      <c r="B156" s="10" t="s">
        <v>1102</v>
      </c>
      <c r="C156" s="3" t="s">
        <v>774</v>
      </c>
      <c r="D156" s="3" t="s">
        <v>774</v>
      </c>
      <c r="E156" s="3" t="s">
        <v>775</v>
      </c>
      <c r="F156" s="3" t="s">
        <v>776</v>
      </c>
      <c r="G156" s="3" t="s">
        <v>14</v>
      </c>
      <c r="H156" s="3" t="s">
        <v>6</v>
      </c>
      <c r="I156" s="3" t="s">
        <v>15</v>
      </c>
      <c r="J156" s="3" t="s">
        <v>777</v>
      </c>
      <c r="K156" s="3"/>
      <c r="L156" s="3"/>
      <c r="M156" s="3"/>
      <c r="N156" s="3">
        <v>2196</v>
      </c>
      <c r="O156" s="3"/>
      <c r="P156" s="4">
        <v>46081</v>
      </c>
      <c r="Q156" s="5">
        <v>162.97999999999999</v>
      </c>
      <c r="R156" s="3">
        <v>60</v>
      </c>
      <c r="S156" s="3"/>
      <c r="T156" s="3">
        <v>0</v>
      </c>
      <c r="U156" s="3" t="s">
        <v>8</v>
      </c>
      <c r="V156" s="5">
        <v>162.97999999999999</v>
      </c>
      <c r="W156" s="3">
        <v>0</v>
      </c>
      <c r="X156" s="3">
        <v>0</v>
      </c>
      <c r="Y156" s="3">
        <v>0</v>
      </c>
      <c r="Z156" s="3">
        <v>0</v>
      </c>
      <c r="AA156" s="5">
        <v>162.97999999999999</v>
      </c>
      <c r="AF156" s="25"/>
      <c r="AG156" s="18"/>
      <c r="AH156" s="3"/>
      <c r="AI156" s="3"/>
      <c r="AJ156" s="3"/>
      <c r="AK156" s="15">
        <f t="shared" si="20"/>
        <v>0</v>
      </c>
      <c r="AL156" s="15">
        <f t="shared" si="21"/>
        <v>162.97999999999999</v>
      </c>
      <c r="AM156" s="15">
        <f>AL156</f>
        <v>162.97999999999999</v>
      </c>
      <c r="AN156" s="15">
        <f t="shared" si="23"/>
        <v>0</v>
      </c>
    </row>
    <row r="157" spans="1:40" x14ac:dyDescent="0.25">
      <c r="A157" s="10" t="s">
        <v>778</v>
      </c>
      <c r="B157" s="10" t="s">
        <v>1103</v>
      </c>
      <c r="C157" s="3" t="s">
        <v>779</v>
      </c>
      <c r="D157" s="3" t="s">
        <v>314</v>
      </c>
      <c r="E157" s="3" t="s">
        <v>315</v>
      </c>
      <c r="F157" s="3" t="s">
        <v>316</v>
      </c>
      <c r="G157" s="3" t="s">
        <v>14</v>
      </c>
      <c r="H157" s="3" t="s">
        <v>6</v>
      </c>
      <c r="I157" s="3"/>
      <c r="J157" s="3" t="s">
        <v>780</v>
      </c>
      <c r="K157" s="3"/>
      <c r="L157" s="3"/>
      <c r="M157" s="3"/>
      <c r="N157" s="3">
        <v>1540</v>
      </c>
      <c r="O157" s="3"/>
      <c r="P157" s="4">
        <v>46081</v>
      </c>
      <c r="Q157" s="5">
        <v>8345.5</v>
      </c>
      <c r="R157" s="3">
        <v>43</v>
      </c>
      <c r="S157" s="3"/>
      <c r="T157" s="3">
        <v>0</v>
      </c>
      <c r="U157" s="3" t="s">
        <v>8</v>
      </c>
      <c r="V157" s="5">
        <v>8345.5</v>
      </c>
      <c r="W157" s="3">
        <v>0</v>
      </c>
      <c r="X157" s="3">
        <v>0</v>
      </c>
      <c r="Y157" s="3">
        <v>0</v>
      </c>
      <c r="Z157" s="3">
        <v>0</v>
      </c>
      <c r="AA157" s="5">
        <v>8345.5</v>
      </c>
      <c r="AF157" s="25"/>
      <c r="AG157" s="18"/>
      <c r="AH157" s="3"/>
      <c r="AI157" s="3"/>
      <c r="AJ157" s="3"/>
      <c r="AK157" s="15">
        <f t="shared" si="20"/>
        <v>0</v>
      </c>
      <c r="AL157" s="15">
        <f t="shared" si="21"/>
        <v>8345.5</v>
      </c>
      <c r="AM157" s="15">
        <f t="shared" ref="AM157:AM158" si="24">AL157</f>
        <v>8345.5</v>
      </c>
      <c r="AN157" s="15">
        <f t="shared" si="23"/>
        <v>0</v>
      </c>
    </row>
    <row r="158" spans="1:40" x14ac:dyDescent="0.25">
      <c r="A158" s="10" t="s">
        <v>781</v>
      </c>
      <c r="B158" s="10" t="s">
        <v>1104</v>
      </c>
      <c r="C158" s="3" t="s">
        <v>782</v>
      </c>
      <c r="D158" s="3" t="s">
        <v>783</v>
      </c>
      <c r="E158" s="3"/>
      <c r="F158" s="3" t="s">
        <v>784</v>
      </c>
      <c r="G158" s="3" t="s">
        <v>14</v>
      </c>
      <c r="H158" s="3" t="s">
        <v>6</v>
      </c>
      <c r="I158" s="3" t="s">
        <v>15</v>
      </c>
      <c r="J158" s="3" t="s">
        <v>785</v>
      </c>
      <c r="K158" s="3"/>
      <c r="L158" s="3"/>
      <c r="M158" s="3" t="s">
        <v>22</v>
      </c>
      <c r="N158" s="3"/>
      <c r="O158" s="3"/>
      <c r="P158" s="4">
        <v>46081</v>
      </c>
      <c r="Q158" s="5">
        <v>297.85000000000002</v>
      </c>
      <c r="R158" s="3">
        <v>68</v>
      </c>
      <c r="S158" s="3"/>
      <c r="T158" s="3">
        <v>0</v>
      </c>
      <c r="U158" s="3" t="s">
        <v>8</v>
      </c>
      <c r="V158" s="5">
        <v>297.85000000000002</v>
      </c>
      <c r="W158" s="3">
        <v>0</v>
      </c>
      <c r="X158" s="3">
        <v>0</v>
      </c>
      <c r="Y158" s="3">
        <v>0</v>
      </c>
      <c r="Z158" s="3">
        <v>0</v>
      </c>
      <c r="AA158" s="5">
        <v>297.85000000000002</v>
      </c>
      <c r="AF158" s="25"/>
      <c r="AG158" s="18"/>
      <c r="AH158" s="3"/>
      <c r="AI158" s="3"/>
      <c r="AJ158" s="3"/>
      <c r="AK158" s="15">
        <f t="shared" si="20"/>
        <v>0</v>
      </c>
      <c r="AL158" s="15">
        <f t="shared" si="21"/>
        <v>297.85000000000002</v>
      </c>
      <c r="AM158" s="15">
        <f t="shared" si="24"/>
        <v>297.85000000000002</v>
      </c>
      <c r="AN158" s="15">
        <f t="shared" si="23"/>
        <v>0</v>
      </c>
    </row>
    <row r="159" spans="1:40" x14ac:dyDescent="0.25">
      <c r="A159" s="10" t="s">
        <v>786</v>
      </c>
      <c r="B159" s="10"/>
      <c r="C159" s="3" t="s">
        <v>787</v>
      </c>
      <c r="D159" s="3" t="s">
        <v>788</v>
      </c>
      <c r="E159" s="3" t="s">
        <v>789</v>
      </c>
      <c r="F159" s="3" t="s">
        <v>790</v>
      </c>
      <c r="G159" s="3" t="s">
        <v>82</v>
      </c>
      <c r="H159" s="3" t="s">
        <v>6</v>
      </c>
      <c r="I159" s="3" t="s">
        <v>15</v>
      </c>
      <c r="J159" s="3" t="s">
        <v>791</v>
      </c>
      <c r="K159" s="3"/>
      <c r="L159" s="3"/>
      <c r="M159" s="3"/>
      <c r="N159" s="6" t="s">
        <v>792</v>
      </c>
      <c r="O159" s="3"/>
      <c r="P159" s="4">
        <v>43565</v>
      </c>
      <c r="Q159" s="3">
        <v>0</v>
      </c>
      <c r="R159" s="3">
        <v>432</v>
      </c>
      <c r="S159" s="3" t="s">
        <v>793</v>
      </c>
      <c r="T159" s="3">
        <v>0</v>
      </c>
      <c r="U159" s="3" t="s">
        <v>8</v>
      </c>
      <c r="V159" s="3">
        <v>0</v>
      </c>
      <c r="W159" s="3">
        <v>0</v>
      </c>
      <c r="X159" s="3">
        <v>0</v>
      </c>
      <c r="Y159" s="3">
        <v>0</v>
      </c>
      <c r="Z159" s="3">
        <v>0.01</v>
      </c>
      <c r="AA159" s="3">
        <v>0.01</v>
      </c>
      <c r="AF159" s="25"/>
      <c r="AG159" s="18"/>
      <c r="AH159" s="3"/>
      <c r="AI159" s="3"/>
      <c r="AJ159" s="3"/>
      <c r="AK159" s="15">
        <f t="shared" si="20"/>
        <v>0</v>
      </c>
      <c r="AL159" s="15">
        <f t="shared" si="21"/>
        <v>0.01</v>
      </c>
      <c r="AN159" s="15">
        <f t="shared" si="23"/>
        <v>0.01</v>
      </c>
    </row>
    <row r="160" spans="1:40" x14ac:dyDescent="0.25">
      <c r="A160" s="10" t="s">
        <v>794</v>
      </c>
      <c r="B160" s="10" t="s">
        <v>1105</v>
      </c>
      <c r="C160" s="3" t="s">
        <v>795</v>
      </c>
      <c r="D160" s="3" t="s">
        <v>796</v>
      </c>
      <c r="E160" s="3" t="s">
        <v>797</v>
      </c>
      <c r="F160" s="3" t="s">
        <v>798</v>
      </c>
      <c r="G160" s="3" t="s">
        <v>14</v>
      </c>
      <c r="H160" s="3" t="s">
        <v>6</v>
      </c>
      <c r="I160" s="3"/>
      <c r="J160" s="3" t="s">
        <v>799</v>
      </c>
      <c r="K160" s="3"/>
      <c r="L160" s="3"/>
      <c r="M160" s="3"/>
      <c r="N160" s="6" t="s">
        <v>800</v>
      </c>
      <c r="O160" s="3"/>
      <c r="P160" s="4">
        <v>46080</v>
      </c>
      <c r="Q160" s="5">
        <v>71630.789999999994</v>
      </c>
      <c r="R160" s="3">
        <v>346</v>
      </c>
      <c r="S160" s="3"/>
      <c r="T160" s="3">
        <v>0</v>
      </c>
      <c r="U160" s="3" t="s">
        <v>8</v>
      </c>
      <c r="V160" s="5">
        <v>5017</v>
      </c>
      <c r="W160" s="3">
        <v>0</v>
      </c>
      <c r="X160" s="3">
        <v>0</v>
      </c>
      <c r="Y160" s="3">
        <v>0</v>
      </c>
      <c r="Z160" s="5">
        <v>-0.01</v>
      </c>
      <c r="AA160" s="5">
        <v>5016.99</v>
      </c>
      <c r="AC160" t="str">
        <f>[1]nedredc!$A$18</f>
        <v>27/03/2026</v>
      </c>
      <c r="AD160" t="str">
        <f>[1]nedredc!$B$18</f>
        <v>SEVEN DAYS TRADING</v>
      </c>
      <c r="AE160" s="15">
        <f>[1]nedredc!$C$18</f>
        <v>5017</v>
      </c>
      <c r="AF160" s="26">
        <f>V160</f>
        <v>5017</v>
      </c>
      <c r="AG160" s="18"/>
      <c r="AH160" s="3"/>
      <c r="AI160" s="3"/>
      <c r="AJ160" s="5"/>
      <c r="AK160" s="15">
        <f>AG160+AH160+AI160+AJ160+AF160</f>
        <v>5017</v>
      </c>
      <c r="AL160" s="15">
        <f t="shared" si="21"/>
        <v>-1.0000000000218279E-2</v>
      </c>
      <c r="AM160">
        <v>5016.99</v>
      </c>
      <c r="AN160" s="15">
        <f t="shared" si="23"/>
        <v>-5017</v>
      </c>
    </row>
    <row r="161" spans="1:40" x14ac:dyDescent="0.25">
      <c r="A161" s="10" t="s">
        <v>801</v>
      </c>
      <c r="B161" s="3" t="s">
        <v>1106</v>
      </c>
      <c r="C161" s="3" t="s">
        <v>802</v>
      </c>
      <c r="D161" s="3" t="s">
        <v>803</v>
      </c>
      <c r="E161" s="3" t="s">
        <v>804</v>
      </c>
      <c r="F161" s="3" t="s">
        <v>805</v>
      </c>
      <c r="G161" s="3" t="s">
        <v>14</v>
      </c>
      <c r="H161" s="3"/>
      <c r="I161" s="3"/>
      <c r="J161" s="3" t="s">
        <v>806</v>
      </c>
      <c r="K161" s="3"/>
      <c r="L161" s="3"/>
      <c r="M161" s="3"/>
      <c r="N161" s="3">
        <v>1462</v>
      </c>
      <c r="O161" s="3"/>
      <c r="P161" s="4">
        <v>46055</v>
      </c>
      <c r="Q161" s="5">
        <v>25968.959999999999</v>
      </c>
      <c r="R161" s="3">
        <v>1218</v>
      </c>
      <c r="S161" s="3"/>
      <c r="T161" s="3">
        <v>0</v>
      </c>
      <c r="U161" s="3" t="s">
        <v>8</v>
      </c>
      <c r="V161" s="5">
        <v>26116.12</v>
      </c>
      <c r="W161" s="5">
        <v>23990.9</v>
      </c>
      <c r="X161" s="3">
        <v>0</v>
      </c>
      <c r="Y161" s="3">
        <v>0</v>
      </c>
      <c r="Z161" s="3">
        <v>0.02</v>
      </c>
      <c r="AA161" s="5">
        <v>50107.040000000001</v>
      </c>
      <c r="AC161" t="str">
        <f>[1]nedredc!$A$34</f>
        <v>02/03/2026</v>
      </c>
      <c r="AD161" t="str">
        <f>[1]nedredc!$B$34</f>
        <v>SG MOBILITY</v>
      </c>
      <c r="AE161" s="15">
        <f>[1]nedredc!$C$34</f>
        <v>23990.9</v>
      </c>
      <c r="AF161" s="25"/>
      <c r="AG161" s="19">
        <f>AE161</f>
        <v>23990.9</v>
      </c>
      <c r="AH161" s="3"/>
      <c r="AI161" s="3"/>
      <c r="AJ161" s="3"/>
      <c r="AK161" s="15">
        <f t="shared" ref="AK161:AK195" si="25">AG161+AH161+AI161+AJ161+AF161</f>
        <v>23990.9</v>
      </c>
      <c r="AL161" s="15">
        <f t="shared" si="21"/>
        <v>26116.14</v>
      </c>
      <c r="AM161">
        <v>26116.14</v>
      </c>
      <c r="AN161" s="15">
        <f t="shared" si="23"/>
        <v>0</v>
      </c>
    </row>
    <row r="162" spans="1:40" x14ac:dyDescent="0.25">
      <c r="A162" s="10" t="s">
        <v>807</v>
      </c>
      <c r="B162" s="10" t="s">
        <v>1107</v>
      </c>
      <c r="C162" s="3" t="s">
        <v>808</v>
      </c>
      <c r="D162" s="3" t="s">
        <v>809</v>
      </c>
      <c r="E162" s="3" t="s">
        <v>810</v>
      </c>
      <c r="F162" s="3" t="s">
        <v>811</v>
      </c>
      <c r="G162" s="3" t="s">
        <v>14</v>
      </c>
      <c r="H162" s="3"/>
      <c r="I162" s="3" t="s">
        <v>15</v>
      </c>
      <c r="J162" s="3" t="s">
        <v>812</v>
      </c>
      <c r="K162" s="3"/>
      <c r="L162" s="3"/>
      <c r="M162" s="3"/>
      <c r="N162" s="3">
        <v>2090</v>
      </c>
      <c r="O162" s="3"/>
      <c r="P162" s="4">
        <v>46081</v>
      </c>
      <c r="Q162" s="5">
        <v>188.7</v>
      </c>
      <c r="R162" s="3">
        <v>76</v>
      </c>
      <c r="S162" s="3"/>
      <c r="T162" s="3">
        <v>0</v>
      </c>
      <c r="U162" s="3" t="s">
        <v>8</v>
      </c>
      <c r="V162" s="5">
        <v>188.7</v>
      </c>
      <c r="W162" s="3">
        <v>0</v>
      </c>
      <c r="X162" s="3">
        <v>0</v>
      </c>
      <c r="Y162" s="3">
        <v>0</v>
      </c>
      <c r="Z162" s="3">
        <v>0</v>
      </c>
      <c r="AA162" s="5">
        <v>188.7</v>
      </c>
      <c r="AF162" s="25"/>
      <c r="AG162" s="18"/>
      <c r="AH162" s="3"/>
      <c r="AI162" s="3"/>
      <c r="AJ162" s="3"/>
      <c r="AK162" s="15">
        <f t="shared" si="25"/>
        <v>0</v>
      </c>
      <c r="AL162" s="15">
        <f t="shared" si="21"/>
        <v>188.7</v>
      </c>
      <c r="AM162" s="15">
        <f>AL162</f>
        <v>188.7</v>
      </c>
      <c r="AN162" s="15">
        <f t="shared" si="23"/>
        <v>0</v>
      </c>
    </row>
    <row r="163" spans="1:40" x14ac:dyDescent="0.25">
      <c r="A163" s="10" t="s">
        <v>813</v>
      </c>
      <c r="B163" s="10" t="s">
        <v>1108</v>
      </c>
      <c r="C163" s="3" t="s">
        <v>814</v>
      </c>
      <c r="D163" s="3" t="s">
        <v>815</v>
      </c>
      <c r="E163" s="3" t="s">
        <v>816</v>
      </c>
      <c r="F163" s="3" t="s">
        <v>817</v>
      </c>
      <c r="G163" s="3" t="s">
        <v>14</v>
      </c>
      <c r="H163" s="3" t="s">
        <v>6</v>
      </c>
      <c r="I163" s="3"/>
      <c r="J163" s="3" t="s">
        <v>818</v>
      </c>
      <c r="K163" s="3"/>
      <c r="L163" s="3"/>
      <c r="M163" s="3"/>
      <c r="N163" s="3">
        <v>8305</v>
      </c>
      <c r="O163" s="3"/>
      <c r="P163" s="4">
        <v>46080</v>
      </c>
      <c r="Q163" s="5">
        <v>9359.0499999999993</v>
      </c>
      <c r="R163" s="3">
        <v>293</v>
      </c>
      <c r="S163" s="3"/>
      <c r="T163" s="3">
        <v>0</v>
      </c>
      <c r="U163" s="3" t="s">
        <v>8</v>
      </c>
      <c r="V163" s="5">
        <v>16364.48</v>
      </c>
      <c r="W163" s="5">
        <v>48581.06</v>
      </c>
      <c r="X163" s="3">
        <v>0</v>
      </c>
      <c r="Y163" s="3">
        <v>0</v>
      </c>
      <c r="Z163" s="5">
        <v>-402.56</v>
      </c>
      <c r="AA163" s="5">
        <v>64542.98</v>
      </c>
      <c r="AF163" s="25"/>
      <c r="AG163" s="19"/>
      <c r="AH163" s="3"/>
      <c r="AI163" s="3"/>
      <c r="AJ163" s="5"/>
      <c r="AK163" s="15">
        <f t="shared" si="25"/>
        <v>0</v>
      </c>
      <c r="AL163" s="15">
        <f t="shared" si="21"/>
        <v>64542.98</v>
      </c>
      <c r="AM163" s="15">
        <f>AL163</f>
        <v>64542.98</v>
      </c>
      <c r="AN163" s="15">
        <f t="shared" si="23"/>
        <v>0</v>
      </c>
    </row>
    <row r="164" spans="1:40" x14ac:dyDescent="0.25">
      <c r="A164" s="10" t="s">
        <v>819</v>
      </c>
      <c r="B164" s="10" t="s">
        <v>1109</v>
      </c>
      <c r="C164" s="3" t="s">
        <v>820</v>
      </c>
      <c r="D164" s="3" t="s">
        <v>821</v>
      </c>
      <c r="E164" s="3" t="s">
        <v>822</v>
      </c>
      <c r="F164" s="3" t="s">
        <v>823</v>
      </c>
      <c r="G164" s="3" t="s">
        <v>14</v>
      </c>
      <c r="H164" s="3" t="s">
        <v>6</v>
      </c>
      <c r="I164" s="3" t="s">
        <v>15</v>
      </c>
      <c r="J164" s="3" t="s">
        <v>824</v>
      </c>
      <c r="K164" s="3"/>
      <c r="L164" s="3"/>
      <c r="M164" s="3"/>
      <c r="N164" s="3">
        <v>2067</v>
      </c>
      <c r="O164" s="3"/>
      <c r="P164" s="4">
        <v>46081</v>
      </c>
      <c r="Q164" s="5">
        <v>204.7</v>
      </c>
      <c r="R164" s="3">
        <v>107</v>
      </c>
      <c r="S164" s="3"/>
      <c r="T164" s="3">
        <v>0</v>
      </c>
      <c r="U164" s="3" t="s">
        <v>8</v>
      </c>
      <c r="V164" s="5">
        <v>204.7</v>
      </c>
      <c r="W164" s="3">
        <v>0</v>
      </c>
      <c r="X164" s="3">
        <v>0</v>
      </c>
      <c r="Y164" s="3">
        <v>0</v>
      </c>
      <c r="Z164" s="3">
        <v>0</v>
      </c>
      <c r="AA164" s="5">
        <v>204.7</v>
      </c>
      <c r="AF164" s="25"/>
      <c r="AG164" s="18"/>
      <c r="AH164" s="3"/>
      <c r="AI164" s="3"/>
      <c r="AJ164" s="3"/>
      <c r="AK164" s="15">
        <f t="shared" si="25"/>
        <v>0</v>
      </c>
      <c r="AL164" s="15">
        <f t="shared" si="21"/>
        <v>204.7</v>
      </c>
      <c r="AM164" s="15">
        <f>AL164</f>
        <v>204.7</v>
      </c>
      <c r="AN164" s="15">
        <f t="shared" si="23"/>
        <v>0</v>
      </c>
    </row>
    <row r="165" spans="1:40" x14ac:dyDescent="0.25">
      <c r="A165" s="10" t="s">
        <v>825</v>
      </c>
      <c r="B165" s="10" t="s">
        <v>1110</v>
      </c>
      <c r="C165" s="3" t="s">
        <v>826</v>
      </c>
      <c r="D165" s="3" t="s">
        <v>827</v>
      </c>
      <c r="E165" s="3"/>
      <c r="F165" s="3" t="s">
        <v>828</v>
      </c>
      <c r="G165" s="3" t="s">
        <v>14</v>
      </c>
      <c r="H165" s="3" t="s">
        <v>6</v>
      </c>
      <c r="I165" s="3"/>
      <c r="J165" s="3" t="s">
        <v>829</v>
      </c>
      <c r="K165" s="3"/>
      <c r="L165" s="3"/>
      <c r="M165" s="3" t="s">
        <v>22</v>
      </c>
      <c r="N165" s="3">
        <v>1401</v>
      </c>
      <c r="O165" s="3"/>
      <c r="P165" s="4">
        <v>46060</v>
      </c>
      <c r="Q165" s="5">
        <v>11641.45</v>
      </c>
      <c r="R165" s="3">
        <v>56</v>
      </c>
      <c r="S165" s="3"/>
      <c r="T165" s="3">
        <v>0</v>
      </c>
      <c r="U165" s="3" t="s">
        <v>8</v>
      </c>
      <c r="V165" s="5">
        <v>5828.2</v>
      </c>
      <c r="W165" s="5">
        <v>5828.2</v>
      </c>
      <c r="X165" s="3">
        <v>0</v>
      </c>
      <c r="Y165" s="3">
        <v>0</v>
      </c>
      <c r="Z165" s="3">
        <v>0</v>
      </c>
      <c r="AA165" s="5">
        <v>11656.4</v>
      </c>
      <c r="AC165" t="str">
        <f>[1]nedredc!$A$19</f>
        <v>07/03/2026</v>
      </c>
      <c r="AD165" t="str">
        <f>[1]nedredc!$B$19</f>
        <v>TACIT LOGISTICS PTY LTD</v>
      </c>
      <c r="AE165" s="26">
        <f>[1]nedredc!$C$19</f>
        <v>5828.2</v>
      </c>
      <c r="AG165" s="19">
        <f>W165</f>
        <v>5828.2</v>
      </c>
      <c r="AH165" s="3"/>
      <c r="AI165" s="3"/>
      <c r="AJ165" s="3"/>
      <c r="AK165" s="15">
        <f t="shared" si="25"/>
        <v>5828.2</v>
      </c>
      <c r="AL165" s="15">
        <f t="shared" si="21"/>
        <v>5828.2</v>
      </c>
      <c r="AM165">
        <v>5828.2</v>
      </c>
      <c r="AN165" s="15">
        <f t="shared" si="23"/>
        <v>0</v>
      </c>
    </row>
    <row r="166" spans="1:40" x14ac:dyDescent="0.25">
      <c r="A166" s="10" t="s">
        <v>830</v>
      </c>
      <c r="B166" s="10" t="s">
        <v>1111</v>
      </c>
      <c r="C166" s="3" t="s">
        <v>831</v>
      </c>
      <c r="D166" s="3" t="s">
        <v>832</v>
      </c>
      <c r="E166" s="3" t="s">
        <v>833</v>
      </c>
      <c r="F166" s="3" t="s">
        <v>834</v>
      </c>
      <c r="G166" s="3" t="s">
        <v>14</v>
      </c>
      <c r="H166" s="3" t="s">
        <v>6</v>
      </c>
      <c r="I166" s="3" t="s">
        <v>15</v>
      </c>
      <c r="J166" s="3" t="s">
        <v>835</v>
      </c>
      <c r="K166" s="3"/>
      <c r="L166" s="3"/>
      <c r="M166" s="3"/>
      <c r="N166" s="3">
        <v>2130</v>
      </c>
      <c r="O166" s="3"/>
      <c r="P166" s="4">
        <v>46081</v>
      </c>
      <c r="Q166" s="5">
        <v>227.7</v>
      </c>
      <c r="R166" s="3">
        <v>55</v>
      </c>
      <c r="S166" s="3"/>
      <c r="T166" s="3">
        <v>0</v>
      </c>
      <c r="U166" s="3" t="s">
        <v>8</v>
      </c>
      <c r="V166" s="5">
        <v>227.7</v>
      </c>
      <c r="W166" s="3">
        <v>0</v>
      </c>
      <c r="X166" s="3">
        <v>0</v>
      </c>
      <c r="Y166" s="3">
        <v>0</v>
      </c>
      <c r="Z166" s="3">
        <v>0</v>
      </c>
      <c r="AA166" s="5">
        <v>227.7</v>
      </c>
      <c r="AF166" s="25"/>
      <c r="AG166" s="18"/>
      <c r="AH166" s="3"/>
      <c r="AI166" s="3"/>
      <c r="AJ166" s="3"/>
      <c r="AK166" s="15">
        <f t="shared" si="25"/>
        <v>0</v>
      </c>
      <c r="AL166" s="15">
        <f t="shared" si="21"/>
        <v>227.7</v>
      </c>
      <c r="AM166" s="15">
        <f>AL166</f>
        <v>227.7</v>
      </c>
      <c r="AN166" s="15">
        <f t="shared" si="23"/>
        <v>0</v>
      </c>
    </row>
    <row r="167" spans="1:40" x14ac:dyDescent="0.25">
      <c r="A167" s="10" t="s">
        <v>836</v>
      </c>
      <c r="B167" s="10" t="s">
        <v>1112</v>
      </c>
      <c r="C167" s="3" t="s">
        <v>837</v>
      </c>
      <c r="D167" s="3"/>
      <c r="E167" s="3"/>
      <c r="F167" s="3"/>
      <c r="G167" s="3" t="s">
        <v>14</v>
      </c>
      <c r="H167" s="3" t="s">
        <v>6</v>
      </c>
      <c r="I167" s="3"/>
      <c r="J167" s="3" t="s">
        <v>838</v>
      </c>
      <c r="K167" s="3"/>
      <c r="L167" s="3"/>
      <c r="M167" s="3"/>
      <c r="N167" s="3">
        <v>3600</v>
      </c>
      <c r="O167" s="3"/>
      <c r="P167" s="4">
        <v>46078</v>
      </c>
      <c r="Q167" s="5">
        <v>1309.52</v>
      </c>
      <c r="R167" s="3">
        <v>204</v>
      </c>
      <c r="S167" s="3"/>
      <c r="T167" s="3">
        <v>0</v>
      </c>
      <c r="U167" s="3" t="s">
        <v>8</v>
      </c>
      <c r="V167" s="5">
        <v>7202.4</v>
      </c>
      <c r="W167" s="5">
        <v>6547.64</v>
      </c>
      <c r="X167" s="3">
        <v>0</v>
      </c>
      <c r="Y167" s="3">
        <v>0</v>
      </c>
      <c r="Z167" s="3">
        <v>0.9</v>
      </c>
      <c r="AA167" s="5">
        <v>13750.94</v>
      </c>
      <c r="AC167" t="str">
        <f>[1]nedredc!$A$6</f>
        <v>06/03/2026</v>
      </c>
      <c r="AD167" t="str">
        <f>[1]nedredc!$B$6</f>
        <v>SPAR GROUP CO</v>
      </c>
      <c r="AE167" s="15">
        <f>[1]nedredc!$C$6</f>
        <v>654.76</v>
      </c>
      <c r="AF167" s="25"/>
      <c r="AG167" s="19">
        <f>AE167</f>
        <v>654.76</v>
      </c>
      <c r="AH167" s="3"/>
      <c r="AI167" s="3"/>
      <c r="AJ167" s="3"/>
      <c r="AK167" s="15">
        <f t="shared" si="25"/>
        <v>654.76</v>
      </c>
      <c r="AL167" s="15">
        <f t="shared" si="21"/>
        <v>13096.18</v>
      </c>
      <c r="AM167">
        <v>13095.28</v>
      </c>
      <c r="AN167" s="15">
        <f t="shared" si="23"/>
        <v>0.8999999999996362</v>
      </c>
    </row>
    <row r="168" spans="1:40" x14ac:dyDescent="0.25">
      <c r="A168" s="10" t="s">
        <v>839</v>
      </c>
      <c r="B168" s="10"/>
      <c r="C168" s="3" t="s">
        <v>840</v>
      </c>
      <c r="D168" s="3" t="s">
        <v>841</v>
      </c>
      <c r="E168" s="3" t="s">
        <v>842</v>
      </c>
      <c r="F168" s="3" t="s">
        <v>843</v>
      </c>
      <c r="G168" s="3" t="s">
        <v>14</v>
      </c>
      <c r="H168" s="3"/>
      <c r="I168" s="3" t="s">
        <v>15</v>
      </c>
      <c r="J168" s="3" t="s">
        <v>844</v>
      </c>
      <c r="K168" s="3"/>
      <c r="L168" s="3" t="s">
        <v>69</v>
      </c>
      <c r="M168" s="3"/>
      <c r="N168" s="3">
        <v>1501</v>
      </c>
      <c r="O168" s="3"/>
      <c r="P168" s="4">
        <v>46081</v>
      </c>
      <c r="Q168" s="5">
        <v>165.8</v>
      </c>
      <c r="R168" s="3">
        <v>108</v>
      </c>
      <c r="S168" s="3"/>
      <c r="T168" s="3">
        <v>0</v>
      </c>
      <c r="U168" s="3" t="s">
        <v>8</v>
      </c>
      <c r="V168" s="5">
        <v>165.8</v>
      </c>
      <c r="W168" s="3">
        <v>0.01</v>
      </c>
      <c r="X168" s="3">
        <v>0</v>
      </c>
      <c r="Y168" s="3">
        <v>0</v>
      </c>
      <c r="Z168" s="5">
        <v>-0.01</v>
      </c>
      <c r="AA168" s="5">
        <v>165.8</v>
      </c>
      <c r="AF168" s="25"/>
      <c r="AG168" s="18"/>
      <c r="AH168" s="3"/>
      <c r="AI168" s="3"/>
      <c r="AJ168" s="5"/>
      <c r="AK168" s="15">
        <f t="shared" si="25"/>
        <v>0</v>
      </c>
      <c r="AL168" s="15">
        <f t="shared" si="21"/>
        <v>165.8</v>
      </c>
      <c r="AM168" s="15">
        <f>AL168</f>
        <v>165.8</v>
      </c>
      <c r="AN168" s="15">
        <f t="shared" si="23"/>
        <v>0</v>
      </c>
    </row>
    <row r="169" spans="1:40" x14ac:dyDescent="0.25">
      <c r="A169" s="10">
        <v>1113</v>
      </c>
      <c r="B169" s="10"/>
      <c r="C169" s="3" t="s">
        <v>845</v>
      </c>
      <c r="D169" s="3" t="s">
        <v>846</v>
      </c>
      <c r="E169" s="3" t="s">
        <v>847</v>
      </c>
      <c r="F169" s="3" t="s">
        <v>848</v>
      </c>
      <c r="G169" s="3" t="s">
        <v>14</v>
      </c>
      <c r="H169" s="3" t="s">
        <v>6</v>
      </c>
      <c r="I169" s="3"/>
      <c r="J169" s="3" t="s">
        <v>849</v>
      </c>
      <c r="K169" s="3"/>
      <c r="L169" s="3"/>
      <c r="M169" s="3" t="s">
        <v>22</v>
      </c>
      <c r="N169" s="3"/>
      <c r="O169" s="3"/>
      <c r="P169" s="4">
        <v>46077</v>
      </c>
      <c r="Q169" s="5">
        <v>655.56</v>
      </c>
      <c r="R169" s="3">
        <v>96</v>
      </c>
      <c r="S169" s="3"/>
      <c r="T169" s="3">
        <v>0</v>
      </c>
      <c r="U169" s="3" t="s">
        <v>8</v>
      </c>
      <c r="V169" s="5">
        <v>165</v>
      </c>
      <c r="W169" s="3">
        <v>0</v>
      </c>
      <c r="X169" s="3">
        <v>0</v>
      </c>
      <c r="Y169" s="3">
        <v>0</v>
      </c>
      <c r="Z169" s="3">
        <v>0</v>
      </c>
      <c r="AA169" s="5">
        <v>165</v>
      </c>
      <c r="AF169" s="25"/>
      <c r="AG169" s="18"/>
      <c r="AH169" s="3"/>
      <c r="AI169" s="3"/>
      <c r="AJ169" s="3"/>
      <c r="AK169" s="15">
        <f t="shared" si="25"/>
        <v>0</v>
      </c>
      <c r="AL169" s="15">
        <f t="shared" si="21"/>
        <v>165</v>
      </c>
      <c r="AM169" s="15">
        <f>AL169</f>
        <v>165</v>
      </c>
      <c r="AN169" s="15">
        <f t="shared" si="23"/>
        <v>0</v>
      </c>
    </row>
    <row r="170" spans="1:40" x14ac:dyDescent="0.25">
      <c r="A170" s="10" t="s">
        <v>850</v>
      </c>
      <c r="B170" s="10" t="s">
        <v>1113</v>
      </c>
      <c r="C170" s="3" t="s">
        <v>851</v>
      </c>
      <c r="D170" s="3" t="s">
        <v>852</v>
      </c>
      <c r="E170" s="3" t="s">
        <v>853</v>
      </c>
      <c r="F170" s="3" t="s">
        <v>854</v>
      </c>
      <c r="G170" s="3" t="s">
        <v>14</v>
      </c>
      <c r="H170" s="3" t="s">
        <v>6</v>
      </c>
      <c r="I170" s="3" t="s">
        <v>15</v>
      </c>
      <c r="J170" s="3" t="s">
        <v>855</v>
      </c>
      <c r="K170" s="3">
        <v>1900</v>
      </c>
      <c r="L170" s="3"/>
      <c r="M170" s="3" t="s">
        <v>22</v>
      </c>
      <c r="N170" s="3"/>
      <c r="O170" s="3"/>
      <c r="P170" s="4">
        <v>46056</v>
      </c>
      <c r="Q170" s="5">
        <v>23840.65</v>
      </c>
      <c r="R170" s="3">
        <v>181</v>
      </c>
      <c r="S170" s="3"/>
      <c r="T170" s="3">
        <v>0</v>
      </c>
      <c r="U170" s="3" t="s">
        <v>8</v>
      </c>
      <c r="V170" s="5">
        <v>23840.65</v>
      </c>
      <c r="W170" s="3">
        <v>0</v>
      </c>
      <c r="X170" s="3">
        <v>0</v>
      </c>
      <c r="Y170" s="3">
        <v>0</v>
      </c>
      <c r="Z170" s="3">
        <v>0</v>
      </c>
      <c r="AA170" s="5">
        <v>23840.65</v>
      </c>
      <c r="AC170" t="str">
        <f>[1]nedredc!$A$33</f>
        <v>10/03/2026</v>
      </c>
      <c r="AD170" t="str">
        <f>[1]nedredc!$B$33</f>
        <v>TRIANGLE SERVICES VA</v>
      </c>
      <c r="AE170" s="15">
        <f>[1]nedredc!$C$33</f>
        <v>23840.65</v>
      </c>
      <c r="AF170" s="26">
        <f>AE170</f>
        <v>23840.65</v>
      </c>
      <c r="AG170" s="18"/>
      <c r="AH170" s="3"/>
      <c r="AI170" s="3"/>
      <c r="AJ170" s="3"/>
      <c r="AK170" s="15">
        <f t="shared" si="25"/>
        <v>23840.65</v>
      </c>
      <c r="AL170" s="15">
        <f t="shared" si="21"/>
        <v>0</v>
      </c>
      <c r="AM170">
        <v>0</v>
      </c>
      <c r="AN170" s="15">
        <f t="shared" si="23"/>
        <v>0</v>
      </c>
    </row>
    <row r="171" spans="1:40" x14ac:dyDescent="0.25">
      <c r="A171" s="10" t="s">
        <v>856</v>
      </c>
      <c r="B171" s="10" t="s">
        <v>1114</v>
      </c>
      <c r="C171" s="3" t="s">
        <v>857</v>
      </c>
      <c r="D171" s="3" t="s">
        <v>857</v>
      </c>
      <c r="E171" s="3"/>
      <c r="F171" s="3" t="s">
        <v>858</v>
      </c>
      <c r="G171" s="3" t="s">
        <v>14</v>
      </c>
      <c r="H171" s="3" t="s">
        <v>6</v>
      </c>
      <c r="I171" s="3"/>
      <c r="J171" s="3" t="s">
        <v>859</v>
      </c>
      <c r="K171" s="3"/>
      <c r="L171" s="3"/>
      <c r="M171" s="3" t="s">
        <v>22</v>
      </c>
      <c r="N171" s="3"/>
      <c r="O171" s="3"/>
      <c r="P171" s="3"/>
      <c r="Q171" s="3">
        <v>0</v>
      </c>
      <c r="R171" s="3">
        <v>61</v>
      </c>
      <c r="S171" s="3"/>
      <c r="T171" s="3">
        <v>0</v>
      </c>
      <c r="U171" s="3" t="s">
        <v>8</v>
      </c>
      <c r="V171" s="5">
        <v>616.4</v>
      </c>
      <c r="W171" s="5">
        <v>3109.6</v>
      </c>
      <c r="X171" s="3">
        <v>0</v>
      </c>
      <c r="Y171" s="3">
        <v>0</v>
      </c>
      <c r="Z171" s="3">
        <v>0</v>
      </c>
      <c r="AA171" s="5">
        <v>3726</v>
      </c>
      <c r="AF171" s="25"/>
      <c r="AG171" s="19"/>
      <c r="AH171" s="3"/>
      <c r="AI171" s="3"/>
      <c r="AJ171" s="3"/>
      <c r="AK171" s="15">
        <f t="shared" si="25"/>
        <v>0</v>
      </c>
      <c r="AL171" s="15">
        <f t="shared" si="21"/>
        <v>3726</v>
      </c>
      <c r="AM171" s="15">
        <f>AL171</f>
        <v>3726</v>
      </c>
      <c r="AN171" s="15">
        <f t="shared" si="23"/>
        <v>0</v>
      </c>
    </row>
    <row r="172" spans="1:40" x14ac:dyDescent="0.25">
      <c r="A172" s="10">
        <v>2273</v>
      </c>
      <c r="B172" s="10" t="s">
        <v>1115</v>
      </c>
      <c r="C172" s="3" t="s">
        <v>860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0</v>
      </c>
      <c r="R172" s="3">
        <v>31</v>
      </c>
      <c r="S172" s="3"/>
      <c r="T172" s="3">
        <v>0</v>
      </c>
      <c r="U172" s="3" t="s">
        <v>8</v>
      </c>
      <c r="V172" s="5">
        <v>76392.2</v>
      </c>
      <c r="W172" s="3">
        <v>0</v>
      </c>
      <c r="X172" s="3">
        <v>0</v>
      </c>
      <c r="Y172" s="3">
        <v>0</v>
      </c>
      <c r="Z172" s="3">
        <v>0</v>
      </c>
      <c r="AA172" s="5">
        <v>76392.2</v>
      </c>
      <c r="AF172" s="25"/>
      <c r="AG172" s="18"/>
      <c r="AH172" s="3"/>
      <c r="AI172" s="3"/>
      <c r="AJ172" s="3"/>
      <c r="AK172" s="15">
        <f t="shared" si="25"/>
        <v>0</v>
      </c>
      <c r="AL172" s="15">
        <f t="shared" si="21"/>
        <v>76392.2</v>
      </c>
      <c r="AM172">
        <v>0</v>
      </c>
      <c r="AN172" s="15">
        <f t="shared" si="23"/>
        <v>76392.2</v>
      </c>
    </row>
    <row r="173" spans="1:40" x14ac:dyDescent="0.25">
      <c r="A173" s="10">
        <v>2274</v>
      </c>
      <c r="B173" s="10" t="s">
        <v>1116</v>
      </c>
      <c r="C173" s="3" t="s">
        <v>861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0</v>
      </c>
      <c r="R173" s="3">
        <v>31</v>
      </c>
      <c r="S173" s="3"/>
      <c r="T173" s="3">
        <v>0</v>
      </c>
      <c r="U173" s="3" t="s">
        <v>8</v>
      </c>
      <c r="V173" s="5">
        <v>66458.5</v>
      </c>
      <c r="W173" s="3">
        <v>0</v>
      </c>
      <c r="X173" s="3">
        <v>0</v>
      </c>
      <c r="Y173" s="3">
        <v>0</v>
      </c>
      <c r="Z173" s="3">
        <v>0</v>
      </c>
      <c r="AA173" s="5">
        <v>66458.5</v>
      </c>
      <c r="AF173" s="25"/>
      <c r="AG173" s="18"/>
      <c r="AH173" s="3"/>
      <c r="AI173" s="3"/>
      <c r="AJ173" s="3"/>
      <c r="AK173" s="15">
        <f t="shared" si="25"/>
        <v>0</v>
      </c>
      <c r="AL173" s="15">
        <f t="shared" si="21"/>
        <v>66458.5</v>
      </c>
      <c r="AM173">
        <v>0</v>
      </c>
      <c r="AN173" s="15">
        <f t="shared" si="23"/>
        <v>66458.5</v>
      </c>
    </row>
    <row r="174" spans="1:40" x14ac:dyDescent="0.25">
      <c r="A174" s="10" t="s">
        <v>862</v>
      </c>
      <c r="B174" s="10" t="s">
        <v>1117</v>
      </c>
      <c r="C174" s="3" t="s">
        <v>863</v>
      </c>
      <c r="D174" s="3" t="s">
        <v>864</v>
      </c>
      <c r="E174" s="3"/>
      <c r="F174" s="3" t="s">
        <v>865</v>
      </c>
      <c r="G174" s="3" t="s">
        <v>14</v>
      </c>
      <c r="H174" s="3" t="s">
        <v>6</v>
      </c>
      <c r="I174" s="3"/>
      <c r="J174" s="3" t="s">
        <v>866</v>
      </c>
      <c r="K174" s="3"/>
      <c r="L174" s="3"/>
      <c r="M174" s="3" t="s">
        <v>22</v>
      </c>
      <c r="N174" s="3"/>
      <c r="O174" s="3"/>
      <c r="P174" s="3"/>
      <c r="Q174" s="3">
        <v>0</v>
      </c>
      <c r="R174" s="3">
        <v>53</v>
      </c>
      <c r="S174" s="3"/>
      <c r="T174" s="3">
        <v>0</v>
      </c>
      <c r="U174" s="3" t="s">
        <v>8</v>
      </c>
      <c r="V174" s="5">
        <v>31424.9</v>
      </c>
      <c r="W174" s="5">
        <v>85852.1</v>
      </c>
      <c r="X174" s="3">
        <v>0</v>
      </c>
      <c r="Y174" s="3">
        <v>0</v>
      </c>
      <c r="Z174" s="3">
        <v>0</v>
      </c>
      <c r="AA174" s="5">
        <v>117277</v>
      </c>
      <c r="AF174" s="25"/>
      <c r="AG174" s="19"/>
      <c r="AH174" s="3"/>
      <c r="AI174" s="3"/>
      <c r="AJ174" s="3"/>
      <c r="AK174" s="15">
        <f t="shared" si="25"/>
        <v>0</v>
      </c>
      <c r="AL174" s="15">
        <f t="shared" si="21"/>
        <v>117277</v>
      </c>
      <c r="AM174" s="15">
        <f>AL174</f>
        <v>117277</v>
      </c>
      <c r="AN174" s="15">
        <f t="shared" si="23"/>
        <v>0</v>
      </c>
    </row>
    <row r="175" spans="1:40" x14ac:dyDescent="0.25">
      <c r="A175" s="10" t="s">
        <v>867</v>
      </c>
      <c r="B175" s="10" t="s">
        <v>1118</v>
      </c>
      <c r="C175" s="3" t="s">
        <v>868</v>
      </c>
      <c r="D175" s="3" t="s">
        <v>869</v>
      </c>
      <c r="E175" s="3" t="s">
        <v>870</v>
      </c>
      <c r="F175" s="3" t="s">
        <v>871</v>
      </c>
      <c r="G175" s="3" t="s">
        <v>14</v>
      </c>
      <c r="H175" s="3" t="s">
        <v>6</v>
      </c>
      <c r="I175" s="3" t="s">
        <v>15</v>
      </c>
      <c r="J175" s="3" t="s">
        <v>872</v>
      </c>
      <c r="K175" s="3"/>
      <c r="L175" s="3"/>
      <c r="M175" s="3" t="s">
        <v>22</v>
      </c>
      <c r="N175" s="3"/>
      <c r="O175" s="3"/>
      <c r="P175" s="4">
        <v>46080</v>
      </c>
      <c r="Q175" s="5">
        <v>69723.350000000006</v>
      </c>
      <c r="R175" s="3">
        <v>344</v>
      </c>
      <c r="S175" s="3"/>
      <c r="T175" s="3">
        <v>0</v>
      </c>
      <c r="U175" s="3" t="s">
        <v>8</v>
      </c>
      <c r="V175" s="5">
        <v>101242.55</v>
      </c>
      <c r="W175" s="3">
        <v>0</v>
      </c>
      <c r="X175" s="3">
        <v>0</v>
      </c>
      <c r="Y175" s="3">
        <v>0</v>
      </c>
      <c r="Z175" s="3">
        <v>0</v>
      </c>
      <c r="AA175" s="5">
        <v>101242.55</v>
      </c>
      <c r="AF175" s="25"/>
      <c r="AG175" s="18"/>
      <c r="AH175" s="3"/>
      <c r="AI175" s="3"/>
      <c r="AJ175" s="3"/>
      <c r="AK175" s="15">
        <f t="shared" si="25"/>
        <v>0</v>
      </c>
      <c r="AL175" s="15">
        <f t="shared" si="21"/>
        <v>101242.55</v>
      </c>
      <c r="AM175" s="15">
        <f>AL175</f>
        <v>101242.55</v>
      </c>
      <c r="AN175" s="15">
        <f t="shared" si="23"/>
        <v>0</v>
      </c>
    </row>
    <row r="176" spans="1:40" x14ac:dyDescent="0.25">
      <c r="A176" s="10" t="s">
        <v>873</v>
      </c>
      <c r="B176" s="10" t="s">
        <v>1119</v>
      </c>
      <c r="C176" s="3" t="s">
        <v>874</v>
      </c>
      <c r="D176" s="3" t="s">
        <v>875</v>
      </c>
      <c r="E176" s="3" t="s">
        <v>876</v>
      </c>
      <c r="F176" s="3" t="s">
        <v>877</v>
      </c>
      <c r="G176" s="3" t="s">
        <v>14</v>
      </c>
      <c r="H176" s="3" t="s">
        <v>6</v>
      </c>
      <c r="I176" s="3" t="s">
        <v>15</v>
      </c>
      <c r="J176" s="3" t="s">
        <v>878</v>
      </c>
      <c r="K176" s="3"/>
      <c r="L176" s="3"/>
      <c r="M176" s="3" t="s">
        <v>22</v>
      </c>
      <c r="N176" s="3"/>
      <c r="O176" s="3"/>
      <c r="P176" s="4">
        <v>46081</v>
      </c>
      <c r="Q176" s="5">
        <v>7664.75</v>
      </c>
      <c r="R176" s="3">
        <v>117</v>
      </c>
      <c r="S176" s="3"/>
      <c r="T176" s="3">
        <v>0</v>
      </c>
      <c r="U176" s="3" t="s">
        <v>8</v>
      </c>
      <c r="V176" s="5">
        <v>7664.75</v>
      </c>
      <c r="W176" s="3">
        <v>0</v>
      </c>
      <c r="X176" s="3">
        <v>0</v>
      </c>
      <c r="Y176" s="3">
        <v>0</v>
      </c>
      <c r="Z176" s="3">
        <v>0</v>
      </c>
      <c r="AA176" s="5">
        <v>7664.75</v>
      </c>
      <c r="AF176" s="25"/>
      <c r="AG176" s="18"/>
      <c r="AH176" s="3"/>
      <c r="AI176" s="3"/>
      <c r="AJ176" s="3"/>
      <c r="AK176" s="15">
        <f t="shared" si="25"/>
        <v>0</v>
      </c>
      <c r="AL176" s="15">
        <f t="shared" si="21"/>
        <v>7664.75</v>
      </c>
      <c r="AM176" s="15">
        <f>AL176</f>
        <v>7664.75</v>
      </c>
      <c r="AN176" s="15">
        <f t="shared" si="23"/>
        <v>0</v>
      </c>
    </row>
    <row r="177" spans="1:40" x14ac:dyDescent="0.25">
      <c r="A177" s="10" t="s">
        <v>879</v>
      </c>
      <c r="B177" s="10" t="s">
        <v>1120</v>
      </c>
      <c r="C177" s="3" t="s">
        <v>880</v>
      </c>
      <c r="D177" s="3" t="s">
        <v>880</v>
      </c>
      <c r="E177" s="3" t="s">
        <v>881</v>
      </c>
      <c r="F177" s="3" t="s">
        <v>882</v>
      </c>
      <c r="G177" s="3" t="s">
        <v>14</v>
      </c>
      <c r="H177" s="3" t="s">
        <v>6</v>
      </c>
      <c r="I177" s="3" t="s">
        <v>15</v>
      </c>
      <c r="J177" s="3" t="s">
        <v>883</v>
      </c>
      <c r="K177" s="3"/>
      <c r="L177" s="3"/>
      <c r="M177" s="3" t="s">
        <v>22</v>
      </c>
      <c r="N177" s="3"/>
      <c r="O177" s="3"/>
      <c r="P177" s="4">
        <v>46081</v>
      </c>
      <c r="Q177" s="5">
        <v>90.85</v>
      </c>
      <c r="R177" s="3">
        <v>175</v>
      </c>
      <c r="S177" s="3"/>
      <c r="T177" s="3">
        <v>0</v>
      </c>
      <c r="U177" s="3" t="s">
        <v>8</v>
      </c>
      <c r="V177" s="3">
        <v>0</v>
      </c>
      <c r="W177" s="3">
        <v>0</v>
      </c>
      <c r="X177" s="3">
        <v>0</v>
      </c>
      <c r="Y177" s="3">
        <v>0</v>
      </c>
      <c r="Z177" s="5">
        <v>90.85</v>
      </c>
      <c r="AA177" s="5">
        <v>90.85</v>
      </c>
      <c r="AF177" s="25"/>
      <c r="AG177" s="18"/>
      <c r="AH177" s="3"/>
      <c r="AI177" s="3"/>
      <c r="AJ177" s="5"/>
      <c r="AK177" s="15">
        <f t="shared" si="25"/>
        <v>0</v>
      </c>
      <c r="AL177" s="15">
        <f t="shared" si="21"/>
        <v>90.85</v>
      </c>
      <c r="AM177" s="15">
        <f>AL177</f>
        <v>90.85</v>
      </c>
      <c r="AN177" s="15">
        <f t="shared" si="23"/>
        <v>0</v>
      </c>
    </row>
    <row r="178" spans="1:40" x14ac:dyDescent="0.25">
      <c r="A178" s="10" t="s">
        <v>884</v>
      </c>
      <c r="B178" s="10"/>
      <c r="C178" s="3" t="s">
        <v>885</v>
      </c>
      <c r="D178" s="3" t="s">
        <v>885</v>
      </c>
      <c r="E178" s="3" t="s">
        <v>886</v>
      </c>
      <c r="F178" s="3" t="s">
        <v>887</v>
      </c>
      <c r="G178" s="3" t="s">
        <v>14</v>
      </c>
      <c r="H178" s="3" t="s">
        <v>6</v>
      </c>
      <c r="I178" s="3" t="s">
        <v>15</v>
      </c>
      <c r="J178" s="3" t="s">
        <v>888</v>
      </c>
      <c r="K178" s="3"/>
      <c r="L178" s="3"/>
      <c r="M178" s="3" t="s">
        <v>22</v>
      </c>
      <c r="N178" s="3"/>
      <c r="O178" s="3"/>
      <c r="P178" s="4">
        <v>46060</v>
      </c>
      <c r="Q178" s="5">
        <v>589.95000000000005</v>
      </c>
      <c r="R178" s="3">
        <v>200</v>
      </c>
      <c r="S178" s="3"/>
      <c r="T178" s="3">
        <v>0</v>
      </c>
      <c r="U178" s="3" t="s">
        <v>8</v>
      </c>
      <c r="V178" s="3">
        <v>0</v>
      </c>
      <c r="W178" s="5">
        <v>589.95000000000005</v>
      </c>
      <c r="X178" s="3">
        <v>0</v>
      </c>
      <c r="Y178" s="3">
        <v>0</v>
      </c>
      <c r="Z178" s="3">
        <v>0</v>
      </c>
      <c r="AA178" s="5">
        <v>589.95000000000005</v>
      </c>
      <c r="AC178" t="str">
        <f>[1]nedredc!$A$4</f>
        <v>07/03/2026</v>
      </c>
      <c r="AD178" t="str">
        <f>[1]nedredc!$B$4</f>
        <v>TYRELL SMITH</v>
      </c>
      <c r="AE178" s="15">
        <f>[1]nedredc!$C$4</f>
        <v>589.95000000000005</v>
      </c>
      <c r="AF178" s="25"/>
      <c r="AG178" s="19">
        <f>AE178</f>
        <v>589.95000000000005</v>
      </c>
      <c r="AH178" s="3"/>
      <c r="AI178" s="3"/>
      <c r="AJ178" s="3"/>
      <c r="AK178" s="15">
        <f t="shared" si="25"/>
        <v>589.95000000000005</v>
      </c>
      <c r="AL178" s="15">
        <f t="shared" si="21"/>
        <v>0</v>
      </c>
      <c r="AM178">
        <v>0</v>
      </c>
      <c r="AN178" s="15">
        <f t="shared" si="23"/>
        <v>0</v>
      </c>
    </row>
    <row r="179" spans="1:40" x14ac:dyDescent="0.25">
      <c r="A179" s="10">
        <v>1067</v>
      </c>
      <c r="B179" s="10" t="s">
        <v>1121</v>
      </c>
      <c r="C179" s="3" t="s">
        <v>889</v>
      </c>
      <c r="D179" s="3" t="s">
        <v>890</v>
      </c>
      <c r="E179" s="6" t="s">
        <v>891</v>
      </c>
      <c r="F179" s="3" t="s">
        <v>892</v>
      </c>
      <c r="G179" s="3" t="s">
        <v>14</v>
      </c>
      <c r="H179" s="3" t="s">
        <v>6</v>
      </c>
      <c r="I179" s="3" t="s">
        <v>33</v>
      </c>
      <c r="J179" s="3" t="s">
        <v>893</v>
      </c>
      <c r="K179" s="3"/>
      <c r="L179" s="3"/>
      <c r="M179" s="3"/>
      <c r="N179" s="3">
        <v>1610</v>
      </c>
      <c r="O179" s="3"/>
      <c r="P179" s="4">
        <v>46031</v>
      </c>
      <c r="Q179" s="5">
        <v>893.55</v>
      </c>
      <c r="R179" s="3">
        <v>45</v>
      </c>
      <c r="S179" s="3"/>
      <c r="T179" s="3">
        <v>0</v>
      </c>
      <c r="U179" s="3" t="s">
        <v>8</v>
      </c>
      <c r="V179" s="5">
        <v>893.55</v>
      </c>
      <c r="W179" s="5">
        <v>893.55</v>
      </c>
      <c r="X179" s="16">
        <v>893.55</v>
      </c>
      <c r="Y179" s="3">
        <v>0</v>
      </c>
      <c r="Z179" s="3">
        <v>0</v>
      </c>
      <c r="AA179" s="5">
        <v>2680.65</v>
      </c>
      <c r="AC179" t="str">
        <f>[1]nedredc!$A$8</f>
        <v>05/03/2026</v>
      </c>
      <c r="AD179" t="str">
        <f>[1]nedredc!$B$8</f>
        <v>U-RENT SA</v>
      </c>
      <c r="AE179" s="15">
        <f>[1]nedredc!$C$8</f>
        <v>893.55</v>
      </c>
      <c r="AF179" s="25"/>
      <c r="AG179" s="19"/>
      <c r="AH179" s="16">
        <f>AE179</f>
        <v>893.55</v>
      </c>
      <c r="AI179" s="3"/>
      <c r="AJ179" s="3"/>
      <c r="AK179" s="15">
        <f t="shared" si="25"/>
        <v>893.55</v>
      </c>
      <c r="AL179" s="15">
        <f t="shared" si="21"/>
        <v>1787.1000000000001</v>
      </c>
      <c r="AM179">
        <v>1787.1</v>
      </c>
      <c r="AN179" s="15">
        <f t="shared" si="23"/>
        <v>0</v>
      </c>
    </row>
    <row r="180" spans="1:40" x14ac:dyDescent="0.25">
      <c r="A180" s="10" t="s">
        <v>894</v>
      </c>
      <c r="B180" s="10" t="s">
        <v>1122</v>
      </c>
      <c r="C180" s="3" t="s">
        <v>895</v>
      </c>
      <c r="D180" s="3" t="s">
        <v>896</v>
      </c>
      <c r="E180" s="3" t="s">
        <v>897</v>
      </c>
      <c r="F180" s="3" t="s">
        <v>898</v>
      </c>
      <c r="G180" s="3" t="s">
        <v>14</v>
      </c>
      <c r="H180" s="3" t="s">
        <v>6</v>
      </c>
      <c r="I180" s="3" t="s">
        <v>15</v>
      </c>
      <c r="J180" s="3" t="s">
        <v>899</v>
      </c>
      <c r="K180" s="3"/>
      <c r="L180" s="3"/>
      <c r="M180" s="3"/>
      <c r="N180" s="3">
        <v>1613</v>
      </c>
      <c r="O180" s="3"/>
      <c r="P180" s="4">
        <v>46081</v>
      </c>
      <c r="Q180" s="5">
        <v>1478.53</v>
      </c>
      <c r="R180" s="3">
        <v>227</v>
      </c>
      <c r="S180" s="3"/>
      <c r="T180" s="3">
        <v>0</v>
      </c>
      <c r="U180" s="3" t="s">
        <v>8</v>
      </c>
      <c r="V180" s="5">
        <v>1478.53</v>
      </c>
      <c r="W180" s="3">
        <v>0</v>
      </c>
      <c r="X180" s="3">
        <v>0</v>
      </c>
      <c r="Y180" s="3">
        <v>0</v>
      </c>
      <c r="Z180" s="3">
        <v>0</v>
      </c>
      <c r="AA180" s="5">
        <v>1478.53</v>
      </c>
      <c r="AF180" s="25"/>
      <c r="AG180" s="18"/>
      <c r="AH180" s="3"/>
      <c r="AI180" s="3"/>
      <c r="AJ180" s="3"/>
      <c r="AK180" s="15">
        <f t="shared" si="25"/>
        <v>0</v>
      </c>
      <c r="AL180" s="15">
        <f t="shared" si="21"/>
        <v>1478.53</v>
      </c>
      <c r="AM180" s="15">
        <f>AL180</f>
        <v>1478.53</v>
      </c>
      <c r="AN180" s="15">
        <f t="shared" si="23"/>
        <v>0</v>
      </c>
    </row>
    <row r="181" spans="1:40" x14ac:dyDescent="0.25">
      <c r="A181" s="10" t="s">
        <v>900</v>
      </c>
      <c r="B181" s="10" t="s">
        <v>1123</v>
      </c>
      <c r="C181" s="3" t="s">
        <v>901</v>
      </c>
      <c r="D181" s="3"/>
      <c r="E181" s="3"/>
      <c r="F181" s="3"/>
      <c r="G181" s="3" t="s">
        <v>14</v>
      </c>
      <c r="H181" s="3"/>
      <c r="I181" s="3"/>
      <c r="J181" s="3" t="s">
        <v>902</v>
      </c>
      <c r="K181" s="3"/>
      <c r="L181" s="3"/>
      <c r="M181" s="3" t="s">
        <v>22</v>
      </c>
      <c r="N181" s="3"/>
      <c r="O181" s="3"/>
      <c r="P181" s="3"/>
      <c r="Q181" s="3">
        <v>0</v>
      </c>
      <c r="R181" s="3">
        <v>182</v>
      </c>
      <c r="S181" s="3"/>
      <c r="T181" s="3">
        <v>0</v>
      </c>
      <c r="U181" s="3" t="s">
        <v>8</v>
      </c>
      <c r="V181" s="5">
        <v>224.25</v>
      </c>
      <c r="W181" s="5">
        <v>224.25</v>
      </c>
      <c r="X181" s="5">
        <v>224.25</v>
      </c>
      <c r="Y181" s="3">
        <v>0</v>
      </c>
      <c r="Z181" s="3">
        <v>0</v>
      </c>
      <c r="AA181" s="5">
        <v>672.75</v>
      </c>
      <c r="AF181" s="25"/>
      <c r="AG181" s="19"/>
      <c r="AH181" s="5"/>
      <c r="AI181" s="3"/>
      <c r="AJ181" s="3"/>
      <c r="AK181" s="15">
        <f t="shared" si="25"/>
        <v>0</v>
      </c>
      <c r="AL181" s="15">
        <f t="shared" si="21"/>
        <v>672.75</v>
      </c>
      <c r="AM181" s="15">
        <f t="shared" ref="AM181:AM191" si="26">AL181</f>
        <v>672.75</v>
      </c>
      <c r="AN181" s="15">
        <f t="shared" si="23"/>
        <v>0</v>
      </c>
    </row>
    <row r="182" spans="1:40" x14ac:dyDescent="0.25">
      <c r="A182" s="10" t="s">
        <v>903</v>
      </c>
      <c r="B182" s="10"/>
      <c r="C182" s="3" t="s">
        <v>904</v>
      </c>
      <c r="D182" s="3" t="s">
        <v>905</v>
      </c>
      <c r="E182" s="3" t="s">
        <v>906</v>
      </c>
      <c r="F182" s="3" t="s">
        <v>907</v>
      </c>
      <c r="G182" s="3" t="s">
        <v>14</v>
      </c>
      <c r="H182" s="3" t="s">
        <v>6</v>
      </c>
      <c r="I182" s="3" t="s">
        <v>33</v>
      </c>
      <c r="J182" s="3" t="s">
        <v>908</v>
      </c>
      <c r="K182" s="3"/>
      <c r="L182" s="3"/>
      <c r="M182" s="3"/>
      <c r="N182" s="3">
        <v>2055</v>
      </c>
      <c r="O182" s="3"/>
      <c r="P182" s="4">
        <v>46008</v>
      </c>
      <c r="Q182" s="5">
        <v>115</v>
      </c>
      <c r="R182" s="3">
        <v>602</v>
      </c>
      <c r="S182" s="3"/>
      <c r="T182" s="3">
        <v>0</v>
      </c>
      <c r="U182" s="3" t="s">
        <v>8</v>
      </c>
      <c r="V182" s="5">
        <v>115</v>
      </c>
      <c r="W182" s="5">
        <v>115</v>
      </c>
      <c r="X182" s="5">
        <v>115</v>
      </c>
      <c r="Y182" s="3">
        <v>0</v>
      </c>
      <c r="Z182" s="3">
        <v>0</v>
      </c>
      <c r="AA182" s="5">
        <v>345</v>
      </c>
      <c r="AF182" s="25"/>
      <c r="AG182" s="19"/>
      <c r="AH182" s="5"/>
      <c r="AI182" s="3"/>
      <c r="AJ182" s="3"/>
      <c r="AK182" s="15">
        <f t="shared" si="25"/>
        <v>0</v>
      </c>
      <c r="AL182" s="15">
        <f t="shared" si="21"/>
        <v>345</v>
      </c>
      <c r="AM182" s="15">
        <f t="shared" si="26"/>
        <v>345</v>
      </c>
      <c r="AN182" s="15">
        <f t="shared" si="23"/>
        <v>0</v>
      </c>
    </row>
    <row r="183" spans="1:40" x14ac:dyDescent="0.25">
      <c r="A183" s="10" t="s">
        <v>909</v>
      </c>
      <c r="B183" s="10" t="s">
        <v>1124</v>
      </c>
      <c r="C183" s="3" t="s">
        <v>910</v>
      </c>
      <c r="D183" s="3" t="s">
        <v>314</v>
      </c>
      <c r="E183" s="3" t="s">
        <v>911</v>
      </c>
      <c r="F183" s="3" t="s">
        <v>316</v>
      </c>
      <c r="G183" s="3" t="s">
        <v>14</v>
      </c>
      <c r="H183" s="3" t="s">
        <v>6</v>
      </c>
      <c r="I183" s="3" t="s">
        <v>33</v>
      </c>
      <c r="J183" s="3" t="s">
        <v>912</v>
      </c>
      <c r="K183" s="3"/>
      <c r="L183" s="3"/>
      <c r="M183" s="3"/>
      <c r="N183" s="3">
        <v>4000</v>
      </c>
      <c r="O183" s="3"/>
      <c r="P183" s="4">
        <v>46081</v>
      </c>
      <c r="Q183" s="5">
        <v>8547.09</v>
      </c>
      <c r="R183" s="3">
        <v>210</v>
      </c>
      <c r="S183" s="3"/>
      <c r="T183" s="3">
        <v>0</v>
      </c>
      <c r="U183" s="3" t="s">
        <v>8</v>
      </c>
      <c r="V183" s="5">
        <v>8547.09</v>
      </c>
      <c r="W183" s="3">
        <v>0</v>
      </c>
      <c r="X183" s="3">
        <v>0</v>
      </c>
      <c r="Y183" s="3">
        <v>0</v>
      </c>
      <c r="Z183" s="3">
        <v>0</v>
      </c>
      <c r="AA183" s="5">
        <v>8547.09</v>
      </c>
      <c r="AF183" s="25"/>
      <c r="AG183" s="18"/>
      <c r="AH183" s="3"/>
      <c r="AI183" s="3"/>
      <c r="AJ183" s="3"/>
      <c r="AK183" s="15">
        <f t="shared" si="25"/>
        <v>0</v>
      </c>
      <c r="AL183" s="15">
        <f t="shared" si="21"/>
        <v>8547.09</v>
      </c>
      <c r="AM183" s="15">
        <f t="shared" si="26"/>
        <v>8547.09</v>
      </c>
      <c r="AN183" s="15">
        <f t="shared" si="23"/>
        <v>0</v>
      </c>
    </row>
    <row r="184" spans="1:40" x14ac:dyDescent="0.25">
      <c r="A184" s="10" t="s">
        <v>913</v>
      </c>
      <c r="B184" s="10" t="s">
        <v>1125</v>
      </c>
      <c r="C184" s="3" t="s">
        <v>914</v>
      </c>
      <c r="D184" s="3" t="s">
        <v>314</v>
      </c>
      <c r="E184" s="3" t="s">
        <v>915</v>
      </c>
      <c r="F184" s="3" t="s">
        <v>316</v>
      </c>
      <c r="G184" s="3" t="s">
        <v>14</v>
      </c>
      <c r="H184" s="3" t="s">
        <v>6</v>
      </c>
      <c r="I184" s="3" t="s">
        <v>33</v>
      </c>
      <c r="J184" s="3" t="s">
        <v>916</v>
      </c>
      <c r="K184" s="3"/>
      <c r="L184" s="3"/>
      <c r="M184" s="3"/>
      <c r="N184" s="3">
        <v>1451</v>
      </c>
      <c r="O184" s="3"/>
      <c r="P184" s="4">
        <v>46081</v>
      </c>
      <c r="Q184" s="5">
        <v>14970.66</v>
      </c>
      <c r="R184" s="3">
        <v>280</v>
      </c>
      <c r="S184" s="3"/>
      <c r="T184" s="3">
        <v>0</v>
      </c>
      <c r="U184" s="3" t="s">
        <v>8</v>
      </c>
      <c r="V184" s="5">
        <v>14970.65</v>
      </c>
      <c r="W184" s="3">
        <v>0</v>
      </c>
      <c r="X184" s="3">
        <v>0</v>
      </c>
      <c r="Y184" s="3">
        <v>0</v>
      </c>
      <c r="Z184" s="3">
        <v>0</v>
      </c>
      <c r="AA184" s="5">
        <v>14970.65</v>
      </c>
      <c r="AF184" s="25"/>
      <c r="AG184" s="18"/>
      <c r="AH184" s="3"/>
      <c r="AI184" s="3"/>
      <c r="AJ184" s="3"/>
      <c r="AK184" s="15">
        <f t="shared" si="25"/>
        <v>0</v>
      </c>
      <c r="AL184" s="15">
        <f t="shared" si="21"/>
        <v>14970.65</v>
      </c>
      <c r="AM184" s="15">
        <f t="shared" si="26"/>
        <v>14970.65</v>
      </c>
      <c r="AN184" s="15">
        <f t="shared" si="23"/>
        <v>0</v>
      </c>
    </row>
    <row r="185" spans="1:40" x14ac:dyDescent="0.25">
      <c r="A185" s="10" t="s">
        <v>917</v>
      </c>
      <c r="B185" s="10" t="s">
        <v>1126</v>
      </c>
      <c r="C185" s="3" t="s">
        <v>918</v>
      </c>
      <c r="D185" s="3" t="s">
        <v>314</v>
      </c>
      <c r="E185" s="3" t="s">
        <v>919</v>
      </c>
      <c r="F185" s="3" t="s">
        <v>316</v>
      </c>
      <c r="G185" s="3" t="s">
        <v>14</v>
      </c>
      <c r="H185" s="3" t="s">
        <v>6</v>
      </c>
      <c r="I185" s="3" t="s">
        <v>33</v>
      </c>
      <c r="J185" s="3" t="s">
        <v>920</v>
      </c>
      <c r="K185" s="3"/>
      <c r="L185" s="3"/>
      <c r="M185" s="3"/>
      <c r="N185" s="3">
        <v>8466</v>
      </c>
      <c r="O185" s="3"/>
      <c r="P185" s="4">
        <v>46081</v>
      </c>
      <c r="Q185" s="5">
        <v>6746.73</v>
      </c>
      <c r="R185" s="3">
        <v>213</v>
      </c>
      <c r="S185" s="3"/>
      <c r="T185" s="3">
        <v>0</v>
      </c>
      <c r="U185" s="3" t="s">
        <v>8</v>
      </c>
      <c r="V185" s="5">
        <v>6746.73</v>
      </c>
      <c r="W185" s="3">
        <v>0</v>
      </c>
      <c r="X185" s="3">
        <v>0</v>
      </c>
      <c r="Y185" s="3">
        <v>0</v>
      </c>
      <c r="Z185" s="3">
        <v>0</v>
      </c>
      <c r="AA185" s="5">
        <v>6746.73</v>
      </c>
      <c r="AF185" s="25"/>
      <c r="AG185" s="18"/>
      <c r="AH185" s="3"/>
      <c r="AI185" s="3"/>
      <c r="AJ185" s="3"/>
      <c r="AK185" s="15">
        <f t="shared" si="25"/>
        <v>0</v>
      </c>
      <c r="AL185" s="15">
        <f t="shared" si="21"/>
        <v>6746.73</v>
      </c>
      <c r="AM185" s="15">
        <f t="shared" si="26"/>
        <v>6746.73</v>
      </c>
      <c r="AN185" s="15">
        <f t="shared" si="23"/>
        <v>0</v>
      </c>
    </row>
    <row r="186" spans="1:40" x14ac:dyDescent="0.25">
      <c r="A186" s="10" t="s">
        <v>921</v>
      </c>
      <c r="B186" s="10" t="s">
        <v>1127</v>
      </c>
      <c r="C186" s="3" t="s">
        <v>922</v>
      </c>
      <c r="D186" s="3" t="s">
        <v>314</v>
      </c>
      <c r="E186" s="3" t="s">
        <v>923</v>
      </c>
      <c r="F186" s="3" t="s">
        <v>316</v>
      </c>
      <c r="G186" s="3" t="s">
        <v>14</v>
      </c>
      <c r="H186" s="3" t="s">
        <v>6</v>
      </c>
      <c r="I186" s="3" t="s">
        <v>33</v>
      </c>
      <c r="J186" s="3" t="s">
        <v>924</v>
      </c>
      <c r="K186" s="3"/>
      <c r="L186" s="3"/>
      <c r="M186" s="3"/>
      <c r="N186" s="3">
        <v>2570</v>
      </c>
      <c r="O186" s="3"/>
      <c r="P186" s="4">
        <v>46081</v>
      </c>
      <c r="Q186" s="5">
        <v>7011.14</v>
      </c>
      <c r="R186" s="3">
        <v>294</v>
      </c>
      <c r="S186" s="3"/>
      <c r="T186" s="3">
        <v>0</v>
      </c>
      <c r="U186" s="3" t="s">
        <v>8</v>
      </c>
      <c r="V186" s="5">
        <v>8368.25</v>
      </c>
      <c r="W186" s="3">
        <v>0</v>
      </c>
      <c r="X186" s="3">
        <v>0</v>
      </c>
      <c r="Y186" s="3">
        <v>0</v>
      </c>
      <c r="Z186" s="5">
        <v>-7.0000000000000007E-2</v>
      </c>
      <c r="AA186" s="5">
        <v>8368.18</v>
      </c>
      <c r="AF186" s="25"/>
      <c r="AG186" s="18"/>
      <c r="AH186" s="3"/>
      <c r="AI186" s="3"/>
      <c r="AJ186" s="5"/>
      <c r="AK186" s="15">
        <f t="shared" si="25"/>
        <v>0</v>
      </c>
      <c r="AL186" s="15">
        <f t="shared" si="21"/>
        <v>8368.18</v>
      </c>
      <c r="AM186" s="15">
        <f t="shared" si="26"/>
        <v>8368.18</v>
      </c>
      <c r="AN186" s="15">
        <f t="shared" si="23"/>
        <v>0</v>
      </c>
    </row>
    <row r="187" spans="1:40" x14ac:dyDescent="0.25">
      <c r="A187" s="10" t="s">
        <v>925</v>
      </c>
      <c r="B187" s="10" t="s">
        <v>1128</v>
      </c>
      <c r="C187" s="3" t="s">
        <v>926</v>
      </c>
      <c r="D187" s="3" t="s">
        <v>314</v>
      </c>
      <c r="E187" s="3" t="s">
        <v>927</v>
      </c>
      <c r="F187" s="3" t="s">
        <v>316</v>
      </c>
      <c r="G187" s="3" t="s">
        <v>14</v>
      </c>
      <c r="H187" s="3" t="s">
        <v>6</v>
      </c>
      <c r="I187" s="3" t="s">
        <v>33</v>
      </c>
      <c r="J187" s="3" t="s">
        <v>928</v>
      </c>
      <c r="K187" s="3"/>
      <c r="L187" s="3"/>
      <c r="M187" s="3"/>
      <c r="N187" s="3">
        <v>6056</v>
      </c>
      <c r="O187" s="3"/>
      <c r="P187" s="4">
        <v>46081</v>
      </c>
      <c r="Q187" s="5">
        <v>2070.63</v>
      </c>
      <c r="R187" s="3">
        <v>61</v>
      </c>
      <c r="S187" s="3" t="s">
        <v>929</v>
      </c>
      <c r="T187" s="3">
        <v>0</v>
      </c>
      <c r="U187" s="3" t="s">
        <v>8</v>
      </c>
      <c r="V187" s="5">
        <v>2070.63</v>
      </c>
      <c r="W187" s="3">
        <v>0</v>
      </c>
      <c r="X187" s="3">
        <v>0</v>
      </c>
      <c r="Y187" s="3">
        <v>0</v>
      </c>
      <c r="Z187" s="3">
        <v>0</v>
      </c>
      <c r="AA187" s="5">
        <v>2070.63</v>
      </c>
      <c r="AF187" s="25"/>
      <c r="AG187" s="18"/>
      <c r="AH187" s="3"/>
      <c r="AI187" s="3"/>
      <c r="AJ187" s="3"/>
      <c r="AK187" s="15">
        <f t="shared" si="25"/>
        <v>0</v>
      </c>
      <c r="AL187" s="15">
        <f t="shared" si="21"/>
        <v>2070.63</v>
      </c>
      <c r="AM187" s="15">
        <f t="shared" si="26"/>
        <v>2070.63</v>
      </c>
      <c r="AN187" s="15">
        <f t="shared" si="23"/>
        <v>0</v>
      </c>
    </row>
    <row r="188" spans="1:40" x14ac:dyDescent="0.25">
      <c r="A188" s="10" t="s">
        <v>930</v>
      </c>
      <c r="B188" s="10" t="s">
        <v>1129</v>
      </c>
      <c r="C188" s="3" t="s">
        <v>931</v>
      </c>
      <c r="D188" s="3" t="s">
        <v>314</v>
      </c>
      <c r="E188" s="3" t="s">
        <v>932</v>
      </c>
      <c r="F188" s="3" t="s">
        <v>316</v>
      </c>
      <c r="G188" s="3" t="s">
        <v>14</v>
      </c>
      <c r="H188" s="3" t="s">
        <v>6</v>
      </c>
      <c r="I188" s="3" t="s">
        <v>33</v>
      </c>
      <c r="J188" s="3" t="s">
        <v>933</v>
      </c>
      <c r="K188" s="3"/>
      <c r="L188" s="3"/>
      <c r="M188" s="3"/>
      <c r="N188" s="6" t="s">
        <v>399</v>
      </c>
      <c r="O188" s="3"/>
      <c r="P188" s="4">
        <v>46081</v>
      </c>
      <c r="Q188" s="5">
        <v>7546.12</v>
      </c>
      <c r="R188" s="3">
        <v>317</v>
      </c>
      <c r="S188" s="3"/>
      <c r="T188" s="3">
        <v>0</v>
      </c>
      <c r="U188" s="3" t="s">
        <v>8</v>
      </c>
      <c r="V188" s="5">
        <v>8563.8700000000008</v>
      </c>
      <c r="W188" s="3">
        <v>0</v>
      </c>
      <c r="X188" s="3">
        <v>0</v>
      </c>
      <c r="Y188" s="3">
        <v>0</v>
      </c>
      <c r="Z188" s="3">
        <v>0</v>
      </c>
      <c r="AA188" s="5">
        <v>8563.8700000000008</v>
      </c>
      <c r="AF188" s="25"/>
      <c r="AG188" s="18"/>
      <c r="AH188" s="3"/>
      <c r="AI188" s="3"/>
      <c r="AJ188" s="3"/>
      <c r="AK188" s="15">
        <f t="shared" si="25"/>
        <v>0</v>
      </c>
      <c r="AL188" s="15">
        <f t="shared" si="21"/>
        <v>8563.8700000000008</v>
      </c>
      <c r="AM188" s="15">
        <f t="shared" si="26"/>
        <v>8563.8700000000008</v>
      </c>
      <c r="AN188" s="15">
        <f t="shared" si="23"/>
        <v>0</v>
      </c>
    </row>
    <row r="189" spans="1:40" x14ac:dyDescent="0.25">
      <c r="A189" s="10" t="s">
        <v>934</v>
      </c>
      <c r="B189" s="10" t="s">
        <v>1130</v>
      </c>
      <c r="C189" s="3" t="s">
        <v>935</v>
      </c>
      <c r="D189" s="3" t="s">
        <v>314</v>
      </c>
      <c r="E189" s="3" t="s">
        <v>936</v>
      </c>
      <c r="F189" s="3" t="s">
        <v>316</v>
      </c>
      <c r="G189" s="3" t="s">
        <v>14</v>
      </c>
      <c r="H189" s="3" t="s">
        <v>6</v>
      </c>
      <c r="I189" s="3" t="s">
        <v>33</v>
      </c>
      <c r="J189" s="3" t="s">
        <v>937</v>
      </c>
      <c r="K189" s="3"/>
      <c r="L189" s="3"/>
      <c r="M189" s="3"/>
      <c r="N189" s="3">
        <v>8240</v>
      </c>
      <c r="O189" s="3"/>
      <c r="P189" s="4">
        <v>46081</v>
      </c>
      <c r="Q189" s="5">
        <v>2748.44</v>
      </c>
      <c r="R189" s="3">
        <v>66</v>
      </c>
      <c r="S189" s="3"/>
      <c r="T189" s="3">
        <v>0</v>
      </c>
      <c r="U189" s="3" t="s">
        <v>8</v>
      </c>
      <c r="V189" s="5">
        <v>2748.44</v>
      </c>
      <c r="W189" s="3">
        <v>0</v>
      </c>
      <c r="X189" s="3">
        <v>0</v>
      </c>
      <c r="Y189" s="3">
        <v>0</v>
      </c>
      <c r="Z189" s="3">
        <v>0</v>
      </c>
      <c r="AA189" s="5">
        <v>2748.44</v>
      </c>
      <c r="AF189" s="25"/>
      <c r="AG189" s="18"/>
      <c r="AH189" s="3"/>
      <c r="AI189" s="3"/>
      <c r="AJ189" s="3"/>
      <c r="AK189" s="15">
        <f t="shared" si="25"/>
        <v>0</v>
      </c>
      <c r="AL189" s="15">
        <f t="shared" si="21"/>
        <v>2748.44</v>
      </c>
      <c r="AM189" s="15">
        <f t="shared" si="26"/>
        <v>2748.44</v>
      </c>
      <c r="AN189" s="15">
        <f t="shared" si="23"/>
        <v>0</v>
      </c>
    </row>
    <row r="190" spans="1:40" x14ac:dyDescent="0.25">
      <c r="A190" s="10" t="s">
        <v>938</v>
      </c>
      <c r="B190" s="10" t="s">
        <v>1131</v>
      </c>
      <c r="C190" s="3" t="s">
        <v>939</v>
      </c>
      <c r="D190" s="3" t="s">
        <v>314</v>
      </c>
      <c r="E190" s="3" t="s">
        <v>940</v>
      </c>
      <c r="F190" s="3" t="s">
        <v>316</v>
      </c>
      <c r="G190" s="3" t="s">
        <v>14</v>
      </c>
      <c r="H190" s="3" t="s">
        <v>6</v>
      </c>
      <c r="I190" s="3" t="s">
        <v>33</v>
      </c>
      <c r="J190" s="3" t="s">
        <v>941</v>
      </c>
      <c r="K190" s="3"/>
      <c r="L190" s="3"/>
      <c r="M190" s="3"/>
      <c r="N190" s="3">
        <v>7532</v>
      </c>
      <c r="O190" s="3"/>
      <c r="P190" s="4">
        <v>46081</v>
      </c>
      <c r="Q190" s="5">
        <v>7334.45</v>
      </c>
      <c r="R190" s="3">
        <v>109</v>
      </c>
      <c r="S190" s="3"/>
      <c r="T190" s="3">
        <v>0</v>
      </c>
      <c r="U190" s="3" t="s">
        <v>8</v>
      </c>
      <c r="V190" s="5">
        <v>7334.45</v>
      </c>
      <c r="W190" s="3">
        <v>0</v>
      </c>
      <c r="X190" s="3">
        <v>0</v>
      </c>
      <c r="Y190" s="3">
        <v>0</v>
      </c>
      <c r="Z190" s="3">
        <v>0</v>
      </c>
      <c r="AA190" s="5">
        <v>7334.45</v>
      </c>
      <c r="AF190" s="25"/>
      <c r="AG190" s="18"/>
      <c r="AH190" s="3"/>
      <c r="AI190" s="3"/>
      <c r="AJ190" s="3"/>
      <c r="AK190" s="15">
        <f t="shared" si="25"/>
        <v>0</v>
      </c>
      <c r="AL190" s="15">
        <f t="shared" si="21"/>
        <v>7334.45</v>
      </c>
      <c r="AM190" s="15">
        <f t="shared" si="26"/>
        <v>7334.45</v>
      </c>
      <c r="AN190" s="15">
        <f t="shared" si="23"/>
        <v>0</v>
      </c>
    </row>
    <row r="191" spans="1:40" x14ac:dyDescent="0.25">
      <c r="A191" s="10" t="s">
        <v>942</v>
      </c>
      <c r="B191" s="10" t="s">
        <v>1132</v>
      </c>
      <c r="C191" s="3" t="s">
        <v>943</v>
      </c>
      <c r="D191" s="3" t="s">
        <v>314</v>
      </c>
      <c r="E191" s="3" t="s">
        <v>944</v>
      </c>
      <c r="F191" s="3" t="s">
        <v>316</v>
      </c>
      <c r="G191" s="3" t="s">
        <v>14</v>
      </c>
      <c r="H191" s="3" t="s">
        <v>6</v>
      </c>
      <c r="I191" s="3" t="s">
        <v>33</v>
      </c>
      <c r="J191" s="3" t="s">
        <v>945</v>
      </c>
      <c r="K191" s="3"/>
      <c r="L191" s="3"/>
      <c r="M191" s="3"/>
      <c r="N191" s="3">
        <v>1035</v>
      </c>
      <c r="O191" s="3"/>
      <c r="P191" s="4">
        <v>46081</v>
      </c>
      <c r="Q191" s="5">
        <v>6243.43</v>
      </c>
      <c r="R191" s="3">
        <v>181</v>
      </c>
      <c r="S191" s="3"/>
      <c r="T191" s="3">
        <v>0</v>
      </c>
      <c r="U191" s="3" t="s">
        <v>8</v>
      </c>
      <c r="V191" s="5">
        <v>6243.39</v>
      </c>
      <c r="W191" s="3">
        <v>0</v>
      </c>
      <c r="X191" s="3">
        <v>0</v>
      </c>
      <c r="Y191" s="3">
        <v>0</v>
      </c>
      <c r="Z191" s="3">
        <v>0</v>
      </c>
      <c r="AA191" s="5">
        <v>6243.39</v>
      </c>
      <c r="AF191" s="25"/>
      <c r="AG191" s="18"/>
      <c r="AH191" s="3"/>
      <c r="AI191" s="3"/>
      <c r="AJ191" s="3"/>
      <c r="AK191" s="15">
        <f t="shared" si="25"/>
        <v>0</v>
      </c>
      <c r="AL191" s="15">
        <f t="shared" si="21"/>
        <v>6243.39</v>
      </c>
      <c r="AM191" s="15">
        <f t="shared" si="26"/>
        <v>6243.39</v>
      </c>
      <c r="AN191" s="15">
        <f t="shared" si="23"/>
        <v>0</v>
      </c>
    </row>
    <row r="192" spans="1:40" x14ac:dyDescent="0.25">
      <c r="A192" s="10">
        <v>2271</v>
      </c>
      <c r="B192" s="10" t="s">
        <v>1133</v>
      </c>
      <c r="C192" s="3" t="s">
        <v>946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>
        <v>31</v>
      </c>
      <c r="S192" s="3"/>
      <c r="T192" s="3">
        <v>0</v>
      </c>
      <c r="U192" s="3" t="s">
        <v>8</v>
      </c>
      <c r="V192" s="5">
        <v>26148.7</v>
      </c>
      <c r="W192" s="3">
        <v>0</v>
      </c>
      <c r="X192" s="3">
        <v>0</v>
      </c>
      <c r="Y192" s="3">
        <v>0</v>
      </c>
      <c r="Z192" s="3">
        <v>0</v>
      </c>
      <c r="AA192" s="5">
        <v>26148.7</v>
      </c>
      <c r="AF192" s="25"/>
      <c r="AG192" s="18"/>
      <c r="AH192" s="3"/>
      <c r="AI192" s="3"/>
      <c r="AJ192" s="3"/>
      <c r="AK192" s="15">
        <f t="shared" si="25"/>
        <v>0</v>
      </c>
      <c r="AL192" s="15">
        <f t="shared" si="21"/>
        <v>26148.7</v>
      </c>
      <c r="AM192" s="15">
        <v>0</v>
      </c>
      <c r="AN192" s="15">
        <f t="shared" si="23"/>
        <v>26148.7</v>
      </c>
    </row>
    <row r="193" spans="1:40" x14ac:dyDescent="0.25">
      <c r="A193" s="10">
        <v>1162</v>
      </c>
      <c r="B193" s="10" t="s">
        <v>1134</v>
      </c>
      <c r="C193" s="3" t="s">
        <v>947</v>
      </c>
      <c r="D193" s="3" t="s">
        <v>948</v>
      </c>
      <c r="E193" s="3" t="s">
        <v>949</v>
      </c>
      <c r="F193" s="3" t="s">
        <v>950</v>
      </c>
      <c r="G193" s="3" t="s">
        <v>14</v>
      </c>
      <c r="H193" s="3" t="s">
        <v>6</v>
      </c>
      <c r="I193" s="3" t="s">
        <v>33</v>
      </c>
      <c r="J193" s="3" t="s">
        <v>951</v>
      </c>
      <c r="K193" s="3"/>
      <c r="L193" s="3"/>
      <c r="M193" s="3"/>
      <c r="N193" s="3"/>
      <c r="O193" s="3"/>
      <c r="P193" s="4">
        <v>46063</v>
      </c>
      <c r="Q193" s="5">
        <v>147380.65</v>
      </c>
      <c r="R193" s="3">
        <v>460</v>
      </c>
      <c r="S193" s="3"/>
      <c r="T193" s="3">
        <v>0</v>
      </c>
      <c r="U193" s="3" t="s">
        <v>8</v>
      </c>
      <c r="V193" s="5">
        <v>187171.36</v>
      </c>
      <c r="W193" s="5">
        <v>135453.88</v>
      </c>
      <c r="X193" s="5">
        <v>4340.17</v>
      </c>
      <c r="Y193" s="3">
        <v>0</v>
      </c>
      <c r="Z193" s="5">
        <v>-371.36</v>
      </c>
      <c r="AA193" s="5">
        <v>326594.05</v>
      </c>
      <c r="AC193" t="str">
        <f>[1]nedredc!$A$43</f>
        <v>10/03/2026</v>
      </c>
      <c r="AD193" t="str">
        <f>[1]nedredc!$B$43</f>
        <v>WATERFORD CARRIERS</v>
      </c>
      <c r="AE193" s="15">
        <f>[1]nedredc!$C$43</f>
        <v>134422.32999999999</v>
      </c>
      <c r="AF193" s="25"/>
      <c r="AG193" s="19">
        <f>AE193</f>
        <v>134422.32999999999</v>
      </c>
      <c r="AH193" s="5"/>
      <c r="AI193" s="3"/>
      <c r="AJ193" s="5"/>
      <c r="AK193" s="15">
        <f t="shared" si="25"/>
        <v>134422.32999999999</v>
      </c>
      <c r="AL193" s="15">
        <f t="shared" si="21"/>
        <v>192171.72</v>
      </c>
      <c r="AM193">
        <v>192171.72</v>
      </c>
      <c r="AN193" s="15">
        <f t="shared" si="23"/>
        <v>0</v>
      </c>
    </row>
    <row r="194" spans="1:40" x14ac:dyDescent="0.25">
      <c r="A194" s="10" t="s">
        <v>952</v>
      </c>
      <c r="B194" s="10" t="s">
        <v>1135</v>
      </c>
      <c r="C194" s="3" t="s">
        <v>953</v>
      </c>
      <c r="D194" s="3" t="s">
        <v>953</v>
      </c>
      <c r="E194" s="3"/>
      <c r="F194" s="3" t="s">
        <v>954</v>
      </c>
      <c r="G194" s="3" t="s">
        <v>14</v>
      </c>
      <c r="H194" s="3" t="s">
        <v>6</v>
      </c>
      <c r="I194" s="3"/>
      <c r="J194" s="3" t="s">
        <v>955</v>
      </c>
      <c r="K194" s="3"/>
      <c r="L194" s="3"/>
      <c r="M194" s="3" t="s">
        <v>22</v>
      </c>
      <c r="N194" s="3"/>
      <c r="O194" s="3"/>
      <c r="P194" s="4">
        <v>46081</v>
      </c>
      <c r="Q194" s="5">
        <v>79.349999999999994</v>
      </c>
      <c r="R194" s="3">
        <v>72</v>
      </c>
      <c r="S194" s="3"/>
      <c r="T194" s="3">
        <v>0</v>
      </c>
      <c r="U194" s="3" t="s">
        <v>8</v>
      </c>
      <c r="V194" s="5">
        <v>79.349999999999994</v>
      </c>
      <c r="W194" s="3">
        <v>0</v>
      </c>
      <c r="X194" s="3">
        <v>0</v>
      </c>
      <c r="Y194" s="3">
        <v>0</v>
      </c>
      <c r="Z194" s="3">
        <v>0</v>
      </c>
      <c r="AA194" s="5">
        <v>79.349999999999994</v>
      </c>
      <c r="AF194" s="25"/>
      <c r="AG194" s="18"/>
      <c r="AH194" s="3"/>
      <c r="AI194" s="3"/>
      <c r="AJ194" s="3"/>
      <c r="AK194" s="15">
        <f t="shared" si="25"/>
        <v>0</v>
      </c>
      <c r="AL194" s="15">
        <f t="shared" si="21"/>
        <v>79.349999999999994</v>
      </c>
      <c r="AM194" s="15">
        <f>AL194</f>
        <v>79.349999999999994</v>
      </c>
      <c r="AN194" s="15">
        <f t="shared" si="23"/>
        <v>0</v>
      </c>
    </row>
    <row r="195" spans="1:40" x14ac:dyDescent="0.25">
      <c r="A195" s="10" t="s">
        <v>956</v>
      </c>
      <c r="B195" s="10" t="s">
        <v>1136</v>
      </c>
      <c r="C195" s="3" t="s">
        <v>957</v>
      </c>
      <c r="D195" s="3" t="s">
        <v>958</v>
      </c>
      <c r="E195" s="6" t="s">
        <v>959</v>
      </c>
      <c r="F195" s="3" t="s">
        <v>960</v>
      </c>
      <c r="G195" s="3" t="s">
        <v>14</v>
      </c>
      <c r="H195" s="3" t="s">
        <v>6</v>
      </c>
      <c r="I195" s="3"/>
      <c r="J195" s="3" t="s">
        <v>961</v>
      </c>
      <c r="K195" s="3"/>
      <c r="L195" s="3"/>
      <c r="M195" s="3" t="s">
        <v>22</v>
      </c>
      <c r="N195" s="3">
        <v>2191</v>
      </c>
      <c r="O195" s="3"/>
      <c r="P195" s="4">
        <v>46081</v>
      </c>
      <c r="Q195" s="5">
        <v>4400.6099999999997</v>
      </c>
      <c r="R195" s="3">
        <v>278</v>
      </c>
      <c r="S195" s="3"/>
      <c r="T195" s="3">
        <v>0</v>
      </c>
      <c r="U195" s="3" t="s">
        <v>8</v>
      </c>
      <c r="V195" s="5">
        <v>4400.6099999999997</v>
      </c>
      <c r="W195" s="5">
        <v>4400.6099999999997</v>
      </c>
      <c r="X195" s="3">
        <v>0</v>
      </c>
      <c r="Y195" s="3">
        <v>0</v>
      </c>
      <c r="Z195" s="3">
        <v>0</v>
      </c>
      <c r="AA195" s="5">
        <v>8801.2199999999993</v>
      </c>
      <c r="AF195" s="25"/>
      <c r="AG195" s="19"/>
      <c r="AH195" s="3"/>
      <c r="AI195" s="3"/>
      <c r="AJ195" s="3"/>
      <c r="AK195" s="15">
        <f t="shared" si="25"/>
        <v>0</v>
      </c>
      <c r="AL195" s="15">
        <f t="shared" si="21"/>
        <v>8801.2199999999993</v>
      </c>
      <c r="AM195" s="15">
        <f>AL195</f>
        <v>8801.2199999999993</v>
      </c>
      <c r="AN195" s="15">
        <f t="shared" si="23"/>
        <v>0</v>
      </c>
    </row>
    <row r="197" spans="1:40" x14ac:dyDescent="0.25">
      <c r="A197" s="11" t="s">
        <v>992</v>
      </c>
      <c r="B197" s="11"/>
    </row>
    <row r="198" spans="1:40" x14ac:dyDescent="0.25">
      <c r="A198" s="11" t="s">
        <v>993</v>
      </c>
      <c r="B198" s="11"/>
    </row>
  </sheetData>
  <pageMargins left="0.7" right="0.7" top="0.75" bottom="0.75" header="0.3" footer="0.3"/>
  <pageSetup paperSize="8" scale="24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D2BA2-4B15-41EA-AB7A-A2553BA52B6E}">
  <dimension ref="A1:AO198"/>
  <sheetViews>
    <sheetView topLeftCell="A6" workbookViewId="0">
      <pane xSplit="3" ySplit="2" topLeftCell="D177" activePane="bottomRight" state="frozen"/>
      <selection activeCell="A6" sqref="A6"/>
      <selection pane="topRight" activeCell="D6" sqref="D6"/>
      <selection pane="bottomLeft" activeCell="A8" sqref="A8"/>
      <selection pane="bottomRight" activeCell="A6" sqref="A1:XFD1048576"/>
    </sheetView>
  </sheetViews>
  <sheetFormatPr defaultRowHeight="15" x14ac:dyDescent="0.25"/>
  <cols>
    <col min="2" max="2" width="15.140625" style="12" customWidth="1"/>
    <col min="3" max="3" width="17" style="12" hidden="1" customWidth="1"/>
    <col min="4" max="4" width="35" customWidth="1"/>
    <col min="5" max="5" width="35" hidden="1" customWidth="1"/>
    <col min="6" max="6" width="43" hidden="1" customWidth="1"/>
    <col min="7" max="7" width="46.7109375" hidden="1" customWidth="1"/>
    <col min="8" max="8" width="17.5703125" hidden="1" customWidth="1"/>
    <col min="9" max="9" width="16.28515625" hidden="1" customWidth="1"/>
    <col min="10" max="10" width="17.42578125" hidden="1" customWidth="1"/>
    <col min="11" max="11" width="84.140625" hidden="1" customWidth="1"/>
    <col min="12" max="12" width="13.5703125" hidden="1" customWidth="1"/>
    <col min="13" max="13" width="14.28515625" hidden="1" customWidth="1"/>
    <col min="14" max="15" width="11.5703125" hidden="1" customWidth="1"/>
    <col min="16" max="16" width="16.140625" hidden="1" customWidth="1"/>
    <col min="17" max="17" width="19.7109375" hidden="1" customWidth="1"/>
    <col min="18" max="18" width="14.42578125" hidden="1" customWidth="1"/>
    <col min="19" max="19" width="17.5703125" hidden="1" customWidth="1"/>
    <col min="20" max="20" width="29.140625" hidden="1" customWidth="1"/>
    <col min="21" max="21" width="13.140625" hidden="1" customWidth="1"/>
    <col min="22" max="22" width="11.42578125" hidden="1" customWidth="1"/>
    <col min="23" max="24" width="11.7109375" customWidth="1"/>
    <col min="25" max="25" width="11.42578125" customWidth="1"/>
    <col min="26" max="26" width="10.140625" customWidth="1"/>
    <col min="27" max="28" width="14.28515625" customWidth="1"/>
    <col min="29" max="29" width="8.7109375" style="13" customWidth="1"/>
    <col min="30" max="30" width="13.42578125" customWidth="1"/>
    <col min="31" max="31" width="3.85546875" customWidth="1"/>
    <col min="32" max="32" width="11.140625" customWidth="1"/>
    <col min="33" max="34" width="11.7109375" customWidth="1"/>
    <col min="35" max="35" width="11.140625" customWidth="1"/>
    <col min="37" max="37" width="10.28515625" customWidth="1"/>
    <col min="38" max="38" width="11.5703125" customWidth="1"/>
    <col min="39" max="39" width="10.7109375" customWidth="1"/>
    <col min="40" max="40" width="10.85546875" customWidth="1"/>
    <col min="41" max="41" width="12.7109375" customWidth="1"/>
  </cols>
  <sheetData>
    <row r="1" spans="1:41" x14ac:dyDescent="0.25">
      <c r="B1" s="7" t="s">
        <v>987</v>
      </c>
      <c r="C1" s="7"/>
    </row>
    <row r="2" spans="1:41" x14ac:dyDescent="0.25">
      <c r="B2" s="7" t="s">
        <v>988</v>
      </c>
      <c r="C2" s="7"/>
    </row>
    <row r="3" spans="1:41" x14ac:dyDescent="0.25">
      <c r="B3" s="8"/>
      <c r="C3" s="8"/>
    </row>
    <row r="4" spans="1:41" ht="15.75" thickBot="1" x14ac:dyDescent="0.3">
      <c r="B4" s="8"/>
      <c r="C4" s="8"/>
    </row>
    <row r="5" spans="1:41" x14ac:dyDescent="0.25">
      <c r="B5" s="75" t="s">
        <v>1145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7"/>
      <c r="AG5" s="81" t="s">
        <v>1146</v>
      </c>
      <c r="AH5" s="82"/>
      <c r="AI5" s="82"/>
      <c r="AJ5" s="82"/>
      <c r="AK5" s="83"/>
    </row>
    <row r="6" spans="1:41" ht="15.75" thickBot="1" x14ac:dyDescent="0.3">
      <c r="B6" s="78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80"/>
      <c r="AG6" s="84"/>
      <c r="AH6" s="85"/>
      <c r="AI6" s="85"/>
      <c r="AJ6" s="85"/>
      <c r="AK6" s="86"/>
    </row>
    <row r="7" spans="1:41" s="1" customFormat="1" x14ac:dyDescent="0.25">
      <c r="B7" s="29" t="s">
        <v>994</v>
      </c>
      <c r="C7" s="29" t="s">
        <v>995</v>
      </c>
      <c r="D7" s="30" t="s">
        <v>962</v>
      </c>
      <c r="E7" s="30" t="s">
        <v>963</v>
      </c>
      <c r="F7" s="30" t="s">
        <v>964</v>
      </c>
      <c r="G7" s="30" t="s">
        <v>965</v>
      </c>
      <c r="H7" s="30" t="s">
        <v>966</v>
      </c>
      <c r="I7" s="30" t="s">
        <v>967</v>
      </c>
      <c r="J7" s="30" t="s">
        <v>968</v>
      </c>
      <c r="K7" s="30" t="s">
        <v>969</v>
      </c>
      <c r="L7" s="30" t="s">
        <v>970</v>
      </c>
      <c r="M7" s="30" t="s">
        <v>971</v>
      </c>
      <c r="N7" s="30" t="s">
        <v>972</v>
      </c>
      <c r="O7" s="30" t="s">
        <v>973</v>
      </c>
      <c r="P7" s="30" t="s">
        <v>974</v>
      </c>
      <c r="Q7" s="30" t="s">
        <v>975</v>
      </c>
      <c r="R7" s="30" t="s">
        <v>976</v>
      </c>
      <c r="S7" s="30" t="s">
        <v>977</v>
      </c>
      <c r="T7" s="30" t="s">
        <v>978</v>
      </c>
      <c r="U7" s="30" t="s">
        <v>979</v>
      </c>
      <c r="V7" s="30" t="s">
        <v>980</v>
      </c>
      <c r="W7" s="30" t="s">
        <v>981</v>
      </c>
      <c r="X7" s="30" t="s">
        <v>982</v>
      </c>
      <c r="Y7" s="30" t="s">
        <v>983</v>
      </c>
      <c r="Z7" s="30" t="s">
        <v>984</v>
      </c>
      <c r="AA7" s="30" t="s">
        <v>985</v>
      </c>
      <c r="AB7" s="30" t="s">
        <v>986</v>
      </c>
      <c r="AC7" s="14"/>
      <c r="AD7" s="35" t="s">
        <v>1139</v>
      </c>
      <c r="AE7" s="35"/>
      <c r="AF7" s="35" t="s">
        <v>1138</v>
      </c>
      <c r="AG7" s="31" t="s">
        <v>981</v>
      </c>
      <c r="AH7" s="30" t="s">
        <v>982</v>
      </c>
      <c r="AI7" s="30" t="s">
        <v>983</v>
      </c>
      <c r="AJ7" s="30" t="s">
        <v>984</v>
      </c>
      <c r="AK7" s="30" t="s">
        <v>985</v>
      </c>
      <c r="AL7" s="1" t="s">
        <v>1142</v>
      </c>
      <c r="AM7" s="1" t="s">
        <v>1140</v>
      </c>
      <c r="AN7" s="1" t="s">
        <v>1141</v>
      </c>
      <c r="AO7" s="1" t="s">
        <v>1143</v>
      </c>
    </row>
    <row r="8" spans="1:41" x14ac:dyDescent="0.25">
      <c r="A8">
        <v>1</v>
      </c>
      <c r="B8" s="10" t="s">
        <v>0</v>
      </c>
      <c r="C8" s="10"/>
      <c r="D8" s="3" t="s">
        <v>1</v>
      </c>
      <c r="E8" s="3" t="s">
        <v>2</v>
      </c>
      <c r="F8" s="3" t="s">
        <v>3</v>
      </c>
      <c r="G8" s="3" t="s">
        <v>4</v>
      </c>
      <c r="H8" s="3" t="s">
        <v>5</v>
      </c>
      <c r="I8" s="3" t="s">
        <v>6</v>
      </c>
      <c r="J8" s="3"/>
      <c r="K8" s="3" t="s">
        <v>7</v>
      </c>
      <c r="L8" s="3"/>
      <c r="M8" s="3"/>
      <c r="N8" s="3"/>
      <c r="O8" s="3">
        <v>1609</v>
      </c>
      <c r="P8" s="3"/>
      <c r="Q8" s="4">
        <v>45472</v>
      </c>
      <c r="R8" s="5">
        <v>113.85</v>
      </c>
      <c r="S8" s="3">
        <v>2500</v>
      </c>
      <c r="T8" s="3"/>
      <c r="U8" s="3">
        <v>0</v>
      </c>
      <c r="V8" s="3" t="s">
        <v>8</v>
      </c>
      <c r="W8" s="3">
        <v>0</v>
      </c>
      <c r="X8" s="3">
        <v>0</v>
      </c>
      <c r="Y8" s="3">
        <v>0</v>
      </c>
      <c r="Z8" s="3">
        <v>0</v>
      </c>
      <c r="AA8" s="5">
        <v>0</v>
      </c>
      <c r="AB8" s="5">
        <v>0</v>
      </c>
      <c r="AD8" s="25"/>
      <c r="AE8" s="25"/>
      <c r="AF8" s="25"/>
      <c r="AG8" s="32"/>
      <c r="AH8" s="18"/>
      <c r="AI8" s="3"/>
      <c r="AJ8" s="3"/>
      <c r="AK8" s="5"/>
      <c r="AL8" s="15">
        <f t="shared" ref="AL8:AL71" si="0">AH8+AI8+AJ8+AK8+AG8</f>
        <v>0</v>
      </c>
      <c r="AM8" s="15">
        <f>AB8-AL8</f>
        <v>0</v>
      </c>
      <c r="AN8">
        <v>0</v>
      </c>
      <c r="AO8" s="15">
        <f t="shared" ref="AO8:AO71" si="1">AM8-AN8</f>
        <v>0</v>
      </c>
    </row>
    <row r="9" spans="1:41" x14ac:dyDescent="0.25">
      <c r="A9">
        <v>2</v>
      </c>
      <c r="B9" s="10" t="s">
        <v>9</v>
      </c>
      <c r="C9" s="10" t="s">
        <v>997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6</v>
      </c>
      <c r="J9" s="3" t="s">
        <v>15</v>
      </c>
      <c r="K9" s="3" t="s">
        <v>16</v>
      </c>
      <c r="L9" s="3"/>
      <c r="M9" s="3"/>
      <c r="N9" s="3"/>
      <c r="O9" s="3">
        <v>1411</v>
      </c>
      <c r="P9" s="3"/>
      <c r="Q9" s="4">
        <v>46081</v>
      </c>
      <c r="R9" s="5">
        <v>836.65</v>
      </c>
      <c r="S9" s="3">
        <v>148</v>
      </c>
      <c r="T9" s="3"/>
      <c r="U9" s="3">
        <v>0</v>
      </c>
      <c r="V9" s="3" t="s">
        <v>8</v>
      </c>
      <c r="W9" s="5">
        <v>836.65</v>
      </c>
      <c r="X9" s="3">
        <v>0</v>
      </c>
      <c r="Y9" s="3">
        <v>0</v>
      </c>
      <c r="Z9" s="3">
        <v>0</v>
      </c>
      <c r="AA9" s="3">
        <v>0</v>
      </c>
      <c r="AB9" s="5">
        <v>836.65</v>
      </c>
      <c r="AD9" s="25"/>
      <c r="AE9" s="25"/>
      <c r="AF9" s="25"/>
      <c r="AG9" s="32"/>
      <c r="AH9" s="18"/>
      <c r="AI9" s="3"/>
      <c r="AJ9" s="3"/>
      <c r="AK9" s="3"/>
      <c r="AL9" s="15">
        <f t="shared" si="0"/>
        <v>0</v>
      </c>
      <c r="AM9" s="15">
        <f t="shared" ref="AM9:AM72" si="2">AB9-AL9</f>
        <v>836.65</v>
      </c>
      <c r="AN9">
        <v>836.65</v>
      </c>
      <c r="AO9" s="15">
        <f t="shared" si="1"/>
        <v>0</v>
      </c>
    </row>
    <row r="10" spans="1:41" x14ac:dyDescent="0.25">
      <c r="A10">
        <v>3</v>
      </c>
      <c r="B10" s="10" t="s">
        <v>17</v>
      </c>
      <c r="C10" s="10"/>
      <c r="D10" s="3" t="s">
        <v>18</v>
      </c>
      <c r="E10" s="3" t="s">
        <v>19</v>
      </c>
      <c r="F10" s="3"/>
      <c r="G10" s="3" t="s">
        <v>20</v>
      </c>
      <c r="H10" s="3" t="s">
        <v>14</v>
      </c>
      <c r="I10" s="3" t="s">
        <v>6</v>
      </c>
      <c r="J10" s="3"/>
      <c r="K10" s="3" t="s">
        <v>21</v>
      </c>
      <c r="L10" s="3"/>
      <c r="M10" s="3"/>
      <c r="N10" s="3" t="s">
        <v>22</v>
      </c>
      <c r="O10" s="3"/>
      <c r="P10" s="3"/>
      <c r="Q10" s="3"/>
      <c r="R10" s="3">
        <v>0</v>
      </c>
      <c r="S10" s="3">
        <v>50</v>
      </c>
      <c r="T10" s="3"/>
      <c r="U10" s="3">
        <v>0</v>
      </c>
      <c r="V10" s="3" t="s">
        <v>8</v>
      </c>
      <c r="W10" s="5">
        <v>7631.26</v>
      </c>
      <c r="X10" s="3">
        <v>0</v>
      </c>
      <c r="Y10" s="3">
        <v>0</v>
      </c>
      <c r="Z10" s="3">
        <v>0</v>
      </c>
      <c r="AA10" s="3">
        <v>0</v>
      </c>
      <c r="AB10" s="5">
        <v>7631.26</v>
      </c>
      <c r="AD10" s="25"/>
      <c r="AE10" s="25"/>
      <c r="AF10" s="25"/>
      <c r="AG10" s="32"/>
      <c r="AH10" s="18"/>
      <c r="AI10" s="3"/>
      <c r="AJ10" s="3"/>
      <c r="AK10" s="3"/>
      <c r="AL10" s="15">
        <f t="shared" si="0"/>
        <v>0</v>
      </c>
      <c r="AM10" s="15">
        <f t="shared" si="2"/>
        <v>7631.26</v>
      </c>
      <c r="AN10">
        <v>7631.26</v>
      </c>
      <c r="AO10" s="15">
        <f t="shared" si="1"/>
        <v>0</v>
      </c>
    </row>
    <row r="11" spans="1:41" x14ac:dyDescent="0.25">
      <c r="A11">
        <v>4</v>
      </c>
      <c r="B11" s="10">
        <v>1132</v>
      </c>
      <c r="C11" s="10" t="s">
        <v>996</v>
      </c>
      <c r="D11" s="3" t="s">
        <v>23</v>
      </c>
      <c r="E11" s="3" t="s">
        <v>23</v>
      </c>
      <c r="F11" s="3" t="s">
        <v>24</v>
      </c>
      <c r="G11" s="3" t="s">
        <v>25</v>
      </c>
      <c r="H11" s="3" t="s">
        <v>14</v>
      </c>
      <c r="I11" s="3" t="s">
        <v>6</v>
      </c>
      <c r="J11" s="3" t="s">
        <v>15</v>
      </c>
      <c r="K11" s="3" t="s">
        <v>26</v>
      </c>
      <c r="L11" s="3"/>
      <c r="M11" s="3"/>
      <c r="N11" s="3" t="s">
        <v>22</v>
      </c>
      <c r="O11" s="6" t="s">
        <v>27</v>
      </c>
      <c r="P11" s="3"/>
      <c r="Q11" s="4">
        <v>46081</v>
      </c>
      <c r="R11" s="5">
        <v>129.11000000000001</v>
      </c>
      <c r="S11" s="3">
        <v>39</v>
      </c>
      <c r="T11" s="3"/>
      <c r="U11" s="3">
        <v>0</v>
      </c>
      <c r="V11" s="3" t="s">
        <v>8</v>
      </c>
      <c r="W11" s="5">
        <v>545.41</v>
      </c>
      <c r="X11" s="3">
        <v>0</v>
      </c>
      <c r="Y11" s="3">
        <v>0</v>
      </c>
      <c r="Z11" s="3">
        <v>0</v>
      </c>
      <c r="AA11" s="3">
        <v>0</v>
      </c>
      <c r="AB11" s="5">
        <v>545.41</v>
      </c>
      <c r="AD11" s="25"/>
      <c r="AE11" s="25"/>
      <c r="AF11" s="25"/>
      <c r="AG11" s="32"/>
      <c r="AH11" s="18"/>
      <c r="AI11" s="3"/>
      <c r="AJ11" s="3"/>
      <c r="AK11" s="3"/>
      <c r="AL11" s="15">
        <f t="shared" si="0"/>
        <v>0</v>
      </c>
      <c r="AM11" s="15">
        <f t="shared" si="2"/>
        <v>545.41</v>
      </c>
      <c r="AN11">
        <v>545.41</v>
      </c>
      <c r="AO11" s="15">
        <f t="shared" si="1"/>
        <v>0</v>
      </c>
    </row>
    <row r="12" spans="1:41" x14ac:dyDescent="0.25">
      <c r="A12">
        <v>5</v>
      </c>
      <c r="B12" s="10" t="s">
        <v>28</v>
      </c>
      <c r="C12" s="10" t="s">
        <v>998</v>
      </c>
      <c r="D12" s="3" t="s">
        <v>29</v>
      </c>
      <c r="E12" s="3" t="s">
        <v>30</v>
      </c>
      <c r="F12" s="3" t="s">
        <v>31</v>
      </c>
      <c r="G12" s="3" t="s">
        <v>32</v>
      </c>
      <c r="H12" s="3" t="s">
        <v>14</v>
      </c>
      <c r="I12" s="3" t="s">
        <v>6</v>
      </c>
      <c r="J12" s="3" t="s">
        <v>33</v>
      </c>
      <c r="K12" s="3" t="s">
        <v>34</v>
      </c>
      <c r="L12" s="3"/>
      <c r="M12" s="3"/>
      <c r="N12" s="3"/>
      <c r="O12" s="3">
        <v>2042</v>
      </c>
      <c r="P12" s="3"/>
      <c r="Q12" s="4">
        <v>46078</v>
      </c>
      <c r="R12" s="5">
        <v>11807.2</v>
      </c>
      <c r="S12" s="3">
        <v>153</v>
      </c>
      <c r="T12" s="3"/>
      <c r="U12" s="3">
        <v>0</v>
      </c>
      <c r="V12" s="3" t="s">
        <v>8</v>
      </c>
      <c r="W12" s="5">
        <v>11807.1</v>
      </c>
      <c r="X12" s="3">
        <v>0</v>
      </c>
      <c r="Y12" s="3">
        <v>0</v>
      </c>
      <c r="Z12" s="3">
        <v>0</v>
      </c>
      <c r="AA12" s="3">
        <v>0</v>
      </c>
      <c r="AB12" s="5">
        <v>11807.1</v>
      </c>
      <c r="AD12" s="25" t="s">
        <v>1163</v>
      </c>
      <c r="AE12" s="25" t="s">
        <v>1173</v>
      </c>
      <c r="AF12" s="26">
        <v>11807.1</v>
      </c>
      <c r="AG12" s="33">
        <f>AF12</f>
        <v>11807.1</v>
      </c>
      <c r="AH12" s="18"/>
      <c r="AI12" s="3"/>
      <c r="AJ12" s="3"/>
      <c r="AK12" s="3"/>
      <c r="AL12" s="15">
        <f t="shared" si="0"/>
        <v>11807.1</v>
      </c>
      <c r="AM12" s="15">
        <f t="shared" si="2"/>
        <v>0</v>
      </c>
      <c r="AN12">
        <v>0</v>
      </c>
      <c r="AO12" s="15">
        <f t="shared" si="1"/>
        <v>0</v>
      </c>
    </row>
    <row r="13" spans="1:41" x14ac:dyDescent="0.25">
      <c r="A13">
        <v>6</v>
      </c>
      <c r="B13" s="10">
        <v>1084</v>
      </c>
      <c r="C13" s="10" t="s">
        <v>999</v>
      </c>
      <c r="D13" s="3" t="s">
        <v>35</v>
      </c>
      <c r="E13" s="3" t="s">
        <v>36</v>
      </c>
      <c r="F13" s="3" t="s">
        <v>37</v>
      </c>
      <c r="G13" s="3" t="s">
        <v>38</v>
      </c>
      <c r="H13" s="3" t="s">
        <v>14</v>
      </c>
      <c r="I13" s="3" t="s">
        <v>6</v>
      </c>
      <c r="J13" s="3" t="s">
        <v>15</v>
      </c>
      <c r="K13" s="3" t="s">
        <v>39</v>
      </c>
      <c r="L13" s="3"/>
      <c r="M13" s="3"/>
      <c r="N13" s="3" t="s">
        <v>22</v>
      </c>
      <c r="O13" s="3"/>
      <c r="P13" s="3"/>
      <c r="Q13" s="4">
        <v>46081</v>
      </c>
      <c r="R13" s="5">
        <v>641.70000000000005</v>
      </c>
      <c r="S13" s="3">
        <v>41</v>
      </c>
      <c r="T13" s="3"/>
      <c r="U13" s="3">
        <v>0</v>
      </c>
      <c r="V13" s="3" t="s">
        <v>8</v>
      </c>
      <c r="W13" s="5">
        <v>641.70000000000005</v>
      </c>
      <c r="X13" s="3">
        <v>0</v>
      </c>
      <c r="Y13" s="3">
        <v>0</v>
      </c>
      <c r="Z13" s="3">
        <v>0</v>
      </c>
      <c r="AA13" s="3">
        <v>0</v>
      </c>
      <c r="AB13" s="5">
        <v>641.70000000000005</v>
      </c>
      <c r="AD13" s="25"/>
      <c r="AE13" s="25"/>
      <c r="AF13" s="25"/>
      <c r="AG13" s="32"/>
      <c r="AH13" s="18"/>
      <c r="AI13" s="3"/>
      <c r="AJ13" s="3"/>
      <c r="AK13" s="3"/>
      <c r="AL13" s="15">
        <f t="shared" si="0"/>
        <v>0</v>
      </c>
      <c r="AM13" s="15">
        <f t="shared" si="2"/>
        <v>641.70000000000005</v>
      </c>
      <c r="AN13">
        <v>641.70000000000005</v>
      </c>
      <c r="AO13" s="15">
        <f t="shared" si="1"/>
        <v>0</v>
      </c>
    </row>
    <row r="14" spans="1:41" x14ac:dyDescent="0.25">
      <c r="A14">
        <v>7</v>
      </c>
      <c r="B14" s="10" t="s">
        <v>40</v>
      </c>
      <c r="C14" s="10" t="s">
        <v>1000</v>
      </c>
      <c r="D14" s="3" t="s">
        <v>41</v>
      </c>
      <c r="E14" s="3" t="s">
        <v>41</v>
      </c>
      <c r="F14" s="3" t="s">
        <v>42</v>
      </c>
      <c r="G14" s="3" t="s">
        <v>43</v>
      </c>
      <c r="H14" s="3" t="s">
        <v>14</v>
      </c>
      <c r="I14" s="3" t="s">
        <v>6</v>
      </c>
      <c r="J14" s="3"/>
      <c r="K14" s="3" t="s">
        <v>44</v>
      </c>
      <c r="L14" s="3"/>
      <c r="M14" s="3"/>
      <c r="N14" s="3" t="s">
        <v>22</v>
      </c>
      <c r="O14" s="3"/>
      <c r="P14" s="3"/>
      <c r="Q14" s="4">
        <v>46081</v>
      </c>
      <c r="R14" s="5">
        <v>255.51</v>
      </c>
      <c r="S14" s="3">
        <v>126</v>
      </c>
      <c r="T14" s="3"/>
      <c r="U14" s="3">
        <v>0</v>
      </c>
      <c r="V14" s="3" t="s">
        <v>8</v>
      </c>
      <c r="W14" s="5">
        <v>255.51</v>
      </c>
      <c r="X14" s="3">
        <v>0</v>
      </c>
      <c r="Y14" s="3">
        <v>0</v>
      </c>
      <c r="Z14" s="3">
        <v>0</v>
      </c>
      <c r="AA14" s="3">
        <v>0</v>
      </c>
      <c r="AB14" s="5">
        <v>255.51</v>
      </c>
      <c r="AD14" s="25"/>
      <c r="AE14" s="25"/>
      <c r="AF14" s="25"/>
      <c r="AG14" s="32"/>
      <c r="AH14" s="18"/>
      <c r="AI14" s="3"/>
      <c r="AJ14" s="3"/>
      <c r="AK14" s="3"/>
      <c r="AL14" s="15">
        <f t="shared" si="0"/>
        <v>0</v>
      </c>
      <c r="AM14" s="15">
        <f t="shared" si="2"/>
        <v>255.51</v>
      </c>
      <c r="AN14">
        <v>255.51</v>
      </c>
      <c r="AO14" s="15">
        <f t="shared" si="1"/>
        <v>0</v>
      </c>
    </row>
    <row r="15" spans="1:41" x14ac:dyDescent="0.25">
      <c r="A15">
        <v>8</v>
      </c>
      <c r="B15" s="10" t="s">
        <v>45</v>
      </c>
      <c r="C15" s="10" t="s">
        <v>1001</v>
      </c>
      <c r="D15" s="3" t="s">
        <v>46</v>
      </c>
      <c r="E15" s="3" t="s">
        <v>47</v>
      </c>
      <c r="F15" s="3" t="s">
        <v>48</v>
      </c>
      <c r="G15" s="3" t="s">
        <v>49</v>
      </c>
      <c r="H15" s="3" t="s">
        <v>14</v>
      </c>
      <c r="I15" s="3" t="s">
        <v>6</v>
      </c>
      <c r="J15" s="3" t="s">
        <v>15</v>
      </c>
      <c r="K15" s="3" t="s">
        <v>50</v>
      </c>
      <c r="L15" s="3"/>
      <c r="M15" s="3"/>
      <c r="N15" s="3"/>
      <c r="O15" s="3">
        <v>1459</v>
      </c>
      <c r="P15" s="3"/>
      <c r="Q15" s="4">
        <v>46081</v>
      </c>
      <c r="R15" s="5">
        <v>321.32</v>
      </c>
      <c r="S15" s="3">
        <v>40</v>
      </c>
      <c r="T15" s="3"/>
      <c r="U15" s="3">
        <v>0</v>
      </c>
      <c r="V15" s="3" t="s">
        <v>8</v>
      </c>
      <c r="W15" s="5">
        <v>321.32</v>
      </c>
      <c r="X15" s="3">
        <v>0</v>
      </c>
      <c r="Y15" s="3">
        <v>0</v>
      </c>
      <c r="Z15" s="3">
        <v>0</v>
      </c>
      <c r="AA15" s="3">
        <v>0</v>
      </c>
      <c r="AB15" s="5">
        <v>321.32</v>
      </c>
      <c r="AD15" s="25"/>
      <c r="AE15" s="25"/>
      <c r="AF15" s="25"/>
      <c r="AG15" s="32"/>
      <c r="AH15" s="18"/>
      <c r="AI15" s="3"/>
      <c r="AJ15" s="3"/>
      <c r="AK15" s="3"/>
      <c r="AL15" s="15">
        <f t="shared" si="0"/>
        <v>0</v>
      </c>
      <c r="AM15" s="15">
        <f t="shared" si="2"/>
        <v>321.32</v>
      </c>
      <c r="AN15">
        <v>321.32</v>
      </c>
      <c r="AO15" s="15">
        <f t="shared" si="1"/>
        <v>0</v>
      </c>
    </row>
    <row r="16" spans="1:41" x14ac:dyDescent="0.25">
      <c r="A16">
        <v>9</v>
      </c>
      <c r="B16" s="10" t="s">
        <v>51</v>
      </c>
      <c r="C16" s="10" t="s">
        <v>1002</v>
      </c>
      <c r="D16" s="3" t="s">
        <v>52</v>
      </c>
      <c r="E16" s="3" t="s">
        <v>53</v>
      </c>
      <c r="F16" s="3" t="s">
        <v>54</v>
      </c>
      <c r="G16" s="3" t="s">
        <v>55</v>
      </c>
      <c r="H16" s="3" t="s">
        <v>14</v>
      </c>
      <c r="I16" s="3" t="s">
        <v>6</v>
      </c>
      <c r="J16" s="3" t="s">
        <v>15</v>
      </c>
      <c r="K16" s="3" t="s">
        <v>56</v>
      </c>
      <c r="L16" s="3"/>
      <c r="M16" s="3"/>
      <c r="N16" s="3"/>
      <c r="O16" s="3">
        <v>1620</v>
      </c>
      <c r="P16" s="3"/>
      <c r="Q16" s="4">
        <v>46067</v>
      </c>
      <c r="R16" s="5">
        <v>11962.51</v>
      </c>
      <c r="S16" s="3">
        <v>203</v>
      </c>
      <c r="T16" s="3"/>
      <c r="U16" s="3">
        <v>0</v>
      </c>
      <c r="V16" s="3" t="s">
        <v>8</v>
      </c>
      <c r="W16" s="5">
        <v>11962.51</v>
      </c>
      <c r="X16" s="5">
        <v>11962.51</v>
      </c>
      <c r="Y16" s="3">
        <v>0</v>
      </c>
      <c r="Z16" s="3">
        <v>0</v>
      </c>
      <c r="AA16" s="3">
        <v>0</v>
      </c>
      <c r="AB16" s="5">
        <v>23925.02</v>
      </c>
      <c r="AD16" s="25" t="s">
        <v>1164</v>
      </c>
      <c r="AE16" s="25" t="s">
        <v>1174</v>
      </c>
      <c r="AF16" s="26">
        <v>11962.51</v>
      </c>
      <c r="AG16" s="32"/>
      <c r="AH16" s="19">
        <f>AF16</f>
        <v>11962.51</v>
      </c>
      <c r="AI16" s="3"/>
      <c r="AJ16" s="3"/>
      <c r="AK16" s="3"/>
      <c r="AL16" s="15">
        <f t="shared" si="0"/>
        <v>11962.51</v>
      </c>
      <c r="AM16" s="15">
        <f t="shared" si="2"/>
        <v>11962.51</v>
      </c>
      <c r="AN16">
        <v>11962.51</v>
      </c>
      <c r="AO16" s="15">
        <f t="shared" si="1"/>
        <v>0</v>
      </c>
    </row>
    <row r="17" spans="1:41" x14ac:dyDescent="0.25">
      <c r="A17">
        <v>10</v>
      </c>
      <c r="B17" s="10" t="s">
        <v>57</v>
      </c>
      <c r="C17" s="10" t="s">
        <v>1003</v>
      </c>
      <c r="D17" s="3" t="s">
        <v>58</v>
      </c>
      <c r="E17" s="3" t="s">
        <v>59</v>
      </c>
      <c r="F17" s="3" t="s">
        <v>60</v>
      </c>
      <c r="G17" s="3" t="s">
        <v>61</v>
      </c>
      <c r="H17" s="3" t="s">
        <v>14</v>
      </c>
      <c r="I17" s="3" t="s">
        <v>6</v>
      </c>
      <c r="J17" s="3"/>
      <c r="K17" s="3" t="s">
        <v>62</v>
      </c>
      <c r="L17" s="3"/>
      <c r="M17" s="3"/>
      <c r="N17" s="3"/>
      <c r="O17" s="3">
        <v>1457</v>
      </c>
      <c r="P17" s="3"/>
      <c r="Q17" s="4">
        <v>46071</v>
      </c>
      <c r="R17" s="5">
        <v>40250</v>
      </c>
      <c r="S17" s="3">
        <v>253</v>
      </c>
      <c r="T17" s="3" t="s">
        <v>63</v>
      </c>
      <c r="U17" s="3">
        <v>0</v>
      </c>
      <c r="V17" s="3" t="s">
        <v>8</v>
      </c>
      <c r="W17" s="5">
        <v>73466.600000000006</v>
      </c>
      <c r="X17" s="5">
        <v>73466.600000000006</v>
      </c>
      <c r="Y17" s="3">
        <v>0</v>
      </c>
      <c r="Z17" s="3">
        <v>0</v>
      </c>
      <c r="AA17" s="3">
        <v>0</v>
      </c>
      <c r="AB17" s="5">
        <v>146933.20000000001</v>
      </c>
      <c r="AD17" s="25" t="s">
        <v>1147</v>
      </c>
      <c r="AE17" s="25" t="s">
        <v>57</v>
      </c>
      <c r="AF17" s="26">
        <v>73466.600000000006</v>
      </c>
      <c r="AG17" s="32"/>
      <c r="AH17" s="19">
        <f>AF17</f>
        <v>73466.600000000006</v>
      </c>
      <c r="AI17" s="3"/>
      <c r="AJ17" s="3"/>
      <c r="AK17" s="3"/>
      <c r="AL17" s="15">
        <f t="shared" si="0"/>
        <v>73466.600000000006</v>
      </c>
      <c r="AM17" s="15">
        <f t="shared" si="2"/>
        <v>73466.600000000006</v>
      </c>
      <c r="AN17">
        <v>73466.600000000006</v>
      </c>
      <c r="AO17" s="15">
        <f t="shared" si="1"/>
        <v>0</v>
      </c>
    </row>
    <row r="18" spans="1:41" x14ac:dyDescent="0.25">
      <c r="A18">
        <v>11</v>
      </c>
      <c r="B18" s="10" t="s">
        <v>64</v>
      </c>
      <c r="C18" s="10" t="s">
        <v>1004</v>
      </c>
      <c r="D18" s="3" t="s">
        <v>65</v>
      </c>
      <c r="E18" s="3" t="s">
        <v>66</v>
      </c>
      <c r="F18" s="3"/>
      <c r="G18" s="3" t="s">
        <v>67</v>
      </c>
      <c r="H18" s="3" t="s">
        <v>14</v>
      </c>
      <c r="I18" s="3" t="s">
        <v>6</v>
      </c>
      <c r="J18" s="3"/>
      <c r="K18" s="3" t="s">
        <v>68</v>
      </c>
      <c r="L18" s="3"/>
      <c r="M18" s="3" t="s">
        <v>69</v>
      </c>
      <c r="N18" s="3" t="s">
        <v>22</v>
      </c>
      <c r="O18" s="3"/>
      <c r="P18" s="3"/>
      <c r="Q18" s="4">
        <v>46081</v>
      </c>
      <c r="R18" s="5">
        <v>284.67</v>
      </c>
      <c r="S18" s="3">
        <v>41</v>
      </c>
      <c r="T18" s="3"/>
      <c r="U18" s="3">
        <v>0</v>
      </c>
      <c r="V18" s="3" t="s">
        <v>8</v>
      </c>
      <c r="W18" s="5">
        <v>284.67</v>
      </c>
      <c r="X18" s="3">
        <v>0</v>
      </c>
      <c r="Y18" s="3">
        <v>0</v>
      </c>
      <c r="Z18" s="3">
        <v>0</v>
      </c>
      <c r="AA18" s="3">
        <v>0</v>
      </c>
      <c r="AB18" s="5">
        <v>284.67</v>
      </c>
      <c r="AD18" s="25"/>
      <c r="AE18" s="25"/>
      <c r="AF18" s="25"/>
      <c r="AG18" s="32"/>
      <c r="AH18" s="18"/>
      <c r="AI18" s="3"/>
      <c r="AJ18" s="3"/>
      <c r="AK18" s="3"/>
      <c r="AL18" s="15">
        <f t="shared" si="0"/>
        <v>0</v>
      </c>
      <c r="AM18" s="15">
        <f t="shared" si="2"/>
        <v>284.67</v>
      </c>
      <c r="AN18" s="15">
        <v>284.67</v>
      </c>
      <c r="AO18" s="15">
        <f t="shared" si="1"/>
        <v>0</v>
      </c>
    </row>
    <row r="19" spans="1:41" x14ac:dyDescent="0.25">
      <c r="A19">
        <v>12</v>
      </c>
      <c r="B19" s="10" t="s">
        <v>70</v>
      </c>
      <c r="C19" s="10" t="s">
        <v>30</v>
      </c>
      <c r="D19" s="3" t="s">
        <v>71</v>
      </c>
      <c r="E19" s="3" t="s">
        <v>72</v>
      </c>
      <c r="F19" s="3" t="s">
        <v>73</v>
      </c>
      <c r="G19" s="3" t="s">
        <v>74</v>
      </c>
      <c r="H19" s="3" t="s">
        <v>14</v>
      </c>
      <c r="I19" s="3" t="s">
        <v>6</v>
      </c>
      <c r="J19" s="3" t="s">
        <v>15</v>
      </c>
      <c r="K19" s="3" t="s">
        <v>75</v>
      </c>
      <c r="L19" s="3" t="s">
        <v>76</v>
      </c>
      <c r="M19" s="3" t="s">
        <v>69</v>
      </c>
      <c r="N19" s="3" t="s">
        <v>22</v>
      </c>
      <c r="O19" s="3">
        <v>2094</v>
      </c>
      <c r="P19" s="3"/>
      <c r="Q19" s="4">
        <v>46079</v>
      </c>
      <c r="R19" s="5">
        <v>147.16999999999999</v>
      </c>
      <c r="S19" s="3">
        <v>39</v>
      </c>
      <c r="T19" s="3"/>
      <c r="U19" s="3">
        <v>0</v>
      </c>
      <c r="V19" s="3" t="s">
        <v>8</v>
      </c>
      <c r="W19" s="5">
        <v>147.16999999999999</v>
      </c>
      <c r="X19" s="3">
        <v>0</v>
      </c>
      <c r="Y19" s="3">
        <v>0</v>
      </c>
      <c r="Z19" s="3">
        <v>0</v>
      </c>
      <c r="AA19" s="3">
        <v>0</v>
      </c>
      <c r="AB19" s="5">
        <v>147.16999999999999</v>
      </c>
      <c r="AD19" s="25"/>
      <c r="AE19" s="25"/>
      <c r="AF19" s="25"/>
      <c r="AG19" s="32"/>
      <c r="AH19" s="18"/>
      <c r="AI19" s="3"/>
      <c r="AJ19" s="3"/>
      <c r="AK19" s="3"/>
      <c r="AL19" s="15">
        <f t="shared" si="0"/>
        <v>0</v>
      </c>
      <c r="AM19" s="15">
        <f t="shared" si="2"/>
        <v>147.16999999999999</v>
      </c>
      <c r="AN19" s="15">
        <f>AM19</f>
        <v>147.16999999999999</v>
      </c>
      <c r="AO19" s="15">
        <f t="shared" si="1"/>
        <v>0</v>
      </c>
    </row>
    <row r="20" spans="1:41" x14ac:dyDescent="0.25">
      <c r="A20">
        <v>13</v>
      </c>
      <c r="B20" s="10" t="s">
        <v>77</v>
      </c>
      <c r="C20" s="10" t="s">
        <v>1005</v>
      </c>
      <c r="D20" s="3" t="s">
        <v>78</v>
      </c>
      <c r="E20" s="3" t="s">
        <v>79</v>
      </c>
      <c r="F20" s="3" t="s">
        <v>80</v>
      </c>
      <c r="G20" s="3" t="s">
        <v>81</v>
      </c>
      <c r="H20" s="3" t="s">
        <v>82</v>
      </c>
      <c r="I20" s="3" t="s">
        <v>6</v>
      </c>
      <c r="J20" s="3" t="s">
        <v>15</v>
      </c>
      <c r="K20" s="3" t="s">
        <v>83</v>
      </c>
      <c r="L20" s="3"/>
      <c r="M20" s="3"/>
      <c r="N20" s="3"/>
      <c r="O20" s="3">
        <v>2066</v>
      </c>
      <c r="P20" s="3"/>
      <c r="Q20" s="4">
        <v>45169</v>
      </c>
      <c r="R20" s="5">
        <v>342.26</v>
      </c>
      <c r="S20" s="3">
        <v>217</v>
      </c>
      <c r="T20" s="3"/>
      <c r="U20" s="3">
        <v>0</v>
      </c>
      <c r="V20" s="3" t="s">
        <v>8</v>
      </c>
      <c r="W20" s="3">
        <v>0</v>
      </c>
      <c r="X20" s="3">
        <v>0</v>
      </c>
      <c r="Y20" s="3">
        <v>0</v>
      </c>
      <c r="Z20" s="3">
        <v>0</v>
      </c>
      <c r="AA20" s="5">
        <v>0</v>
      </c>
      <c r="AB20" s="5">
        <v>0</v>
      </c>
      <c r="AD20" s="25"/>
      <c r="AE20" s="25"/>
      <c r="AF20" s="25"/>
      <c r="AG20" s="32"/>
      <c r="AH20" s="18"/>
      <c r="AI20" s="3"/>
      <c r="AJ20" s="3"/>
      <c r="AK20" s="5"/>
      <c r="AL20" s="15">
        <f t="shared" si="0"/>
        <v>0</v>
      </c>
      <c r="AM20" s="15">
        <f t="shared" si="2"/>
        <v>0</v>
      </c>
      <c r="AN20">
        <v>0</v>
      </c>
      <c r="AO20" s="15">
        <f t="shared" si="1"/>
        <v>0</v>
      </c>
    </row>
    <row r="21" spans="1:41" x14ac:dyDescent="0.25">
      <c r="A21">
        <v>14</v>
      </c>
      <c r="B21" s="10" t="s">
        <v>84</v>
      </c>
      <c r="C21" s="10" t="s">
        <v>1006</v>
      </c>
      <c r="D21" s="3" t="s">
        <v>85</v>
      </c>
      <c r="E21" s="3" t="s">
        <v>86</v>
      </c>
      <c r="F21" s="3"/>
      <c r="G21" s="3" t="s">
        <v>87</v>
      </c>
      <c r="H21" s="3" t="s">
        <v>14</v>
      </c>
      <c r="I21" s="3" t="s">
        <v>6</v>
      </c>
      <c r="J21" s="3" t="s">
        <v>15</v>
      </c>
      <c r="K21" s="3" t="s">
        <v>88</v>
      </c>
      <c r="L21" s="3"/>
      <c r="M21" s="3"/>
      <c r="N21" s="3"/>
      <c r="O21" s="3">
        <v>2041</v>
      </c>
      <c r="P21" s="3"/>
      <c r="Q21" s="4">
        <v>46081</v>
      </c>
      <c r="R21" s="5">
        <v>204.7</v>
      </c>
      <c r="S21" s="3">
        <v>102</v>
      </c>
      <c r="T21" s="3"/>
      <c r="U21" s="3">
        <v>0</v>
      </c>
      <c r="V21" s="3" t="s">
        <v>8</v>
      </c>
      <c r="W21" s="5">
        <v>204.69</v>
      </c>
      <c r="X21" s="3">
        <v>0</v>
      </c>
      <c r="Y21" s="3">
        <v>0</v>
      </c>
      <c r="Z21" s="3">
        <v>0</v>
      </c>
      <c r="AA21" s="3">
        <v>0.01</v>
      </c>
      <c r="AB21" s="5">
        <v>204.7</v>
      </c>
      <c r="AD21" s="25"/>
      <c r="AE21" s="25"/>
      <c r="AF21" s="25"/>
      <c r="AG21" s="32"/>
      <c r="AH21" s="18"/>
      <c r="AI21" s="3"/>
      <c r="AJ21" s="3"/>
      <c r="AK21" s="3"/>
      <c r="AL21" s="15">
        <f t="shared" si="0"/>
        <v>0</v>
      </c>
      <c r="AM21" s="15">
        <f t="shared" si="2"/>
        <v>204.7</v>
      </c>
      <c r="AN21" s="15">
        <f>AM21</f>
        <v>204.7</v>
      </c>
      <c r="AO21" s="15">
        <f t="shared" si="1"/>
        <v>0</v>
      </c>
    </row>
    <row r="22" spans="1:41" x14ac:dyDescent="0.25">
      <c r="A22">
        <v>15</v>
      </c>
      <c r="B22" s="10"/>
      <c r="C22" s="10"/>
      <c r="D22" s="3" t="str">
        <f>[1]nedredc!$B$35</f>
        <v>AUMA SOUTH AFRICA (PTY)LTD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4"/>
      <c r="R22" s="5"/>
      <c r="S22" s="3"/>
      <c r="T22" s="3"/>
      <c r="U22" s="3"/>
      <c r="V22" s="3"/>
      <c r="W22" s="5"/>
      <c r="X22" s="3"/>
      <c r="Y22" s="3"/>
      <c r="Z22" s="3"/>
      <c r="AA22" s="3"/>
      <c r="AB22" s="5"/>
      <c r="AD22" s="25" t="s">
        <v>1167</v>
      </c>
      <c r="AE22" s="25" t="s">
        <v>1186</v>
      </c>
      <c r="AF22" s="26">
        <v>26226.81</v>
      </c>
      <c r="AG22" s="33">
        <f>AF22</f>
        <v>26226.81</v>
      </c>
      <c r="AH22" s="18"/>
      <c r="AI22" s="3"/>
      <c r="AJ22" s="3"/>
      <c r="AK22" s="3"/>
      <c r="AL22" s="15">
        <f t="shared" si="0"/>
        <v>26226.81</v>
      </c>
      <c r="AM22" s="15">
        <f t="shared" si="2"/>
        <v>-26226.81</v>
      </c>
      <c r="AN22">
        <v>-26226.81</v>
      </c>
      <c r="AO22" s="15">
        <f t="shared" si="1"/>
        <v>0</v>
      </c>
    </row>
    <row r="23" spans="1:41" x14ac:dyDescent="0.25">
      <c r="A23">
        <v>16</v>
      </c>
      <c r="B23" s="10" t="s">
        <v>89</v>
      </c>
      <c r="C23" s="10" t="s">
        <v>1007</v>
      </c>
      <c r="D23" s="3" t="s">
        <v>90</v>
      </c>
      <c r="E23" s="3" t="s">
        <v>91</v>
      </c>
      <c r="F23" s="3" t="s">
        <v>92</v>
      </c>
      <c r="G23" s="3" t="s">
        <v>93</v>
      </c>
      <c r="H23" s="3" t="s">
        <v>14</v>
      </c>
      <c r="I23" s="3" t="s">
        <v>6</v>
      </c>
      <c r="J23" s="3" t="s">
        <v>15</v>
      </c>
      <c r="K23" s="3" t="s">
        <v>94</v>
      </c>
      <c r="L23" s="3"/>
      <c r="M23" s="3"/>
      <c r="N23" s="3"/>
      <c r="O23" s="3"/>
      <c r="P23" s="3"/>
      <c r="Q23" s="4">
        <v>46069</v>
      </c>
      <c r="R23" s="5">
        <v>189890.58</v>
      </c>
      <c r="S23" s="3">
        <v>139</v>
      </c>
      <c r="T23" s="3"/>
      <c r="U23" s="3">
        <v>0</v>
      </c>
      <c r="V23" s="3" t="s">
        <v>8</v>
      </c>
      <c r="W23" s="5">
        <v>132914.71</v>
      </c>
      <c r="X23" s="5">
        <v>237641.76</v>
      </c>
      <c r="Y23" s="3">
        <v>0</v>
      </c>
      <c r="Z23" s="3">
        <v>0</v>
      </c>
      <c r="AA23" s="3">
        <v>0</v>
      </c>
      <c r="AB23" s="5">
        <v>370556.47</v>
      </c>
      <c r="AD23" s="25" t="s">
        <v>1156</v>
      </c>
      <c r="AE23" s="25" t="s">
        <v>1190</v>
      </c>
      <c r="AF23" s="26">
        <v>37641.760000000002</v>
      </c>
      <c r="AG23" s="33">
        <f>AF24</f>
        <v>200000</v>
      </c>
      <c r="AH23" s="19">
        <f>AF23</f>
        <v>37641.760000000002</v>
      </c>
      <c r="AI23" s="3"/>
      <c r="AJ23" s="3"/>
      <c r="AK23" s="3"/>
      <c r="AL23" s="15">
        <f t="shared" si="0"/>
        <v>237641.76</v>
      </c>
      <c r="AM23" s="15">
        <f t="shared" si="2"/>
        <v>132914.70999999996</v>
      </c>
      <c r="AN23">
        <v>132914.71</v>
      </c>
      <c r="AO23" s="15">
        <f t="shared" si="1"/>
        <v>0</v>
      </c>
    </row>
    <row r="24" spans="1:41" x14ac:dyDescent="0.25">
      <c r="A24">
        <v>17</v>
      </c>
      <c r="B24" s="10"/>
      <c r="C24" s="10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4"/>
      <c r="R24" s="5"/>
      <c r="S24" s="3"/>
      <c r="T24" s="3"/>
      <c r="U24" s="3"/>
      <c r="V24" s="3"/>
      <c r="W24" s="5"/>
      <c r="X24" s="5"/>
      <c r="Y24" s="3"/>
      <c r="Z24" s="3"/>
      <c r="AA24" s="3"/>
      <c r="AB24" s="5"/>
      <c r="AD24" s="25" t="s">
        <v>1156</v>
      </c>
      <c r="AE24" s="25" t="s">
        <v>1190</v>
      </c>
      <c r="AF24" s="58">
        <v>200000</v>
      </c>
      <c r="AG24" s="32"/>
      <c r="AH24" s="19"/>
      <c r="AI24" s="3"/>
      <c r="AJ24" s="3"/>
      <c r="AK24" s="3"/>
      <c r="AL24" s="15"/>
      <c r="AM24" s="15"/>
      <c r="AO24" s="15"/>
    </row>
    <row r="25" spans="1:41" x14ac:dyDescent="0.25">
      <c r="A25">
        <v>18</v>
      </c>
      <c r="B25" s="10" t="s">
        <v>95</v>
      </c>
      <c r="C25" s="10" t="s">
        <v>30</v>
      </c>
      <c r="D25" s="3" t="s">
        <v>96</v>
      </c>
      <c r="E25" s="3" t="s">
        <v>97</v>
      </c>
      <c r="F25" s="3" t="s">
        <v>92</v>
      </c>
      <c r="G25" s="3" t="s">
        <v>93</v>
      </c>
      <c r="H25" s="3" t="s">
        <v>14</v>
      </c>
      <c r="I25" s="3" t="s">
        <v>6</v>
      </c>
      <c r="J25" s="3"/>
      <c r="K25" s="3" t="s">
        <v>94</v>
      </c>
      <c r="L25" s="3"/>
      <c r="M25" s="3"/>
      <c r="N25" s="3" t="s">
        <v>22</v>
      </c>
      <c r="O25" s="3"/>
      <c r="P25" s="3"/>
      <c r="Q25" s="4">
        <v>46081</v>
      </c>
      <c r="R25" s="5">
        <v>1122.4000000000001</v>
      </c>
      <c r="S25" s="3">
        <v>116</v>
      </c>
      <c r="T25" s="3"/>
      <c r="U25" s="3">
        <v>0</v>
      </c>
      <c r="V25" s="3" t="s">
        <v>8</v>
      </c>
      <c r="W25" s="5">
        <v>1122.4000000000001</v>
      </c>
      <c r="X25" s="3">
        <v>0</v>
      </c>
      <c r="Y25" s="3">
        <v>0</v>
      </c>
      <c r="Z25" s="3">
        <v>0</v>
      </c>
      <c r="AA25" s="3">
        <v>0</v>
      </c>
      <c r="AB25" s="5">
        <v>1122.4000000000001</v>
      </c>
      <c r="AD25" s="25"/>
      <c r="AE25" s="25"/>
      <c r="AF25" s="25"/>
      <c r="AG25" s="32"/>
      <c r="AH25" s="18"/>
      <c r="AI25" s="3"/>
      <c r="AJ25" s="3"/>
      <c r="AK25" s="3"/>
      <c r="AL25" s="15">
        <f t="shared" si="0"/>
        <v>0</v>
      </c>
      <c r="AM25" s="15">
        <f t="shared" si="2"/>
        <v>1122.4000000000001</v>
      </c>
      <c r="AN25" s="15">
        <f t="shared" ref="AN25:AN35" si="3">AM25</f>
        <v>1122.4000000000001</v>
      </c>
      <c r="AO25" s="15">
        <f t="shared" si="1"/>
        <v>0</v>
      </c>
    </row>
    <row r="26" spans="1:41" x14ac:dyDescent="0.25">
      <c r="A26">
        <v>19</v>
      </c>
      <c r="B26" s="10" t="s">
        <v>98</v>
      </c>
      <c r="C26" s="10" t="s">
        <v>1008</v>
      </c>
      <c r="D26" s="3" t="s">
        <v>99</v>
      </c>
      <c r="E26" s="3" t="s">
        <v>100</v>
      </c>
      <c r="F26" s="3" t="s">
        <v>101</v>
      </c>
      <c r="G26" s="3" t="s">
        <v>102</v>
      </c>
      <c r="H26" s="3" t="s">
        <v>14</v>
      </c>
      <c r="I26" s="3" t="s">
        <v>6</v>
      </c>
      <c r="J26" s="3" t="s">
        <v>15</v>
      </c>
      <c r="K26" s="3" t="s">
        <v>103</v>
      </c>
      <c r="L26" s="3"/>
      <c r="M26" s="3"/>
      <c r="N26" s="3" t="s">
        <v>22</v>
      </c>
      <c r="O26" s="3"/>
      <c r="P26" s="3"/>
      <c r="Q26" s="4">
        <v>46081</v>
      </c>
      <c r="R26" s="5">
        <v>2390.2600000000002</v>
      </c>
      <c r="S26" s="3">
        <v>226</v>
      </c>
      <c r="T26" s="3"/>
      <c r="U26" s="3">
        <v>0</v>
      </c>
      <c r="V26" s="3" t="s">
        <v>8</v>
      </c>
      <c r="W26" s="5">
        <v>2390.2600000000002</v>
      </c>
      <c r="X26" s="3">
        <v>0</v>
      </c>
      <c r="Y26" s="3">
        <v>0</v>
      </c>
      <c r="Z26" s="3">
        <v>0</v>
      </c>
      <c r="AA26" s="3">
        <v>0</v>
      </c>
      <c r="AB26" s="5">
        <v>2390.2600000000002</v>
      </c>
      <c r="AD26" s="25"/>
      <c r="AE26" s="25"/>
      <c r="AF26" s="25"/>
      <c r="AG26" s="32"/>
      <c r="AH26" s="18"/>
      <c r="AI26" s="3"/>
      <c r="AJ26" s="3"/>
      <c r="AK26" s="3"/>
      <c r="AL26" s="15">
        <f t="shared" si="0"/>
        <v>0</v>
      </c>
      <c r="AM26" s="15">
        <f t="shared" si="2"/>
        <v>2390.2600000000002</v>
      </c>
      <c r="AN26" s="15">
        <f t="shared" si="3"/>
        <v>2390.2600000000002</v>
      </c>
      <c r="AO26" s="15">
        <f t="shared" si="1"/>
        <v>0</v>
      </c>
    </row>
    <row r="27" spans="1:41" x14ac:dyDescent="0.25">
      <c r="A27">
        <v>20</v>
      </c>
      <c r="B27" s="10" t="s">
        <v>104</v>
      </c>
      <c r="C27" s="10" t="s">
        <v>1009</v>
      </c>
      <c r="D27" s="3" t="s">
        <v>105</v>
      </c>
      <c r="E27" s="3" t="s">
        <v>106</v>
      </c>
      <c r="F27" s="3" t="s">
        <v>107</v>
      </c>
      <c r="G27" s="3" t="s">
        <v>108</v>
      </c>
      <c r="H27" s="3" t="s">
        <v>14</v>
      </c>
      <c r="I27" s="3" t="s">
        <v>6</v>
      </c>
      <c r="J27" s="3" t="s">
        <v>15</v>
      </c>
      <c r="K27" s="3" t="s">
        <v>109</v>
      </c>
      <c r="L27" s="3"/>
      <c r="M27" s="3"/>
      <c r="N27" s="3" t="s">
        <v>22</v>
      </c>
      <c r="O27" s="3"/>
      <c r="P27" s="3"/>
      <c r="Q27" s="4">
        <v>46081</v>
      </c>
      <c r="R27" s="5">
        <v>1940.51</v>
      </c>
      <c r="S27" s="3">
        <v>67</v>
      </c>
      <c r="T27" s="3"/>
      <c r="U27" s="3">
        <v>0</v>
      </c>
      <c r="V27" s="3" t="s">
        <v>8</v>
      </c>
      <c r="W27" s="5">
        <v>1940.51</v>
      </c>
      <c r="X27" s="3">
        <v>0</v>
      </c>
      <c r="Y27" s="3">
        <v>0</v>
      </c>
      <c r="Z27" s="3">
        <v>0</v>
      </c>
      <c r="AA27" s="3">
        <v>0</v>
      </c>
      <c r="AB27" s="5">
        <v>1940.51</v>
      </c>
      <c r="AD27" s="25"/>
      <c r="AE27" s="25"/>
      <c r="AF27" s="25"/>
      <c r="AG27" s="32"/>
      <c r="AH27" s="18"/>
      <c r="AI27" s="3"/>
      <c r="AJ27" s="3"/>
      <c r="AK27" s="3"/>
      <c r="AL27" s="15">
        <f t="shared" si="0"/>
        <v>0</v>
      </c>
      <c r="AM27" s="15">
        <f t="shared" si="2"/>
        <v>1940.51</v>
      </c>
      <c r="AN27" s="15">
        <f t="shared" si="3"/>
        <v>1940.51</v>
      </c>
      <c r="AO27" s="15">
        <f t="shared" si="1"/>
        <v>0</v>
      </c>
    </row>
    <row r="28" spans="1:41" x14ac:dyDescent="0.25">
      <c r="A28">
        <v>21</v>
      </c>
      <c r="B28" s="10" t="s">
        <v>110</v>
      </c>
      <c r="C28" s="10"/>
      <c r="D28" s="3" t="s">
        <v>111</v>
      </c>
      <c r="E28" s="3" t="s">
        <v>111</v>
      </c>
      <c r="F28" s="3"/>
      <c r="G28" s="3" t="s">
        <v>112</v>
      </c>
      <c r="H28" s="3" t="s">
        <v>14</v>
      </c>
      <c r="I28" s="3" t="s">
        <v>6</v>
      </c>
      <c r="J28" s="3"/>
      <c r="K28" s="3" t="s">
        <v>113</v>
      </c>
      <c r="L28" s="3"/>
      <c r="M28" s="3"/>
      <c r="N28" s="3" t="s">
        <v>22</v>
      </c>
      <c r="O28" s="3"/>
      <c r="P28" s="3"/>
      <c r="Q28" s="4">
        <v>46079</v>
      </c>
      <c r="R28" s="5">
        <v>79.349999999999994</v>
      </c>
      <c r="S28" s="3">
        <v>64</v>
      </c>
      <c r="T28" s="3"/>
      <c r="U28" s="3">
        <v>0</v>
      </c>
      <c r="V28" s="3" t="s">
        <v>8</v>
      </c>
      <c r="W28" s="5">
        <v>79.349999999999994</v>
      </c>
      <c r="X28" s="3">
        <v>0</v>
      </c>
      <c r="Y28" s="3">
        <v>0</v>
      </c>
      <c r="Z28" s="3">
        <v>0</v>
      </c>
      <c r="AA28" s="3">
        <v>0</v>
      </c>
      <c r="AB28" s="5">
        <v>79.349999999999994</v>
      </c>
      <c r="AD28" s="25"/>
      <c r="AE28" s="25"/>
      <c r="AF28" s="25"/>
      <c r="AG28" s="32"/>
      <c r="AH28" s="18"/>
      <c r="AI28" s="3"/>
      <c r="AJ28" s="3"/>
      <c r="AK28" s="3"/>
      <c r="AL28" s="15">
        <f t="shared" si="0"/>
        <v>0</v>
      </c>
      <c r="AM28" s="15">
        <f t="shared" si="2"/>
        <v>79.349999999999994</v>
      </c>
      <c r="AN28" s="15">
        <f t="shared" si="3"/>
        <v>79.349999999999994</v>
      </c>
      <c r="AO28" s="15">
        <f t="shared" si="1"/>
        <v>0</v>
      </c>
    </row>
    <row r="29" spans="1:41" x14ac:dyDescent="0.25">
      <c r="A29">
        <v>22</v>
      </c>
      <c r="B29" s="10" t="s">
        <v>114</v>
      </c>
      <c r="C29" s="10"/>
      <c r="D29" s="3" t="s">
        <v>115</v>
      </c>
      <c r="E29" s="3" t="s">
        <v>115</v>
      </c>
      <c r="F29" s="6" t="s">
        <v>116</v>
      </c>
      <c r="G29" s="3" t="s">
        <v>117</v>
      </c>
      <c r="H29" s="3" t="s">
        <v>14</v>
      </c>
      <c r="I29" s="3" t="s">
        <v>6</v>
      </c>
      <c r="J29" s="3" t="s">
        <v>15</v>
      </c>
      <c r="K29" s="3" t="s">
        <v>118</v>
      </c>
      <c r="L29" s="3"/>
      <c r="M29" s="3"/>
      <c r="N29" s="3"/>
      <c r="O29" s="3"/>
      <c r="P29" s="3"/>
      <c r="Q29" s="4">
        <v>46081</v>
      </c>
      <c r="R29" s="5">
        <v>734.3</v>
      </c>
      <c r="S29" s="3">
        <v>73</v>
      </c>
      <c r="T29" s="3"/>
      <c r="U29" s="3">
        <v>0</v>
      </c>
      <c r="V29" s="3" t="s">
        <v>8</v>
      </c>
      <c r="W29" s="5">
        <v>734.3</v>
      </c>
      <c r="X29" s="3">
        <v>0</v>
      </c>
      <c r="Y29" s="3">
        <v>0</v>
      </c>
      <c r="Z29" s="3">
        <v>0</v>
      </c>
      <c r="AA29" s="3">
        <v>0</v>
      </c>
      <c r="AB29" s="5">
        <v>734.3</v>
      </c>
      <c r="AD29" s="25"/>
      <c r="AE29" s="25"/>
      <c r="AF29" s="25"/>
      <c r="AG29" s="32"/>
      <c r="AH29" s="18"/>
      <c r="AI29" s="3"/>
      <c r="AJ29" s="3"/>
      <c r="AK29" s="3"/>
      <c r="AL29" s="15">
        <f t="shared" si="0"/>
        <v>0</v>
      </c>
      <c r="AM29" s="15">
        <f t="shared" si="2"/>
        <v>734.3</v>
      </c>
      <c r="AN29" s="15">
        <f t="shared" si="3"/>
        <v>734.3</v>
      </c>
      <c r="AO29" s="15">
        <f t="shared" si="1"/>
        <v>0</v>
      </c>
    </row>
    <row r="30" spans="1:41" x14ac:dyDescent="0.25">
      <c r="A30">
        <v>23</v>
      </c>
      <c r="B30" s="10" t="s">
        <v>119</v>
      </c>
      <c r="C30" s="10" t="s">
        <v>1010</v>
      </c>
      <c r="D30" s="3" t="s">
        <v>120</v>
      </c>
      <c r="E30" s="3" t="s">
        <v>120</v>
      </c>
      <c r="F30" s="3"/>
      <c r="G30" s="3" t="s">
        <v>121</v>
      </c>
      <c r="H30" s="3" t="s">
        <v>14</v>
      </c>
      <c r="I30" s="3" t="s">
        <v>6</v>
      </c>
      <c r="J30" s="3" t="s">
        <v>15</v>
      </c>
      <c r="K30" s="3" t="s">
        <v>122</v>
      </c>
      <c r="L30" s="3"/>
      <c r="M30" s="3"/>
      <c r="N30" s="3" t="s">
        <v>22</v>
      </c>
      <c r="O30" s="3"/>
      <c r="P30" s="3"/>
      <c r="Q30" s="4">
        <v>46079</v>
      </c>
      <c r="R30" s="5">
        <v>79.349999999999994</v>
      </c>
      <c r="S30" s="3">
        <v>46</v>
      </c>
      <c r="T30" s="3"/>
      <c r="U30" s="3">
        <v>0</v>
      </c>
      <c r="V30" s="3" t="s">
        <v>8</v>
      </c>
      <c r="W30" s="3">
        <v>0</v>
      </c>
      <c r="X30" s="3">
        <v>0</v>
      </c>
      <c r="Y30" s="3">
        <v>0</v>
      </c>
      <c r="Z30" s="3">
        <v>0</v>
      </c>
      <c r="AA30" s="5">
        <v>79.349999999999994</v>
      </c>
      <c r="AB30" s="5">
        <v>79.349999999999994</v>
      </c>
      <c r="AD30" s="25"/>
      <c r="AE30" s="25"/>
      <c r="AF30" s="25"/>
      <c r="AG30" s="32"/>
      <c r="AH30" s="18"/>
      <c r="AI30" s="3"/>
      <c r="AJ30" s="3"/>
      <c r="AK30" s="5"/>
      <c r="AL30" s="15">
        <f t="shared" si="0"/>
        <v>0</v>
      </c>
      <c r="AM30" s="15">
        <f t="shared" si="2"/>
        <v>79.349999999999994</v>
      </c>
      <c r="AN30" s="15">
        <f t="shared" si="3"/>
        <v>79.349999999999994</v>
      </c>
      <c r="AO30" s="15">
        <f t="shared" si="1"/>
        <v>0</v>
      </c>
    </row>
    <row r="31" spans="1:41" x14ac:dyDescent="0.25">
      <c r="A31">
        <v>24</v>
      </c>
      <c r="B31" s="10" t="s">
        <v>123</v>
      </c>
      <c r="C31" s="10" t="s">
        <v>1011</v>
      </c>
      <c r="D31" s="3" t="s">
        <v>124</v>
      </c>
      <c r="E31" s="3" t="s">
        <v>125</v>
      </c>
      <c r="F31" s="3" t="s">
        <v>126</v>
      </c>
      <c r="G31" s="3" t="s">
        <v>127</v>
      </c>
      <c r="H31" s="3" t="s">
        <v>14</v>
      </c>
      <c r="I31" s="3" t="s">
        <v>6</v>
      </c>
      <c r="J31" s="3" t="s">
        <v>15</v>
      </c>
      <c r="K31" s="3" t="s">
        <v>128</v>
      </c>
      <c r="L31" s="3"/>
      <c r="M31" s="3"/>
      <c r="N31" s="3"/>
      <c r="O31" s="3">
        <v>1715</v>
      </c>
      <c r="P31" s="3"/>
      <c r="Q31" s="4">
        <v>46081</v>
      </c>
      <c r="R31" s="5">
        <v>1949.08</v>
      </c>
      <c r="S31" s="3">
        <v>122</v>
      </c>
      <c r="T31" s="3"/>
      <c r="U31" s="3">
        <v>0</v>
      </c>
      <c r="V31" s="3" t="s">
        <v>8</v>
      </c>
      <c r="W31" s="5">
        <v>1949.08</v>
      </c>
      <c r="X31" s="3">
        <v>0</v>
      </c>
      <c r="Y31" s="3">
        <v>0</v>
      </c>
      <c r="Z31" s="3">
        <v>0</v>
      </c>
      <c r="AA31" s="3">
        <v>0</v>
      </c>
      <c r="AB31" s="5">
        <v>1949.08</v>
      </c>
      <c r="AD31" s="25"/>
      <c r="AE31" s="25"/>
      <c r="AF31" s="25"/>
      <c r="AG31" s="32"/>
      <c r="AH31" s="18"/>
      <c r="AI31" s="3"/>
      <c r="AJ31" s="3"/>
      <c r="AK31" s="3"/>
      <c r="AL31" s="15">
        <f t="shared" si="0"/>
        <v>0</v>
      </c>
      <c r="AM31" s="15">
        <f t="shared" si="2"/>
        <v>1949.08</v>
      </c>
      <c r="AN31" s="15">
        <f t="shared" si="3"/>
        <v>1949.08</v>
      </c>
      <c r="AO31" s="15">
        <f t="shared" si="1"/>
        <v>0</v>
      </c>
    </row>
    <row r="32" spans="1:41" x14ac:dyDescent="0.25">
      <c r="A32">
        <v>25</v>
      </c>
      <c r="B32" s="10" t="s">
        <v>129</v>
      </c>
      <c r="C32" s="10"/>
      <c r="D32" s="3" t="s">
        <v>130</v>
      </c>
      <c r="E32" s="3" t="s">
        <v>130</v>
      </c>
      <c r="F32" s="3" t="s">
        <v>131</v>
      </c>
      <c r="G32" s="3" t="s">
        <v>132</v>
      </c>
      <c r="H32" s="3" t="s">
        <v>14</v>
      </c>
      <c r="I32" s="3" t="s">
        <v>6</v>
      </c>
      <c r="J32" s="3" t="s">
        <v>15</v>
      </c>
      <c r="K32" s="3" t="s">
        <v>133</v>
      </c>
      <c r="L32" s="3"/>
      <c r="M32" s="3"/>
      <c r="N32" s="3" t="s">
        <v>22</v>
      </c>
      <c r="O32" s="3"/>
      <c r="P32" s="3"/>
      <c r="Q32" s="4">
        <v>46081</v>
      </c>
      <c r="R32" s="5">
        <v>153.53</v>
      </c>
      <c r="S32" s="3">
        <v>57</v>
      </c>
      <c r="T32" s="3"/>
      <c r="U32" s="3">
        <v>0</v>
      </c>
      <c r="V32" s="3" t="s">
        <v>8</v>
      </c>
      <c r="W32" s="5">
        <v>153.53</v>
      </c>
      <c r="X32" s="3">
        <v>0</v>
      </c>
      <c r="Y32" s="3">
        <v>0</v>
      </c>
      <c r="Z32" s="3">
        <v>0</v>
      </c>
      <c r="AA32" s="3">
        <v>0</v>
      </c>
      <c r="AB32" s="5">
        <v>153.53</v>
      </c>
      <c r="AD32" s="25"/>
      <c r="AE32" s="25"/>
      <c r="AF32" s="25"/>
      <c r="AG32" s="32"/>
      <c r="AH32" s="18"/>
      <c r="AI32" s="3"/>
      <c r="AJ32" s="3"/>
      <c r="AK32" s="3"/>
      <c r="AL32" s="15">
        <f t="shared" si="0"/>
        <v>0</v>
      </c>
      <c r="AM32" s="15">
        <f t="shared" si="2"/>
        <v>153.53</v>
      </c>
      <c r="AN32" s="15">
        <f t="shared" si="3"/>
        <v>153.53</v>
      </c>
      <c r="AO32" s="15">
        <f t="shared" si="1"/>
        <v>0</v>
      </c>
    </row>
    <row r="33" spans="1:41" x14ac:dyDescent="0.25">
      <c r="A33">
        <v>26</v>
      </c>
      <c r="B33" s="10">
        <v>1126</v>
      </c>
      <c r="C33" s="10" t="s">
        <v>1012</v>
      </c>
      <c r="D33" s="3" t="s">
        <v>134</v>
      </c>
      <c r="E33" s="3" t="s">
        <v>135</v>
      </c>
      <c r="F33" s="3" t="s">
        <v>136</v>
      </c>
      <c r="G33" s="3" t="s">
        <v>137</v>
      </c>
      <c r="H33" s="3" t="s">
        <v>14</v>
      </c>
      <c r="I33" s="3" t="s">
        <v>6</v>
      </c>
      <c r="J33" s="3" t="s">
        <v>15</v>
      </c>
      <c r="K33" s="3" t="s">
        <v>138</v>
      </c>
      <c r="L33" s="3" t="s">
        <v>76</v>
      </c>
      <c r="M33" s="3" t="s">
        <v>69</v>
      </c>
      <c r="N33" s="3" t="s">
        <v>22</v>
      </c>
      <c r="O33" s="3">
        <v>1401</v>
      </c>
      <c r="P33" s="3"/>
      <c r="Q33" s="4">
        <v>46081</v>
      </c>
      <c r="R33" s="5">
        <v>354.66</v>
      </c>
      <c r="S33" s="3">
        <v>67</v>
      </c>
      <c r="T33" s="3"/>
      <c r="U33" s="3">
        <v>0</v>
      </c>
      <c r="V33" s="3" t="s">
        <v>8</v>
      </c>
      <c r="W33" s="5">
        <v>354.66</v>
      </c>
      <c r="X33" s="3">
        <v>0</v>
      </c>
      <c r="Y33" s="3">
        <v>0</v>
      </c>
      <c r="Z33" s="3">
        <v>0</v>
      </c>
      <c r="AA33" s="3">
        <v>0</v>
      </c>
      <c r="AB33" s="5">
        <v>354.66</v>
      </c>
      <c r="AD33" s="25"/>
      <c r="AE33" s="25"/>
      <c r="AF33" s="25"/>
      <c r="AG33" s="32"/>
      <c r="AH33" s="18"/>
      <c r="AI33" s="3"/>
      <c r="AJ33" s="3"/>
      <c r="AK33" s="3"/>
      <c r="AL33" s="15">
        <f t="shared" si="0"/>
        <v>0</v>
      </c>
      <c r="AM33" s="15">
        <f t="shared" si="2"/>
        <v>354.66</v>
      </c>
      <c r="AN33" s="15">
        <f t="shared" si="3"/>
        <v>354.66</v>
      </c>
      <c r="AO33" s="15">
        <f t="shared" si="1"/>
        <v>0</v>
      </c>
    </row>
    <row r="34" spans="1:41" x14ac:dyDescent="0.25">
      <c r="A34">
        <v>27</v>
      </c>
      <c r="B34" s="10" t="s">
        <v>139</v>
      </c>
      <c r="C34" s="10" t="s">
        <v>1013</v>
      </c>
      <c r="D34" s="3" t="s">
        <v>140</v>
      </c>
      <c r="E34" s="3" t="s">
        <v>140</v>
      </c>
      <c r="F34" s="3" t="s">
        <v>141</v>
      </c>
      <c r="G34" s="3" t="s">
        <v>142</v>
      </c>
      <c r="H34" s="3" t="s">
        <v>14</v>
      </c>
      <c r="I34" s="3" t="s">
        <v>6</v>
      </c>
      <c r="J34" s="3" t="s">
        <v>15</v>
      </c>
      <c r="K34" s="3" t="s">
        <v>143</v>
      </c>
      <c r="L34" s="3"/>
      <c r="M34" s="3"/>
      <c r="N34" s="3" t="s">
        <v>22</v>
      </c>
      <c r="O34" s="3"/>
      <c r="P34" s="3"/>
      <c r="Q34" s="4">
        <v>46010</v>
      </c>
      <c r="R34" s="5">
        <v>2000</v>
      </c>
      <c r="S34" s="3">
        <v>84</v>
      </c>
      <c r="T34" s="3"/>
      <c r="U34" s="3">
        <v>0</v>
      </c>
      <c r="V34" s="3" t="s">
        <v>8</v>
      </c>
      <c r="W34" s="5">
        <v>655.49</v>
      </c>
      <c r="X34" s="5">
        <v>655.49</v>
      </c>
      <c r="Y34" s="5">
        <v>640.51</v>
      </c>
      <c r="Z34" s="3">
        <v>0</v>
      </c>
      <c r="AA34" s="3">
        <v>0</v>
      </c>
      <c r="AB34" s="5">
        <v>1951.49</v>
      </c>
      <c r="AD34" s="25"/>
      <c r="AE34" s="25"/>
      <c r="AF34" s="25"/>
      <c r="AG34" s="32"/>
      <c r="AH34" s="19"/>
      <c r="AI34" s="5"/>
      <c r="AJ34" s="3"/>
      <c r="AK34" s="3"/>
      <c r="AL34" s="15">
        <f t="shared" si="0"/>
        <v>0</v>
      </c>
      <c r="AM34" s="15">
        <f t="shared" si="2"/>
        <v>1951.49</v>
      </c>
      <c r="AN34" s="15">
        <f t="shared" si="3"/>
        <v>1951.49</v>
      </c>
      <c r="AO34" s="15">
        <f t="shared" si="1"/>
        <v>0</v>
      </c>
    </row>
    <row r="35" spans="1:41" x14ac:dyDescent="0.25">
      <c r="A35">
        <v>28</v>
      </c>
      <c r="B35" s="10" t="s">
        <v>144</v>
      </c>
      <c r="C35" s="10" t="s">
        <v>1014</v>
      </c>
      <c r="D35" s="3" t="s">
        <v>145</v>
      </c>
      <c r="E35" s="3" t="s">
        <v>145</v>
      </c>
      <c r="F35" s="3" t="s">
        <v>146</v>
      </c>
      <c r="G35" s="3" t="s">
        <v>147</v>
      </c>
      <c r="H35" s="3" t="s">
        <v>14</v>
      </c>
      <c r="I35" s="3" t="s">
        <v>6</v>
      </c>
      <c r="J35" s="3" t="s">
        <v>15</v>
      </c>
      <c r="K35" s="3" t="s">
        <v>148</v>
      </c>
      <c r="L35" s="3"/>
      <c r="M35" s="3"/>
      <c r="N35" s="3" t="s">
        <v>22</v>
      </c>
      <c r="O35" s="3"/>
      <c r="P35" s="3"/>
      <c r="Q35" s="4">
        <v>45772</v>
      </c>
      <c r="R35" s="3">
        <v>0</v>
      </c>
      <c r="S35" s="3">
        <v>60</v>
      </c>
      <c r="T35" s="3"/>
      <c r="U35" s="3">
        <v>0</v>
      </c>
      <c r="V35" s="3" t="s">
        <v>8</v>
      </c>
      <c r="W35" s="5">
        <v>967.52</v>
      </c>
      <c r="X35" s="5">
        <v>857.11</v>
      </c>
      <c r="Y35" s="3">
        <v>0</v>
      </c>
      <c r="Z35" s="3">
        <v>0</v>
      </c>
      <c r="AA35" s="5">
        <v>-11.45</v>
      </c>
      <c r="AB35" s="5">
        <v>1813.18</v>
      </c>
      <c r="AD35" s="25"/>
      <c r="AE35" s="25"/>
      <c r="AF35" s="25"/>
      <c r="AG35" s="32"/>
      <c r="AH35" s="19"/>
      <c r="AI35" s="3"/>
      <c r="AJ35" s="3"/>
      <c r="AK35" s="5"/>
      <c r="AL35" s="15">
        <f t="shared" si="0"/>
        <v>0</v>
      </c>
      <c r="AM35" s="15">
        <f t="shared" si="2"/>
        <v>1813.18</v>
      </c>
      <c r="AN35" s="15">
        <f t="shared" si="3"/>
        <v>1813.18</v>
      </c>
      <c r="AO35" s="15">
        <f t="shared" si="1"/>
        <v>0</v>
      </c>
    </row>
    <row r="36" spans="1:41" x14ac:dyDescent="0.25">
      <c r="A36">
        <v>29</v>
      </c>
      <c r="B36" s="10" t="s">
        <v>149</v>
      </c>
      <c r="C36" s="10" t="s">
        <v>1015</v>
      </c>
      <c r="D36" s="3" t="s">
        <v>150</v>
      </c>
      <c r="E36" s="3" t="s">
        <v>151</v>
      </c>
      <c r="F36" s="3"/>
      <c r="G36" s="3" t="s">
        <v>152</v>
      </c>
      <c r="H36" s="3" t="s">
        <v>14</v>
      </c>
      <c r="I36" s="3" t="s">
        <v>6</v>
      </c>
      <c r="J36" s="3"/>
      <c r="K36" s="3" t="s">
        <v>153</v>
      </c>
      <c r="L36" s="3"/>
      <c r="M36" s="3"/>
      <c r="N36" s="3" t="s">
        <v>22</v>
      </c>
      <c r="O36" s="3"/>
      <c r="P36" s="3"/>
      <c r="Q36" s="4">
        <v>46060</v>
      </c>
      <c r="R36" s="5">
        <v>13511</v>
      </c>
      <c r="S36" s="3">
        <v>79</v>
      </c>
      <c r="T36" s="3"/>
      <c r="U36" s="3">
        <v>0</v>
      </c>
      <c r="V36" s="3" t="s">
        <v>8</v>
      </c>
      <c r="W36" s="5">
        <v>13511</v>
      </c>
      <c r="X36" s="5">
        <v>13511</v>
      </c>
      <c r="Y36" s="3">
        <v>0</v>
      </c>
      <c r="Z36" s="3">
        <v>0</v>
      </c>
      <c r="AA36" s="3">
        <v>0</v>
      </c>
      <c r="AB36" s="5">
        <v>27022</v>
      </c>
      <c r="AD36" s="25" t="s">
        <v>1151</v>
      </c>
      <c r="AE36" s="25" t="s">
        <v>150</v>
      </c>
      <c r="AF36" s="26">
        <v>13511</v>
      </c>
      <c r="AG36" s="32"/>
      <c r="AH36" s="19">
        <f>AF36</f>
        <v>13511</v>
      </c>
      <c r="AI36" s="3"/>
      <c r="AJ36" s="3"/>
      <c r="AK36" s="3"/>
      <c r="AL36" s="15">
        <f t="shared" si="0"/>
        <v>13511</v>
      </c>
      <c r="AM36" s="15">
        <f t="shared" si="2"/>
        <v>13511</v>
      </c>
      <c r="AN36">
        <v>13511</v>
      </c>
      <c r="AO36" s="15">
        <f t="shared" si="1"/>
        <v>0</v>
      </c>
    </row>
    <row r="37" spans="1:41" x14ac:dyDescent="0.25">
      <c r="A37">
        <v>30</v>
      </c>
      <c r="B37" s="10" t="s">
        <v>154</v>
      </c>
      <c r="C37" s="10" t="s">
        <v>1016</v>
      </c>
      <c r="D37" s="3" t="s">
        <v>155</v>
      </c>
      <c r="E37" s="3" t="s">
        <v>156</v>
      </c>
      <c r="F37" s="3" t="s">
        <v>157</v>
      </c>
      <c r="G37" s="3" t="s">
        <v>158</v>
      </c>
      <c r="H37" s="3" t="s">
        <v>14</v>
      </c>
      <c r="I37" s="3" t="s">
        <v>6</v>
      </c>
      <c r="J37" s="3"/>
      <c r="K37" s="3" t="s">
        <v>159</v>
      </c>
      <c r="L37" s="3"/>
      <c r="M37" s="3"/>
      <c r="N37" s="3" t="s">
        <v>22</v>
      </c>
      <c r="O37" s="3"/>
      <c r="P37" s="3"/>
      <c r="Q37" s="4">
        <v>46058</v>
      </c>
      <c r="R37" s="5">
        <v>6877</v>
      </c>
      <c r="S37" s="3">
        <v>89</v>
      </c>
      <c r="T37" s="3"/>
      <c r="U37" s="3">
        <v>0</v>
      </c>
      <c r="V37" s="3" t="s">
        <v>8</v>
      </c>
      <c r="W37" s="5">
        <v>10597.25</v>
      </c>
      <c r="X37" s="3">
        <v>0</v>
      </c>
      <c r="Y37" s="3">
        <v>0</v>
      </c>
      <c r="Z37" s="3">
        <v>0</v>
      </c>
      <c r="AA37" s="3">
        <v>0</v>
      </c>
      <c r="AB37" s="5">
        <v>10597.25</v>
      </c>
      <c r="AD37" s="25" t="s">
        <v>1154</v>
      </c>
      <c r="AE37" s="25" t="s">
        <v>154</v>
      </c>
      <c r="AF37" s="26">
        <v>3438.5</v>
      </c>
      <c r="AG37" s="33">
        <f>AF37</f>
        <v>3438.5</v>
      </c>
      <c r="AH37" s="18"/>
      <c r="AI37" s="3"/>
      <c r="AJ37" s="3"/>
      <c r="AK37" s="3"/>
      <c r="AL37" s="15">
        <f t="shared" si="0"/>
        <v>3438.5</v>
      </c>
      <c r="AM37" s="15">
        <f t="shared" si="2"/>
        <v>7158.75</v>
      </c>
      <c r="AN37">
        <v>7158.75</v>
      </c>
      <c r="AO37" s="15">
        <f t="shared" si="1"/>
        <v>0</v>
      </c>
    </row>
    <row r="38" spans="1:41" x14ac:dyDescent="0.25">
      <c r="A38">
        <v>31</v>
      </c>
      <c r="B38" s="10" t="s">
        <v>160</v>
      </c>
      <c r="C38" s="10" t="s">
        <v>1017</v>
      </c>
      <c r="D38" s="3" t="s">
        <v>161</v>
      </c>
      <c r="E38" s="3" t="s">
        <v>161</v>
      </c>
      <c r="F38" s="3"/>
      <c r="G38" s="3" t="s">
        <v>162</v>
      </c>
      <c r="H38" s="3" t="s">
        <v>14</v>
      </c>
      <c r="I38" s="3" t="s">
        <v>6</v>
      </c>
      <c r="J38" s="3"/>
      <c r="K38" s="3" t="s">
        <v>163</v>
      </c>
      <c r="L38" s="3"/>
      <c r="M38" s="3"/>
      <c r="N38" s="3"/>
      <c r="O38" s="3"/>
      <c r="P38" s="3"/>
      <c r="Q38" s="4">
        <v>46081</v>
      </c>
      <c r="R38" s="5">
        <v>79.349999999999994</v>
      </c>
      <c r="S38" s="3">
        <v>28</v>
      </c>
      <c r="T38" s="3"/>
      <c r="U38" s="3">
        <v>0</v>
      </c>
      <c r="V38" s="3" t="s">
        <v>8</v>
      </c>
      <c r="W38" s="5">
        <v>1442.1</v>
      </c>
      <c r="X38" s="3">
        <v>0</v>
      </c>
      <c r="Y38" s="3">
        <v>0</v>
      </c>
      <c r="Z38" s="3">
        <v>0</v>
      </c>
      <c r="AA38" s="3">
        <v>0</v>
      </c>
      <c r="AB38" s="5">
        <v>1442.1</v>
      </c>
      <c r="AD38" s="25"/>
      <c r="AE38" s="25"/>
      <c r="AF38" s="25"/>
      <c r="AG38" s="32"/>
      <c r="AH38" s="18"/>
      <c r="AI38" s="3"/>
      <c r="AJ38" s="3"/>
      <c r="AK38" s="3"/>
      <c r="AL38" s="15">
        <f t="shared" si="0"/>
        <v>0</v>
      </c>
      <c r="AM38" s="15">
        <f t="shared" si="2"/>
        <v>1442.1</v>
      </c>
      <c r="AN38" s="15">
        <f>AM38</f>
        <v>1442.1</v>
      </c>
      <c r="AO38" s="15">
        <f t="shared" si="1"/>
        <v>0</v>
      </c>
    </row>
    <row r="39" spans="1:41" x14ac:dyDescent="0.25">
      <c r="A39">
        <v>32</v>
      </c>
      <c r="B39" s="10">
        <v>1128</v>
      </c>
      <c r="C39" s="10"/>
      <c r="D39" s="3" t="s">
        <v>164</v>
      </c>
      <c r="E39" s="3" t="s">
        <v>165</v>
      </c>
      <c r="F39" s="3" t="s">
        <v>166</v>
      </c>
      <c r="G39" s="3" t="s">
        <v>167</v>
      </c>
      <c r="H39" s="3" t="s">
        <v>14</v>
      </c>
      <c r="I39" s="3" t="s">
        <v>168</v>
      </c>
      <c r="J39" s="3" t="s">
        <v>33</v>
      </c>
      <c r="K39" s="3" t="s">
        <v>169</v>
      </c>
      <c r="L39" s="3" t="s">
        <v>170</v>
      </c>
      <c r="M39" s="3"/>
      <c r="N39" s="3"/>
      <c r="O39" s="3"/>
      <c r="P39" s="3"/>
      <c r="Q39" s="4">
        <v>45933</v>
      </c>
      <c r="R39" s="5">
        <v>57221.7</v>
      </c>
      <c r="S39" s="3">
        <v>259</v>
      </c>
      <c r="T39" s="3"/>
      <c r="U39" s="3">
        <v>0</v>
      </c>
      <c r="V39" s="3" t="s">
        <v>8</v>
      </c>
      <c r="W39" s="3">
        <v>0</v>
      </c>
      <c r="X39" s="3">
        <v>0</v>
      </c>
      <c r="Y39" s="3">
        <v>0</v>
      </c>
      <c r="Z39" s="3">
        <v>0</v>
      </c>
      <c r="AA39" s="5">
        <v>87149.85</v>
      </c>
      <c r="AB39" s="5">
        <v>87149.85</v>
      </c>
      <c r="AD39" s="25"/>
      <c r="AE39" s="25"/>
      <c r="AF39" s="25"/>
      <c r="AG39" s="32"/>
      <c r="AH39" s="18"/>
      <c r="AI39" s="3"/>
      <c r="AJ39" s="3"/>
      <c r="AK39" s="5"/>
      <c r="AL39" s="15">
        <f t="shared" si="0"/>
        <v>0</v>
      </c>
      <c r="AM39" s="15">
        <f t="shared" si="2"/>
        <v>87149.85</v>
      </c>
      <c r="AN39" s="15">
        <f t="shared" ref="AN39:AN42" si="4">AM39</f>
        <v>87149.85</v>
      </c>
      <c r="AO39" s="15">
        <f t="shared" si="1"/>
        <v>0</v>
      </c>
    </row>
    <row r="40" spans="1:41" x14ac:dyDescent="0.25">
      <c r="A40">
        <v>33</v>
      </c>
      <c r="B40" s="10" t="s">
        <v>171</v>
      </c>
      <c r="C40" s="10" t="s">
        <v>1018</v>
      </c>
      <c r="D40" s="3" t="s">
        <v>172</v>
      </c>
      <c r="E40" s="3" t="s">
        <v>173</v>
      </c>
      <c r="F40" s="3" t="s">
        <v>174</v>
      </c>
      <c r="G40" s="3" t="s">
        <v>175</v>
      </c>
      <c r="H40" s="3" t="s">
        <v>14</v>
      </c>
      <c r="I40" s="3" t="s">
        <v>6</v>
      </c>
      <c r="J40" s="3" t="s">
        <v>15</v>
      </c>
      <c r="K40" s="3" t="s">
        <v>176</v>
      </c>
      <c r="L40" s="3"/>
      <c r="M40" s="3"/>
      <c r="N40" s="3"/>
      <c r="O40" s="3">
        <v>2059</v>
      </c>
      <c r="P40" s="3"/>
      <c r="Q40" s="4">
        <v>46081</v>
      </c>
      <c r="R40" s="5">
        <v>2005.36</v>
      </c>
      <c r="S40" s="3">
        <v>90</v>
      </c>
      <c r="T40" s="3"/>
      <c r="U40" s="3">
        <v>0</v>
      </c>
      <c r="V40" s="3" t="s">
        <v>8</v>
      </c>
      <c r="W40" s="5">
        <v>2005.36</v>
      </c>
      <c r="X40" s="3">
        <v>0</v>
      </c>
      <c r="Y40" s="3">
        <v>0</v>
      </c>
      <c r="Z40" s="3">
        <v>0</v>
      </c>
      <c r="AA40" s="3">
        <v>0</v>
      </c>
      <c r="AB40" s="5">
        <v>2005.36</v>
      </c>
      <c r="AD40" s="25"/>
      <c r="AE40" s="25"/>
      <c r="AF40" s="25"/>
      <c r="AG40" s="32"/>
      <c r="AH40" s="18"/>
      <c r="AI40" s="3"/>
      <c r="AJ40" s="3"/>
      <c r="AK40" s="3"/>
      <c r="AL40" s="15">
        <f t="shared" si="0"/>
        <v>0</v>
      </c>
      <c r="AM40" s="15">
        <f t="shared" si="2"/>
        <v>2005.36</v>
      </c>
      <c r="AN40" s="15">
        <f t="shared" si="4"/>
        <v>2005.36</v>
      </c>
      <c r="AO40" s="15">
        <f t="shared" si="1"/>
        <v>0</v>
      </c>
    </row>
    <row r="41" spans="1:41" x14ac:dyDescent="0.25">
      <c r="A41">
        <v>34</v>
      </c>
      <c r="B41" s="10" t="s">
        <v>177</v>
      </c>
      <c r="C41" s="10" t="s">
        <v>1019</v>
      </c>
      <c r="D41" s="3" t="s">
        <v>178</v>
      </c>
      <c r="E41" s="3" t="s">
        <v>179</v>
      </c>
      <c r="F41" s="3" t="s">
        <v>180</v>
      </c>
      <c r="G41" s="3" t="s">
        <v>181</v>
      </c>
      <c r="H41" s="3" t="s">
        <v>14</v>
      </c>
      <c r="I41" s="3" t="s">
        <v>6</v>
      </c>
      <c r="J41" s="3" t="s">
        <v>15</v>
      </c>
      <c r="K41" s="3" t="s">
        <v>182</v>
      </c>
      <c r="L41" s="3"/>
      <c r="M41" s="3"/>
      <c r="N41" s="3"/>
      <c r="O41" s="3">
        <v>2051</v>
      </c>
      <c r="P41" s="3"/>
      <c r="Q41" s="4">
        <v>46081</v>
      </c>
      <c r="R41" s="5">
        <v>6204.14</v>
      </c>
      <c r="S41" s="3">
        <v>140</v>
      </c>
      <c r="T41" s="3"/>
      <c r="U41" s="3">
        <v>0</v>
      </c>
      <c r="V41" s="3" t="s">
        <v>8</v>
      </c>
      <c r="W41" s="5">
        <v>6204.14</v>
      </c>
      <c r="X41" s="3">
        <v>0</v>
      </c>
      <c r="Y41" s="3">
        <v>0.01</v>
      </c>
      <c r="Z41" s="3">
        <v>0</v>
      </c>
      <c r="AA41" s="5">
        <v>-0.01</v>
      </c>
      <c r="AB41" s="5">
        <v>6204.14</v>
      </c>
      <c r="AD41" s="25"/>
      <c r="AE41" s="25"/>
      <c r="AF41" s="25"/>
      <c r="AG41" s="32"/>
      <c r="AH41" s="18"/>
      <c r="AI41" s="3"/>
      <c r="AJ41" s="3"/>
      <c r="AK41" s="5"/>
      <c r="AL41" s="15">
        <f t="shared" si="0"/>
        <v>0</v>
      </c>
      <c r="AM41" s="15">
        <f t="shared" si="2"/>
        <v>6204.14</v>
      </c>
      <c r="AN41" s="15">
        <f>AM41</f>
        <v>6204.14</v>
      </c>
      <c r="AO41" s="15">
        <f t="shared" si="1"/>
        <v>0</v>
      </c>
    </row>
    <row r="42" spans="1:41" x14ac:dyDescent="0.25">
      <c r="A42">
        <v>35</v>
      </c>
      <c r="B42" s="10">
        <v>1148</v>
      </c>
      <c r="C42" s="10"/>
      <c r="D42" s="3" t="s">
        <v>183</v>
      </c>
      <c r="E42" s="3" t="s">
        <v>183</v>
      </c>
      <c r="F42" s="3"/>
      <c r="G42" s="3" t="s">
        <v>184</v>
      </c>
      <c r="H42" s="3" t="s">
        <v>14</v>
      </c>
      <c r="I42" s="3" t="s">
        <v>6</v>
      </c>
      <c r="J42" s="3"/>
      <c r="K42" s="3" t="s">
        <v>185</v>
      </c>
      <c r="L42" s="3"/>
      <c r="M42" s="3"/>
      <c r="N42" s="3" t="s">
        <v>22</v>
      </c>
      <c r="O42" s="3"/>
      <c r="P42" s="3"/>
      <c r="Q42" s="4">
        <v>45971</v>
      </c>
      <c r="R42" s="5">
        <v>1984.74</v>
      </c>
      <c r="S42" s="3">
        <v>43</v>
      </c>
      <c r="T42" s="3"/>
      <c r="U42" s="3">
        <v>0</v>
      </c>
      <c r="V42" s="3" t="s">
        <v>8</v>
      </c>
      <c r="W42" s="5">
        <v>661.18</v>
      </c>
      <c r="X42" s="5">
        <v>660.38</v>
      </c>
      <c r="Y42" s="3">
        <v>0</v>
      </c>
      <c r="Z42" s="3">
        <v>0</v>
      </c>
      <c r="AA42" s="3">
        <v>0</v>
      </c>
      <c r="AB42" s="5">
        <v>1321.56</v>
      </c>
      <c r="AD42" s="25"/>
      <c r="AE42" s="25"/>
      <c r="AF42" s="25"/>
      <c r="AG42" s="32"/>
      <c r="AH42" s="19"/>
      <c r="AI42" s="3"/>
      <c r="AJ42" s="3"/>
      <c r="AK42" s="3"/>
      <c r="AL42" s="15">
        <f t="shared" si="0"/>
        <v>0</v>
      </c>
      <c r="AM42" s="15">
        <f t="shared" si="2"/>
        <v>1321.56</v>
      </c>
      <c r="AN42" s="15">
        <f t="shared" si="4"/>
        <v>1321.56</v>
      </c>
      <c r="AO42" s="15">
        <f t="shared" si="1"/>
        <v>0</v>
      </c>
    </row>
    <row r="43" spans="1:41" x14ac:dyDescent="0.25">
      <c r="A43">
        <v>36</v>
      </c>
      <c r="B43" s="10" t="s">
        <v>186</v>
      </c>
      <c r="C43" s="10"/>
      <c r="D43" s="3" t="s">
        <v>187</v>
      </c>
      <c r="E43" s="3" t="s">
        <v>188</v>
      </c>
      <c r="F43" s="3" t="s">
        <v>189</v>
      </c>
      <c r="G43" s="3" t="s">
        <v>190</v>
      </c>
      <c r="H43" s="3" t="s">
        <v>14</v>
      </c>
      <c r="I43" s="3" t="s">
        <v>6</v>
      </c>
      <c r="J43" s="3"/>
      <c r="K43" s="3" t="s">
        <v>191</v>
      </c>
      <c r="L43" s="3"/>
      <c r="M43" s="3"/>
      <c r="N43" s="3" t="s">
        <v>22</v>
      </c>
      <c r="O43" s="3"/>
      <c r="P43" s="3"/>
      <c r="Q43" s="4">
        <v>46055</v>
      </c>
      <c r="R43" s="5">
        <v>30925.8</v>
      </c>
      <c r="S43" s="3">
        <v>28</v>
      </c>
      <c r="T43" s="3"/>
      <c r="U43" s="3">
        <v>0</v>
      </c>
      <c r="V43" s="3" t="s">
        <v>8</v>
      </c>
      <c r="W43" s="5">
        <v>1017.75</v>
      </c>
      <c r="X43" s="16">
        <v>1293.75</v>
      </c>
      <c r="Y43" s="3">
        <v>0</v>
      </c>
      <c r="Z43" s="3">
        <v>0</v>
      </c>
      <c r="AA43" s="3">
        <v>0</v>
      </c>
      <c r="AB43" s="5">
        <v>2311.5</v>
      </c>
      <c r="AD43" s="25" t="s">
        <v>1147</v>
      </c>
      <c r="AE43" s="25" t="s">
        <v>1160</v>
      </c>
      <c r="AF43" s="26">
        <v>1293.75</v>
      </c>
      <c r="AG43" s="32"/>
      <c r="AH43" s="20">
        <f>AF43</f>
        <v>1293.75</v>
      </c>
      <c r="AI43" s="3"/>
      <c r="AJ43" s="3"/>
      <c r="AK43" s="3"/>
      <c r="AL43" s="15">
        <f t="shared" si="0"/>
        <v>1293.75</v>
      </c>
      <c r="AM43" s="15">
        <f t="shared" si="2"/>
        <v>1017.75</v>
      </c>
      <c r="AN43">
        <v>1017.75</v>
      </c>
      <c r="AO43" s="15">
        <f t="shared" si="1"/>
        <v>0</v>
      </c>
    </row>
    <row r="44" spans="1:41" x14ac:dyDescent="0.25">
      <c r="A44">
        <v>37</v>
      </c>
      <c r="B44" s="10" t="s">
        <v>192</v>
      </c>
      <c r="C44" s="10" t="s">
        <v>1020</v>
      </c>
      <c r="D44" s="3" t="s">
        <v>193</v>
      </c>
      <c r="E44" s="3" t="s">
        <v>194</v>
      </c>
      <c r="F44" s="3"/>
      <c r="G44" s="3" t="s">
        <v>195</v>
      </c>
      <c r="H44" s="3" t="s">
        <v>14</v>
      </c>
      <c r="I44" s="3" t="s">
        <v>6</v>
      </c>
      <c r="J44" s="3"/>
      <c r="K44" s="3" t="s">
        <v>196</v>
      </c>
      <c r="L44" s="3"/>
      <c r="M44" s="3"/>
      <c r="N44" s="3" t="s">
        <v>22</v>
      </c>
      <c r="O44" s="3"/>
      <c r="P44" s="3"/>
      <c r="Q44" s="4">
        <v>46081</v>
      </c>
      <c r="R44" s="5">
        <v>6944.85</v>
      </c>
      <c r="S44" s="3">
        <v>293</v>
      </c>
      <c r="T44" s="3"/>
      <c r="U44" s="3">
        <v>0</v>
      </c>
      <c r="V44" s="3" t="s">
        <v>8</v>
      </c>
      <c r="W44" s="5">
        <v>6944.85</v>
      </c>
      <c r="X44" s="3">
        <v>0</v>
      </c>
      <c r="Y44" s="3">
        <v>0</v>
      </c>
      <c r="Z44" s="3">
        <v>0</v>
      </c>
      <c r="AA44" s="3">
        <v>0</v>
      </c>
      <c r="AB44" s="5">
        <v>6944.85</v>
      </c>
      <c r="AD44" s="25"/>
      <c r="AE44" s="25"/>
      <c r="AF44" s="25"/>
      <c r="AG44" s="32"/>
      <c r="AH44" s="18"/>
      <c r="AI44" s="3"/>
      <c r="AJ44" s="3"/>
      <c r="AK44" s="3"/>
      <c r="AL44" s="15">
        <f t="shared" si="0"/>
        <v>0</v>
      </c>
      <c r="AM44" s="15">
        <f t="shared" si="2"/>
        <v>6944.85</v>
      </c>
      <c r="AN44" s="15">
        <f>AM44</f>
        <v>6944.85</v>
      </c>
      <c r="AO44" s="15">
        <f t="shared" si="1"/>
        <v>0</v>
      </c>
    </row>
    <row r="45" spans="1:41" x14ac:dyDescent="0.25">
      <c r="A45">
        <v>38</v>
      </c>
      <c r="B45" s="10" t="s">
        <v>197</v>
      </c>
      <c r="C45" s="10" t="s">
        <v>1021</v>
      </c>
      <c r="D45" s="3" t="s">
        <v>198</v>
      </c>
      <c r="E45" s="3" t="s">
        <v>199</v>
      </c>
      <c r="F45" s="6" t="s">
        <v>200</v>
      </c>
      <c r="G45" s="3" t="s">
        <v>201</v>
      </c>
      <c r="H45" s="3" t="s">
        <v>14</v>
      </c>
      <c r="I45" s="3" t="s">
        <v>6</v>
      </c>
      <c r="J45" s="3" t="s">
        <v>33</v>
      </c>
      <c r="K45" s="3" t="s">
        <v>202</v>
      </c>
      <c r="L45" s="3"/>
      <c r="M45" s="3"/>
      <c r="N45" s="3" t="s">
        <v>22</v>
      </c>
      <c r="O45" s="3"/>
      <c r="P45" s="3"/>
      <c r="Q45" s="4">
        <v>46081</v>
      </c>
      <c r="R45" s="5">
        <v>635.95000000000005</v>
      </c>
      <c r="S45" s="3">
        <v>48</v>
      </c>
      <c r="T45" s="3"/>
      <c r="U45" s="3">
        <v>0</v>
      </c>
      <c r="V45" s="3" t="s">
        <v>8</v>
      </c>
      <c r="W45" s="5">
        <v>635.95000000000005</v>
      </c>
      <c r="X45" s="3">
        <v>0</v>
      </c>
      <c r="Y45" s="3">
        <v>0</v>
      </c>
      <c r="Z45" s="3">
        <v>0</v>
      </c>
      <c r="AA45" s="3">
        <v>0</v>
      </c>
      <c r="AB45" s="5">
        <v>635.95000000000005</v>
      </c>
      <c r="AD45" s="25"/>
      <c r="AE45" s="25"/>
      <c r="AF45" s="25"/>
      <c r="AG45" s="32"/>
      <c r="AH45" s="18"/>
      <c r="AI45" s="3"/>
      <c r="AJ45" s="3"/>
      <c r="AK45" s="3"/>
      <c r="AL45" s="15">
        <f t="shared" si="0"/>
        <v>0</v>
      </c>
      <c r="AM45" s="15">
        <f t="shared" si="2"/>
        <v>635.95000000000005</v>
      </c>
      <c r="AN45" s="15">
        <f t="shared" ref="AN45" si="5">AM45</f>
        <v>635.95000000000005</v>
      </c>
      <c r="AO45" s="15">
        <f t="shared" si="1"/>
        <v>0</v>
      </c>
    </row>
    <row r="46" spans="1:41" x14ac:dyDescent="0.25">
      <c r="A46">
        <v>39</v>
      </c>
      <c r="B46" s="10" t="s">
        <v>203</v>
      </c>
      <c r="C46" s="10" t="s">
        <v>1022</v>
      </c>
      <c r="D46" s="3" t="s">
        <v>204</v>
      </c>
      <c r="E46" s="3" t="s">
        <v>30</v>
      </c>
      <c r="F46" s="3" t="s">
        <v>205</v>
      </c>
      <c r="G46" s="3" t="s">
        <v>206</v>
      </c>
      <c r="H46" s="3" t="s">
        <v>14</v>
      </c>
      <c r="I46" s="3" t="s">
        <v>6</v>
      </c>
      <c r="J46" s="3" t="s">
        <v>33</v>
      </c>
      <c r="K46" s="3" t="s">
        <v>207</v>
      </c>
      <c r="L46" s="3"/>
      <c r="M46" s="3"/>
      <c r="N46" s="3" t="s">
        <v>22</v>
      </c>
      <c r="O46" s="3"/>
      <c r="P46" s="3"/>
      <c r="Q46" s="4">
        <v>46080</v>
      </c>
      <c r="R46" s="5">
        <v>207361.1</v>
      </c>
      <c r="S46" s="3">
        <v>1653</v>
      </c>
      <c r="T46" s="3"/>
      <c r="U46" s="3">
        <v>0</v>
      </c>
      <c r="V46" s="3" t="s">
        <v>8</v>
      </c>
      <c r="W46" s="5">
        <v>66835.7</v>
      </c>
      <c r="X46" s="3">
        <v>213871.25</v>
      </c>
      <c r="Y46" s="3">
        <v>155649.04999999999</v>
      </c>
      <c r="Z46" s="46">
        <v>0</v>
      </c>
      <c r="AA46" s="3">
        <v>0</v>
      </c>
      <c r="AB46" s="5">
        <f>SUM(W46:AA46)</f>
        <v>436356</v>
      </c>
      <c r="AD46" s="25"/>
      <c r="AE46" s="25"/>
      <c r="AF46" s="25"/>
      <c r="AG46" s="32"/>
      <c r="AH46" s="19"/>
      <c r="AI46" s="3"/>
      <c r="AJ46" s="3"/>
      <c r="AK46" s="3"/>
      <c r="AL46" s="15">
        <f t="shared" si="0"/>
        <v>0</v>
      </c>
      <c r="AM46" s="15">
        <f t="shared" si="2"/>
        <v>436356</v>
      </c>
      <c r="AN46" s="15">
        <v>436356</v>
      </c>
      <c r="AO46" s="15">
        <f t="shared" si="1"/>
        <v>0</v>
      </c>
    </row>
    <row r="47" spans="1:41" x14ac:dyDescent="0.25">
      <c r="A47">
        <v>40</v>
      </c>
      <c r="B47" s="10" t="s">
        <v>208</v>
      </c>
      <c r="C47" s="10" t="s">
        <v>1023</v>
      </c>
      <c r="D47" s="3" t="s">
        <v>209</v>
      </c>
      <c r="E47" s="3" t="s">
        <v>210</v>
      </c>
      <c r="F47" s="3" t="s">
        <v>211</v>
      </c>
      <c r="G47" s="3" t="s">
        <v>212</v>
      </c>
      <c r="H47" s="3" t="s">
        <v>14</v>
      </c>
      <c r="I47" s="3" t="s">
        <v>6</v>
      </c>
      <c r="J47" s="3" t="s">
        <v>33</v>
      </c>
      <c r="K47" s="3" t="s">
        <v>213</v>
      </c>
      <c r="L47" s="3"/>
      <c r="M47" s="3"/>
      <c r="N47" s="3"/>
      <c r="O47" s="3">
        <v>7551</v>
      </c>
      <c r="P47" s="3"/>
      <c r="Q47" s="4">
        <v>46062</v>
      </c>
      <c r="R47" s="5">
        <v>99830.79</v>
      </c>
      <c r="S47" s="3">
        <v>176</v>
      </c>
      <c r="T47" s="3"/>
      <c r="U47" s="3">
        <v>0</v>
      </c>
      <c r="V47" s="3" t="s">
        <v>8</v>
      </c>
      <c r="W47" s="5">
        <v>151835.09</v>
      </c>
      <c r="X47" s="5">
        <v>134623.64000000001</v>
      </c>
      <c r="Y47" s="3">
        <v>0</v>
      </c>
      <c r="Z47" s="5">
        <v>4.5</v>
      </c>
      <c r="AA47" s="5">
        <v>1214.4000000000001</v>
      </c>
      <c r="AB47" s="5">
        <v>287677.63</v>
      </c>
      <c r="AD47" s="25" t="s">
        <v>1183</v>
      </c>
      <c r="AE47" s="25" t="s">
        <v>1194</v>
      </c>
      <c r="AF47" s="58">
        <v>134623.64000000001</v>
      </c>
      <c r="AG47" s="32"/>
      <c r="AH47" s="19">
        <f>AF47</f>
        <v>134623.64000000001</v>
      </c>
      <c r="AI47" s="3"/>
      <c r="AJ47" s="5"/>
      <c r="AK47" s="5"/>
      <c r="AL47" s="15">
        <f t="shared" si="0"/>
        <v>134623.64000000001</v>
      </c>
      <c r="AM47" s="15">
        <f t="shared" si="2"/>
        <v>153053.99</v>
      </c>
      <c r="AN47">
        <v>153053.99</v>
      </c>
      <c r="AO47" s="15">
        <f t="shared" si="1"/>
        <v>0</v>
      </c>
    </row>
    <row r="48" spans="1:41" x14ac:dyDescent="0.25">
      <c r="A48">
        <v>41</v>
      </c>
      <c r="B48" s="10" t="s">
        <v>214</v>
      </c>
      <c r="C48" s="10" t="s">
        <v>1024</v>
      </c>
      <c r="D48" s="3" t="s">
        <v>215</v>
      </c>
      <c r="E48" s="3" t="s">
        <v>215</v>
      </c>
      <c r="F48" s="3"/>
      <c r="G48" s="3" t="s">
        <v>216</v>
      </c>
      <c r="H48" s="3" t="s">
        <v>14</v>
      </c>
      <c r="I48" s="3" t="s">
        <v>6</v>
      </c>
      <c r="J48" s="3" t="s">
        <v>15</v>
      </c>
      <c r="K48" s="3" t="s">
        <v>217</v>
      </c>
      <c r="L48" s="3"/>
      <c r="M48" s="3"/>
      <c r="N48" s="3" t="s">
        <v>22</v>
      </c>
      <c r="O48" s="3"/>
      <c r="P48" s="3"/>
      <c r="Q48" s="4">
        <v>46081</v>
      </c>
      <c r="R48" s="5">
        <v>1069.79</v>
      </c>
      <c r="S48" s="3">
        <v>52</v>
      </c>
      <c r="T48" s="3"/>
      <c r="U48" s="3">
        <v>0</v>
      </c>
      <c r="V48" s="3" t="s">
        <v>8</v>
      </c>
      <c r="W48" s="5">
        <v>1069.79</v>
      </c>
      <c r="X48" s="3">
        <v>0</v>
      </c>
      <c r="Y48" s="3">
        <v>0</v>
      </c>
      <c r="Z48" s="3">
        <v>0</v>
      </c>
      <c r="AA48" s="3">
        <v>0</v>
      </c>
      <c r="AB48" s="5">
        <v>1069.79</v>
      </c>
      <c r="AD48" s="25"/>
      <c r="AE48" s="25"/>
      <c r="AF48" s="25"/>
      <c r="AG48" s="32"/>
      <c r="AH48" s="18"/>
      <c r="AI48" s="3"/>
      <c r="AJ48" s="3"/>
      <c r="AK48" s="3"/>
      <c r="AL48" s="15">
        <f t="shared" si="0"/>
        <v>0</v>
      </c>
      <c r="AM48" s="15">
        <f t="shared" si="2"/>
        <v>1069.79</v>
      </c>
      <c r="AN48" s="15">
        <f>AM48</f>
        <v>1069.79</v>
      </c>
      <c r="AO48" s="15">
        <f t="shared" si="1"/>
        <v>0</v>
      </c>
    </row>
    <row r="49" spans="1:41" x14ac:dyDescent="0.25">
      <c r="A49">
        <v>42</v>
      </c>
      <c r="B49" s="10" t="s">
        <v>218</v>
      </c>
      <c r="C49" s="10" t="s">
        <v>1025</v>
      </c>
      <c r="D49" s="3" t="s">
        <v>219</v>
      </c>
      <c r="E49" s="3" t="s">
        <v>220</v>
      </c>
      <c r="F49" s="3"/>
      <c r="G49" s="3" t="s">
        <v>221</v>
      </c>
      <c r="H49" s="3" t="s">
        <v>14</v>
      </c>
      <c r="I49" s="3" t="s">
        <v>6</v>
      </c>
      <c r="J49" s="3" t="s">
        <v>33</v>
      </c>
      <c r="K49" s="3" t="s">
        <v>222</v>
      </c>
      <c r="L49" s="3"/>
      <c r="M49" s="3"/>
      <c r="N49" s="3" t="s">
        <v>22</v>
      </c>
      <c r="O49" s="3" t="s">
        <v>223</v>
      </c>
      <c r="P49" s="3"/>
      <c r="Q49" s="4">
        <v>46073</v>
      </c>
      <c r="R49" s="5">
        <v>47606.7</v>
      </c>
      <c r="S49" s="3">
        <v>275</v>
      </c>
      <c r="T49" s="3"/>
      <c r="U49" s="3">
        <v>0</v>
      </c>
      <c r="V49" s="3" t="s">
        <v>8</v>
      </c>
      <c r="W49" s="5">
        <v>65518.91</v>
      </c>
      <c r="X49" s="3">
        <v>0.09</v>
      </c>
      <c r="Y49" s="3">
        <v>0</v>
      </c>
      <c r="Z49" s="3">
        <v>0</v>
      </c>
      <c r="AA49" s="3">
        <v>0</v>
      </c>
      <c r="AB49" s="5">
        <v>65519</v>
      </c>
      <c r="AD49" s="25" t="s">
        <v>1191</v>
      </c>
      <c r="AE49" s="25" t="s">
        <v>1192</v>
      </c>
      <c r="AF49" s="26">
        <v>65519</v>
      </c>
      <c r="AG49" s="33">
        <f>AF49</f>
        <v>65519</v>
      </c>
      <c r="AH49" s="18"/>
      <c r="AI49" s="3"/>
      <c r="AJ49" s="3"/>
      <c r="AK49" s="3"/>
      <c r="AL49" s="15">
        <f t="shared" si="0"/>
        <v>65519</v>
      </c>
      <c r="AM49" s="15">
        <f t="shared" si="2"/>
        <v>0</v>
      </c>
      <c r="AN49">
        <v>0</v>
      </c>
      <c r="AO49" s="15">
        <f t="shared" si="1"/>
        <v>0</v>
      </c>
    </row>
    <row r="50" spans="1:41" x14ac:dyDescent="0.25">
      <c r="A50">
        <v>43</v>
      </c>
      <c r="B50" s="10">
        <v>2272</v>
      </c>
      <c r="C50" s="10" t="s">
        <v>1027</v>
      </c>
      <c r="D50" s="3" t="s">
        <v>224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>
        <v>0</v>
      </c>
      <c r="S50" s="3">
        <v>31</v>
      </c>
      <c r="T50" s="3"/>
      <c r="U50" s="3">
        <v>0</v>
      </c>
      <c r="V50" s="3" t="s">
        <v>8</v>
      </c>
      <c r="W50" s="5">
        <v>8484.7000000000007</v>
      </c>
      <c r="X50" s="3">
        <v>0</v>
      </c>
      <c r="Y50" s="3">
        <v>0</v>
      </c>
      <c r="Z50" s="3">
        <v>0</v>
      </c>
      <c r="AA50" s="3">
        <v>0</v>
      </c>
      <c r="AB50" s="5">
        <v>8484.7000000000007</v>
      </c>
      <c r="AD50" s="25"/>
      <c r="AE50" s="25"/>
      <c r="AF50" s="25"/>
      <c r="AG50" s="32"/>
      <c r="AH50" s="18"/>
      <c r="AI50" s="3"/>
      <c r="AJ50" s="3"/>
      <c r="AK50" s="3"/>
      <c r="AL50" s="15">
        <f t="shared" si="0"/>
        <v>0</v>
      </c>
      <c r="AM50" s="15">
        <f t="shared" si="2"/>
        <v>8484.7000000000007</v>
      </c>
      <c r="AN50" s="15">
        <v>8484.7000000000007</v>
      </c>
      <c r="AO50" s="15">
        <f t="shared" si="1"/>
        <v>0</v>
      </c>
    </row>
    <row r="51" spans="1:41" x14ac:dyDescent="0.25">
      <c r="A51">
        <v>44</v>
      </c>
      <c r="B51" s="10" t="s">
        <v>225</v>
      </c>
      <c r="C51" s="10" t="s">
        <v>1026</v>
      </c>
      <c r="D51" s="3" t="s">
        <v>226</v>
      </c>
      <c r="E51" s="3" t="s">
        <v>227</v>
      </c>
      <c r="F51" s="3" t="s">
        <v>228</v>
      </c>
      <c r="G51" s="3" t="s">
        <v>229</v>
      </c>
      <c r="H51" s="3" t="s">
        <v>14</v>
      </c>
      <c r="I51" s="3" t="s">
        <v>6</v>
      </c>
      <c r="J51" s="3" t="s">
        <v>15</v>
      </c>
      <c r="K51" s="3" t="s">
        <v>230</v>
      </c>
      <c r="L51" s="3"/>
      <c r="M51" s="3"/>
      <c r="N51" s="3"/>
      <c r="O51" s="3">
        <v>1685</v>
      </c>
      <c r="P51" s="3"/>
      <c r="Q51" s="4">
        <v>46081</v>
      </c>
      <c r="R51" s="5">
        <v>1303.28</v>
      </c>
      <c r="S51" s="3">
        <v>206</v>
      </c>
      <c r="T51" s="3"/>
      <c r="U51" s="3">
        <v>0</v>
      </c>
      <c r="V51" s="3" t="s">
        <v>8</v>
      </c>
      <c r="W51" s="5">
        <v>1303.28</v>
      </c>
      <c r="X51" s="3">
        <v>0</v>
      </c>
      <c r="Y51" s="3">
        <v>0</v>
      </c>
      <c r="Z51" s="3">
        <v>0</v>
      </c>
      <c r="AA51" s="3">
        <v>0</v>
      </c>
      <c r="AB51" s="5">
        <v>1303.28</v>
      </c>
      <c r="AD51" s="25"/>
      <c r="AE51" s="25"/>
      <c r="AF51" s="25"/>
      <c r="AG51" s="32"/>
      <c r="AH51" s="18"/>
      <c r="AI51" s="3"/>
      <c r="AJ51" s="3"/>
      <c r="AK51" s="3"/>
      <c r="AL51" s="15">
        <f t="shared" si="0"/>
        <v>0</v>
      </c>
      <c r="AM51" s="15">
        <f t="shared" si="2"/>
        <v>1303.28</v>
      </c>
      <c r="AN51" s="15">
        <f>AM51</f>
        <v>1303.28</v>
      </c>
      <c r="AO51" s="15">
        <f t="shared" si="1"/>
        <v>0</v>
      </c>
    </row>
    <row r="52" spans="1:41" x14ac:dyDescent="0.25">
      <c r="A52">
        <v>45</v>
      </c>
      <c r="B52" s="10" t="s">
        <v>231</v>
      </c>
      <c r="C52" s="10"/>
      <c r="D52" s="3" t="s">
        <v>232</v>
      </c>
      <c r="E52" s="3" t="s">
        <v>233</v>
      </c>
      <c r="F52" s="3" t="s">
        <v>234</v>
      </c>
      <c r="G52" s="3" t="s">
        <v>235</v>
      </c>
      <c r="H52" s="3" t="s">
        <v>236</v>
      </c>
      <c r="I52" s="3" t="s">
        <v>6</v>
      </c>
      <c r="J52" s="3"/>
      <c r="K52" s="3" t="s">
        <v>237</v>
      </c>
      <c r="L52" s="3"/>
      <c r="M52" s="3"/>
      <c r="N52" s="3"/>
      <c r="O52" s="3"/>
      <c r="P52" s="3"/>
      <c r="Q52" s="3"/>
      <c r="R52" s="3">
        <v>0</v>
      </c>
      <c r="S52" s="3">
        <v>2901</v>
      </c>
      <c r="T52" s="3"/>
      <c r="U52" s="3">
        <v>0</v>
      </c>
      <c r="V52" s="3" t="s">
        <v>8</v>
      </c>
      <c r="W52" s="3">
        <v>0</v>
      </c>
      <c r="X52" s="3">
        <v>0</v>
      </c>
      <c r="Y52" s="3">
        <v>0</v>
      </c>
      <c r="Z52" s="3">
        <v>0</v>
      </c>
      <c r="AA52" s="5">
        <v>78856.67</v>
      </c>
      <c r="AB52" s="5">
        <v>78856.67</v>
      </c>
      <c r="AD52" s="25"/>
      <c r="AE52" s="25"/>
      <c r="AF52" s="25"/>
      <c r="AG52" s="32"/>
      <c r="AH52" s="18"/>
      <c r="AI52" s="3"/>
      <c r="AJ52" s="3"/>
      <c r="AK52" s="5"/>
      <c r="AL52" s="15">
        <f t="shared" si="0"/>
        <v>0</v>
      </c>
      <c r="AM52" s="15">
        <f t="shared" si="2"/>
        <v>78856.67</v>
      </c>
      <c r="AN52" s="15">
        <v>78856.67</v>
      </c>
      <c r="AO52" s="15">
        <f t="shared" si="1"/>
        <v>0</v>
      </c>
    </row>
    <row r="53" spans="1:41" x14ac:dyDescent="0.25">
      <c r="A53">
        <v>46</v>
      </c>
      <c r="B53" s="10" t="s">
        <v>238</v>
      </c>
      <c r="C53" s="10" t="s">
        <v>1028</v>
      </c>
      <c r="D53" s="3" t="s">
        <v>239</v>
      </c>
      <c r="E53" s="3" t="s">
        <v>240</v>
      </c>
      <c r="F53" s="3" t="s">
        <v>241</v>
      </c>
      <c r="G53" s="3" t="s">
        <v>242</v>
      </c>
      <c r="H53" s="3" t="s">
        <v>14</v>
      </c>
      <c r="I53" s="3" t="s">
        <v>6</v>
      </c>
      <c r="J53" s="3" t="s">
        <v>15</v>
      </c>
      <c r="K53" s="3" t="s">
        <v>243</v>
      </c>
      <c r="L53" s="3"/>
      <c r="M53" s="3"/>
      <c r="N53" s="3"/>
      <c r="O53" s="3">
        <v>1600</v>
      </c>
      <c r="P53" s="3"/>
      <c r="Q53" s="4">
        <v>46081</v>
      </c>
      <c r="R53" s="5">
        <v>1300.3699999999999</v>
      </c>
      <c r="S53" s="3">
        <v>62</v>
      </c>
      <c r="T53" s="3"/>
      <c r="U53" s="3">
        <v>0</v>
      </c>
      <c r="V53" s="3" t="s">
        <v>8</v>
      </c>
      <c r="W53" s="5">
        <v>1300.3699999999999</v>
      </c>
      <c r="X53" s="3">
        <v>0</v>
      </c>
      <c r="Y53" s="3">
        <v>0</v>
      </c>
      <c r="Z53" s="3">
        <v>0</v>
      </c>
      <c r="AA53" s="3">
        <v>0</v>
      </c>
      <c r="AB53" s="5">
        <v>1300.3699999999999</v>
      </c>
      <c r="AD53" s="25"/>
      <c r="AE53" s="25"/>
      <c r="AF53" s="25"/>
      <c r="AG53" s="32"/>
      <c r="AH53" s="18"/>
      <c r="AI53" s="3"/>
      <c r="AJ53" s="3"/>
      <c r="AK53" s="3"/>
      <c r="AL53" s="15">
        <f t="shared" si="0"/>
        <v>0</v>
      </c>
      <c r="AM53" s="15">
        <f t="shared" si="2"/>
        <v>1300.3699999999999</v>
      </c>
      <c r="AN53" s="15">
        <f>AM53</f>
        <v>1300.3699999999999</v>
      </c>
      <c r="AO53" s="15">
        <f t="shared" si="1"/>
        <v>0</v>
      </c>
    </row>
    <row r="54" spans="1:41" x14ac:dyDescent="0.25">
      <c r="A54">
        <v>47</v>
      </c>
      <c r="B54" s="10" t="s">
        <v>244</v>
      </c>
      <c r="C54" s="10"/>
      <c r="D54" s="3" t="s">
        <v>245</v>
      </c>
      <c r="E54" s="3" t="s">
        <v>246</v>
      </c>
      <c r="F54" s="3" t="s">
        <v>247</v>
      </c>
      <c r="G54" s="3" t="s">
        <v>248</v>
      </c>
      <c r="H54" s="3" t="s">
        <v>249</v>
      </c>
      <c r="I54" s="3" t="s">
        <v>6</v>
      </c>
      <c r="J54" s="3" t="s">
        <v>15</v>
      </c>
      <c r="K54" s="3" t="s">
        <v>250</v>
      </c>
      <c r="L54" s="3"/>
      <c r="M54" s="3"/>
      <c r="N54" s="3"/>
      <c r="O54" s="3">
        <v>2310</v>
      </c>
      <c r="P54" s="3"/>
      <c r="Q54" s="4">
        <v>43645</v>
      </c>
      <c r="R54" s="5">
        <v>8618.0400000000009</v>
      </c>
      <c r="S54" s="3">
        <v>282</v>
      </c>
      <c r="T54" s="3"/>
      <c r="U54" s="3">
        <v>0</v>
      </c>
      <c r="V54" s="3" t="s">
        <v>8</v>
      </c>
      <c r="W54" s="3">
        <v>0</v>
      </c>
      <c r="X54" s="3">
        <v>0</v>
      </c>
      <c r="Y54" s="3">
        <v>0</v>
      </c>
      <c r="Z54" s="3">
        <v>0</v>
      </c>
      <c r="AA54" s="3">
        <v>0.01</v>
      </c>
      <c r="AB54" s="3">
        <v>0.01</v>
      </c>
      <c r="AD54" s="25"/>
      <c r="AE54" s="25"/>
      <c r="AF54" s="25"/>
      <c r="AG54" s="32"/>
      <c r="AH54" s="18"/>
      <c r="AI54" s="3"/>
      <c r="AJ54" s="3"/>
      <c r="AK54" s="3"/>
      <c r="AL54" s="15">
        <f t="shared" si="0"/>
        <v>0</v>
      </c>
      <c r="AM54" s="15">
        <f t="shared" si="2"/>
        <v>0.01</v>
      </c>
      <c r="AN54" s="15">
        <f>AM54</f>
        <v>0.01</v>
      </c>
      <c r="AO54" s="15">
        <f t="shared" si="1"/>
        <v>0</v>
      </c>
    </row>
    <row r="55" spans="1:41" x14ac:dyDescent="0.25">
      <c r="A55">
        <v>48</v>
      </c>
      <c r="B55" s="10" t="s">
        <v>251</v>
      </c>
      <c r="C55" s="10" t="s">
        <v>1137</v>
      </c>
      <c r="D55" s="3" t="s">
        <v>252</v>
      </c>
      <c r="E55" s="3" t="s">
        <v>253</v>
      </c>
      <c r="F55" s="3" t="s">
        <v>254</v>
      </c>
      <c r="G55" s="3" t="s">
        <v>201</v>
      </c>
      <c r="H55" s="3" t="s">
        <v>14</v>
      </c>
      <c r="I55" s="3" t="s">
        <v>6</v>
      </c>
      <c r="J55" s="3" t="s">
        <v>33</v>
      </c>
      <c r="K55" s="3" t="s">
        <v>255</v>
      </c>
      <c r="L55" s="3"/>
      <c r="M55" s="3"/>
      <c r="N55" s="3"/>
      <c r="O55" s="3">
        <v>2037</v>
      </c>
      <c r="P55" s="3"/>
      <c r="Q55" s="4">
        <v>46080</v>
      </c>
      <c r="R55" s="5">
        <v>2255.15</v>
      </c>
      <c r="S55" s="3">
        <v>226</v>
      </c>
      <c r="T55" s="3"/>
      <c r="U55" s="3">
        <v>0</v>
      </c>
      <c r="V55" s="3" t="s">
        <v>8</v>
      </c>
      <c r="W55" s="5">
        <v>1785.95</v>
      </c>
      <c r="X55" s="3">
        <v>0</v>
      </c>
      <c r="Y55" s="3">
        <v>0</v>
      </c>
      <c r="Z55" s="3">
        <v>0</v>
      </c>
      <c r="AA55" s="3">
        <v>0</v>
      </c>
      <c r="AB55" s="5">
        <v>1785.95</v>
      </c>
      <c r="AD55" s="25"/>
      <c r="AE55" s="25"/>
      <c r="AF55" s="25"/>
      <c r="AG55" s="32"/>
      <c r="AH55" s="18"/>
      <c r="AI55" s="3"/>
      <c r="AJ55" s="3"/>
      <c r="AK55" s="3"/>
      <c r="AL55" s="15">
        <f t="shared" si="0"/>
        <v>0</v>
      </c>
      <c r="AM55" s="15">
        <f t="shared" si="2"/>
        <v>1785.95</v>
      </c>
      <c r="AN55" s="15">
        <f>AM55</f>
        <v>1785.95</v>
      </c>
      <c r="AO55" s="15">
        <f t="shared" si="1"/>
        <v>0</v>
      </c>
    </row>
    <row r="56" spans="1:41" x14ac:dyDescent="0.25">
      <c r="A56">
        <v>49</v>
      </c>
      <c r="B56" s="10" t="s">
        <v>256</v>
      </c>
      <c r="C56" s="10" t="s">
        <v>1029</v>
      </c>
      <c r="D56" s="3" t="s">
        <v>257</v>
      </c>
      <c r="E56" s="3" t="s">
        <v>258</v>
      </c>
      <c r="F56" s="3" t="s">
        <v>259</v>
      </c>
      <c r="G56" s="3" t="s">
        <v>260</v>
      </c>
      <c r="H56" s="3" t="s">
        <v>14</v>
      </c>
      <c r="I56" s="3" t="s">
        <v>6</v>
      </c>
      <c r="J56" s="3"/>
      <c r="K56" s="3" t="s">
        <v>261</v>
      </c>
      <c r="L56" s="3"/>
      <c r="M56" s="3"/>
      <c r="N56" s="3"/>
      <c r="O56" s="3">
        <v>1630</v>
      </c>
      <c r="P56" s="3"/>
      <c r="Q56" s="4">
        <v>46064</v>
      </c>
      <c r="R56" s="5">
        <v>1320.2</v>
      </c>
      <c r="S56" s="3">
        <v>818</v>
      </c>
      <c r="T56" s="3"/>
      <c r="U56" s="3">
        <v>0</v>
      </c>
      <c r="V56" s="3" t="s">
        <v>8</v>
      </c>
      <c r="W56" s="5">
        <v>182005.46</v>
      </c>
      <c r="X56" s="5">
        <v>168267.56</v>
      </c>
      <c r="Y56" s="3">
        <v>0</v>
      </c>
      <c r="Z56" s="3">
        <v>0</v>
      </c>
      <c r="AA56" s="3">
        <v>0</v>
      </c>
      <c r="AB56" s="5">
        <v>350273.02</v>
      </c>
      <c r="AD56" s="25" t="s">
        <v>1154</v>
      </c>
      <c r="AE56" s="25" t="s">
        <v>1195</v>
      </c>
      <c r="AF56" s="58">
        <v>168267.56</v>
      </c>
      <c r="AH56" s="26">
        <f>AF56</f>
        <v>168267.56</v>
      </c>
      <c r="AI56" s="3"/>
      <c r="AJ56" s="3"/>
      <c r="AK56" s="3"/>
      <c r="AL56" s="15">
        <f t="shared" si="0"/>
        <v>168267.56</v>
      </c>
      <c r="AM56" s="15">
        <f t="shared" si="2"/>
        <v>182005.46000000002</v>
      </c>
      <c r="AN56">
        <v>182005.46</v>
      </c>
      <c r="AO56" s="15">
        <f t="shared" si="1"/>
        <v>0</v>
      </c>
    </row>
    <row r="57" spans="1:41" x14ac:dyDescent="0.25">
      <c r="A57">
        <v>50</v>
      </c>
      <c r="B57" s="10" t="s">
        <v>262</v>
      </c>
      <c r="C57" s="10" t="s">
        <v>1030</v>
      </c>
      <c r="D57" s="3" t="s">
        <v>263</v>
      </c>
      <c r="E57" s="3" t="s">
        <v>264</v>
      </c>
      <c r="F57" s="3" t="s">
        <v>265</v>
      </c>
      <c r="G57" s="3" t="s">
        <v>266</v>
      </c>
      <c r="H57" s="3" t="s">
        <v>14</v>
      </c>
      <c r="I57" s="3" t="s">
        <v>6</v>
      </c>
      <c r="J57" s="3" t="s">
        <v>15</v>
      </c>
      <c r="K57" s="3" t="s">
        <v>267</v>
      </c>
      <c r="L57" s="3"/>
      <c r="M57" s="3"/>
      <c r="N57" s="3" t="s">
        <v>22</v>
      </c>
      <c r="O57" s="3"/>
      <c r="P57" s="3"/>
      <c r="Q57" s="4">
        <v>46081</v>
      </c>
      <c r="R57" s="5">
        <v>10832.23</v>
      </c>
      <c r="S57" s="3">
        <v>202</v>
      </c>
      <c r="T57" s="3"/>
      <c r="U57" s="3">
        <v>0</v>
      </c>
      <c r="V57" s="3" t="s">
        <v>8</v>
      </c>
      <c r="W57" s="5">
        <v>10832.23</v>
      </c>
      <c r="X57" s="3">
        <v>0</v>
      </c>
      <c r="Y57" s="3">
        <v>0</v>
      </c>
      <c r="Z57" s="3">
        <v>0</v>
      </c>
      <c r="AA57" s="3">
        <v>0</v>
      </c>
      <c r="AB57" s="5">
        <v>10832.23</v>
      </c>
      <c r="AD57" s="25"/>
      <c r="AE57" s="25"/>
      <c r="AF57" s="25"/>
      <c r="AG57" s="32"/>
      <c r="AH57" s="18"/>
      <c r="AI57" s="3"/>
      <c r="AJ57" s="3"/>
      <c r="AK57" s="3"/>
      <c r="AL57" s="15">
        <f t="shared" si="0"/>
        <v>0</v>
      </c>
      <c r="AM57" s="15">
        <f t="shared" si="2"/>
        <v>10832.23</v>
      </c>
      <c r="AN57" s="15">
        <f>AM57</f>
        <v>10832.23</v>
      </c>
      <c r="AO57" s="15">
        <f t="shared" si="1"/>
        <v>0</v>
      </c>
    </row>
    <row r="58" spans="1:41" x14ac:dyDescent="0.25">
      <c r="A58">
        <v>51</v>
      </c>
      <c r="B58" s="10" t="s">
        <v>268</v>
      </c>
      <c r="C58" s="10"/>
      <c r="D58" s="3" t="s">
        <v>269</v>
      </c>
      <c r="E58" s="3" t="s">
        <v>270</v>
      </c>
      <c r="F58" s="3" t="s">
        <v>271</v>
      </c>
      <c r="G58" s="3" t="s">
        <v>272</v>
      </c>
      <c r="H58" s="3" t="s">
        <v>14</v>
      </c>
      <c r="I58" s="3" t="s">
        <v>6</v>
      </c>
      <c r="J58" s="3"/>
      <c r="K58" s="3" t="s">
        <v>273</v>
      </c>
      <c r="L58" s="3"/>
      <c r="M58" s="3" t="s">
        <v>69</v>
      </c>
      <c r="N58" s="3" t="s">
        <v>22</v>
      </c>
      <c r="O58" s="3"/>
      <c r="P58" s="3"/>
      <c r="Q58" s="4">
        <v>46053</v>
      </c>
      <c r="R58" s="5">
        <v>484.15</v>
      </c>
      <c r="S58" s="3">
        <v>62</v>
      </c>
      <c r="T58" s="3"/>
      <c r="U58" s="3">
        <v>0</v>
      </c>
      <c r="V58" s="3" t="s">
        <v>8</v>
      </c>
      <c r="W58" s="3">
        <v>0</v>
      </c>
      <c r="X58" s="5">
        <v>-279.45</v>
      </c>
      <c r="Y58" s="3">
        <v>0</v>
      </c>
      <c r="Z58" s="3">
        <v>0</v>
      </c>
      <c r="AA58" s="3">
        <v>0</v>
      </c>
      <c r="AB58" s="5">
        <v>-279.45</v>
      </c>
      <c r="AD58" s="25"/>
      <c r="AE58" s="25"/>
      <c r="AF58" s="25"/>
      <c r="AG58" s="32"/>
      <c r="AH58" s="19"/>
      <c r="AI58" s="3"/>
      <c r="AJ58" s="3"/>
      <c r="AK58" s="3"/>
      <c r="AL58" s="15">
        <f t="shared" si="0"/>
        <v>0</v>
      </c>
      <c r="AM58" s="15">
        <f t="shared" si="2"/>
        <v>-279.45</v>
      </c>
      <c r="AN58">
        <v>-279.45</v>
      </c>
      <c r="AO58" s="15">
        <f t="shared" si="1"/>
        <v>0</v>
      </c>
    </row>
    <row r="59" spans="1:41" x14ac:dyDescent="0.25">
      <c r="A59">
        <v>52</v>
      </c>
      <c r="B59" s="10" t="s">
        <v>274</v>
      </c>
      <c r="C59" s="10" t="s">
        <v>1031</v>
      </c>
      <c r="D59" s="3" t="s">
        <v>275</v>
      </c>
      <c r="E59" s="3" t="s">
        <v>276</v>
      </c>
      <c r="F59" s="3" t="s">
        <v>277</v>
      </c>
      <c r="G59" s="3" t="s">
        <v>278</v>
      </c>
      <c r="H59" s="3" t="s">
        <v>14</v>
      </c>
      <c r="I59" s="3" t="s">
        <v>6</v>
      </c>
      <c r="J59" s="3" t="s">
        <v>15</v>
      </c>
      <c r="K59" s="3" t="s">
        <v>279</v>
      </c>
      <c r="L59" s="3" t="s">
        <v>76</v>
      </c>
      <c r="M59" s="3" t="s">
        <v>69</v>
      </c>
      <c r="N59" s="3" t="s">
        <v>22</v>
      </c>
      <c r="O59" s="3">
        <v>2123</v>
      </c>
      <c r="P59" s="3"/>
      <c r="Q59" s="4">
        <v>46081</v>
      </c>
      <c r="R59" s="5">
        <v>126.17</v>
      </c>
      <c r="S59" s="3">
        <v>108</v>
      </c>
      <c r="T59" s="3"/>
      <c r="U59" s="3">
        <v>0</v>
      </c>
      <c r="V59" s="3" t="s">
        <v>8</v>
      </c>
      <c r="W59" s="5">
        <v>126.17</v>
      </c>
      <c r="X59" s="3">
        <v>0</v>
      </c>
      <c r="Y59" s="3">
        <v>0</v>
      </c>
      <c r="Z59" s="3">
        <v>0</v>
      </c>
      <c r="AA59" s="3">
        <v>0</v>
      </c>
      <c r="AB59" s="5">
        <v>126.17</v>
      </c>
      <c r="AD59" s="25"/>
      <c r="AE59" s="25"/>
      <c r="AF59" s="25"/>
      <c r="AG59" s="32"/>
      <c r="AH59" s="18"/>
      <c r="AI59" s="3"/>
      <c r="AJ59" s="3"/>
      <c r="AK59" s="3"/>
      <c r="AL59" s="15">
        <f t="shared" si="0"/>
        <v>0</v>
      </c>
      <c r="AM59" s="15">
        <f t="shared" si="2"/>
        <v>126.17</v>
      </c>
      <c r="AN59" s="15">
        <f>AM59</f>
        <v>126.17</v>
      </c>
      <c r="AO59" s="15">
        <f t="shared" si="1"/>
        <v>0</v>
      </c>
    </row>
    <row r="60" spans="1:41" x14ac:dyDescent="0.25">
      <c r="A60">
        <v>53</v>
      </c>
      <c r="B60" s="10" t="s">
        <v>280</v>
      </c>
      <c r="C60" s="10" t="s">
        <v>1032</v>
      </c>
      <c r="D60" s="3" t="s">
        <v>281</v>
      </c>
      <c r="E60" s="3" t="s">
        <v>282</v>
      </c>
      <c r="F60" s="3" t="s">
        <v>283</v>
      </c>
      <c r="G60" s="3" t="s">
        <v>284</v>
      </c>
      <c r="H60" s="3" t="s">
        <v>14</v>
      </c>
      <c r="I60" s="3" t="s">
        <v>6</v>
      </c>
      <c r="J60" s="3" t="s">
        <v>15</v>
      </c>
      <c r="K60" s="3" t="s">
        <v>285</v>
      </c>
      <c r="L60" s="3"/>
      <c r="M60" s="3"/>
      <c r="N60" s="3"/>
      <c r="O60" s="3">
        <v>2192</v>
      </c>
      <c r="P60" s="3"/>
      <c r="Q60" s="4">
        <v>46081</v>
      </c>
      <c r="R60" s="5">
        <v>358.11</v>
      </c>
      <c r="S60" s="3">
        <v>108</v>
      </c>
      <c r="T60" s="3"/>
      <c r="U60" s="3">
        <v>0</v>
      </c>
      <c r="V60" s="3" t="s">
        <v>8</v>
      </c>
      <c r="W60" s="5">
        <v>358.11</v>
      </c>
      <c r="X60" s="3">
        <v>0</v>
      </c>
      <c r="Y60" s="3">
        <v>0</v>
      </c>
      <c r="Z60" s="3">
        <v>0</v>
      </c>
      <c r="AA60" s="3">
        <v>0</v>
      </c>
      <c r="AB60" s="5">
        <v>358.11</v>
      </c>
      <c r="AD60" s="25"/>
      <c r="AE60" s="25"/>
      <c r="AF60" s="25"/>
      <c r="AG60" s="32"/>
      <c r="AH60" s="18"/>
      <c r="AI60" s="3"/>
      <c r="AJ60" s="3"/>
      <c r="AK60" s="3"/>
      <c r="AL60" s="15">
        <f t="shared" si="0"/>
        <v>0</v>
      </c>
      <c r="AM60" s="15">
        <f t="shared" si="2"/>
        <v>358.11</v>
      </c>
      <c r="AN60" s="15">
        <f>AM60</f>
        <v>358.11</v>
      </c>
      <c r="AO60" s="15">
        <f t="shared" si="1"/>
        <v>0</v>
      </c>
    </row>
    <row r="61" spans="1:41" x14ac:dyDescent="0.25">
      <c r="A61">
        <v>54</v>
      </c>
      <c r="B61" s="10" t="s">
        <v>286</v>
      </c>
      <c r="C61" s="10" t="s">
        <v>1034</v>
      </c>
      <c r="D61" s="3" t="s">
        <v>287</v>
      </c>
      <c r="E61" s="3" t="s">
        <v>288</v>
      </c>
      <c r="F61" s="3" t="s">
        <v>289</v>
      </c>
      <c r="G61" s="3" t="s">
        <v>290</v>
      </c>
      <c r="H61" s="3" t="s">
        <v>14</v>
      </c>
      <c r="I61" s="3" t="s">
        <v>6</v>
      </c>
      <c r="J61" s="3" t="s">
        <v>15</v>
      </c>
      <c r="K61" s="3" t="s">
        <v>291</v>
      </c>
      <c r="L61" s="3"/>
      <c r="M61" s="3"/>
      <c r="N61" s="3"/>
      <c r="O61" s="3">
        <v>1504</v>
      </c>
      <c r="P61" s="3"/>
      <c r="Q61" s="4">
        <v>46081</v>
      </c>
      <c r="R61" s="5">
        <v>70687.3</v>
      </c>
      <c r="S61" s="3">
        <v>429</v>
      </c>
      <c r="T61" s="3" t="s">
        <v>292</v>
      </c>
      <c r="U61" s="3">
        <v>0</v>
      </c>
      <c r="V61" s="3" t="s">
        <v>8</v>
      </c>
      <c r="W61" s="5">
        <v>1610</v>
      </c>
      <c r="X61" s="3">
        <v>0</v>
      </c>
      <c r="Y61" s="3">
        <v>0</v>
      </c>
      <c r="Z61" s="3">
        <v>0</v>
      </c>
      <c r="AA61" s="3">
        <v>0</v>
      </c>
      <c r="AB61" s="5">
        <v>1610</v>
      </c>
      <c r="AD61" s="25" t="s">
        <v>1154</v>
      </c>
      <c r="AE61" s="25" t="s">
        <v>1159</v>
      </c>
      <c r="AF61" s="26">
        <v>1207.5</v>
      </c>
      <c r="AG61" s="32"/>
      <c r="AH61" s="19">
        <f>AF61</f>
        <v>1207.5</v>
      </c>
      <c r="AI61" s="3"/>
      <c r="AJ61" s="3"/>
      <c r="AK61" s="3"/>
      <c r="AL61" s="15">
        <f t="shared" si="0"/>
        <v>1207.5</v>
      </c>
      <c r="AM61" s="15">
        <f t="shared" si="2"/>
        <v>402.5</v>
      </c>
      <c r="AN61" s="15">
        <v>402.5</v>
      </c>
      <c r="AO61" s="15">
        <f t="shared" si="1"/>
        <v>0</v>
      </c>
    </row>
    <row r="62" spans="1:41" x14ac:dyDescent="0.25">
      <c r="A62">
        <v>55</v>
      </c>
      <c r="B62" s="10" t="s">
        <v>293</v>
      </c>
      <c r="C62" s="10" t="s">
        <v>1033</v>
      </c>
      <c r="D62" s="3" t="s">
        <v>294</v>
      </c>
      <c r="E62" s="3" t="s">
        <v>295</v>
      </c>
      <c r="F62" s="6" t="s">
        <v>296</v>
      </c>
      <c r="G62" s="3" t="s">
        <v>297</v>
      </c>
      <c r="H62" s="3" t="s">
        <v>14</v>
      </c>
      <c r="I62" s="3" t="s">
        <v>6</v>
      </c>
      <c r="J62" s="3" t="s">
        <v>15</v>
      </c>
      <c r="K62" s="3" t="s">
        <v>298</v>
      </c>
      <c r="L62" s="3"/>
      <c r="M62" s="3"/>
      <c r="N62" s="3" t="s">
        <v>22</v>
      </c>
      <c r="O62" s="3"/>
      <c r="P62" s="3"/>
      <c r="Q62" s="4">
        <v>46052</v>
      </c>
      <c r="R62" s="5">
        <v>2012.5</v>
      </c>
      <c r="S62" s="3">
        <v>32</v>
      </c>
      <c r="T62" s="3"/>
      <c r="U62" s="3">
        <v>0</v>
      </c>
      <c r="V62" s="3" t="s">
        <v>8</v>
      </c>
      <c r="W62" s="5">
        <v>2012.5</v>
      </c>
      <c r="X62" s="3">
        <v>0</v>
      </c>
      <c r="Y62" s="3">
        <v>0</v>
      </c>
      <c r="Z62" s="3">
        <v>0</v>
      </c>
      <c r="AA62" s="3">
        <v>0</v>
      </c>
      <c r="AB62" s="5">
        <v>2012.5</v>
      </c>
      <c r="AD62" s="25"/>
      <c r="AE62" s="25"/>
      <c r="AF62" s="25"/>
      <c r="AG62" s="32"/>
      <c r="AH62" s="18"/>
      <c r="AI62" s="3"/>
      <c r="AJ62" s="3"/>
      <c r="AK62" s="3"/>
      <c r="AL62" s="15">
        <f t="shared" si="0"/>
        <v>0</v>
      </c>
      <c r="AM62" s="15">
        <f t="shared" si="2"/>
        <v>2012.5</v>
      </c>
      <c r="AN62" s="15">
        <f>AM62</f>
        <v>2012.5</v>
      </c>
      <c r="AO62" s="15">
        <f t="shared" si="1"/>
        <v>0</v>
      </c>
    </row>
    <row r="63" spans="1:41" x14ac:dyDescent="0.25">
      <c r="A63">
        <v>56</v>
      </c>
      <c r="B63" s="10" t="s">
        <v>299</v>
      </c>
      <c r="C63" s="10" t="s">
        <v>1035</v>
      </c>
      <c r="D63" s="3" t="s">
        <v>300</v>
      </c>
      <c r="E63" s="3" t="s">
        <v>301</v>
      </c>
      <c r="F63" s="3" t="s">
        <v>302</v>
      </c>
      <c r="G63" s="3" t="s">
        <v>303</v>
      </c>
      <c r="H63" s="3" t="s">
        <v>14</v>
      </c>
      <c r="I63" s="3" t="s">
        <v>6</v>
      </c>
      <c r="J63" s="3" t="s">
        <v>15</v>
      </c>
      <c r="K63" s="3" t="s">
        <v>304</v>
      </c>
      <c r="L63" s="3"/>
      <c r="M63" s="3"/>
      <c r="N63" s="3"/>
      <c r="O63" s="6" t="s">
        <v>305</v>
      </c>
      <c r="P63" s="3"/>
      <c r="Q63" s="4">
        <v>46081</v>
      </c>
      <c r="R63" s="5">
        <v>230.15</v>
      </c>
      <c r="S63" s="3">
        <v>40</v>
      </c>
      <c r="T63" s="3"/>
      <c r="U63" s="3">
        <v>0</v>
      </c>
      <c r="V63" s="3" t="s">
        <v>8</v>
      </c>
      <c r="W63" s="5">
        <v>230.35</v>
      </c>
      <c r="X63" s="3">
        <v>0</v>
      </c>
      <c r="Y63" s="3">
        <v>0</v>
      </c>
      <c r="Z63" s="3">
        <v>0</v>
      </c>
      <c r="AA63" s="3">
        <v>0</v>
      </c>
      <c r="AB63" s="5">
        <v>230.35</v>
      </c>
      <c r="AD63" s="25"/>
      <c r="AE63" s="25"/>
      <c r="AF63" s="25"/>
      <c r="AG63" s="32"/>
      <c r="AH63" s="18"/>
      <c r="AI63" s="3"/>
      <c r="AJ63" s="3"/>
      <c r="AK63" s="3"/>
      <c r="AL63" s="15">
        <f t="shared" si="0"/>
        <v>0</v>
      </c>
      <c r="AM63" s="15">
        <f t="shared" si="2"/>
        <v>230.35</v>
      </c>
      <c r="AN63" s="15">
        <f t="shared" ref="AN63:AN65" si="6">AM63</f>
        <v>230.35</v>
      </c>
      <c r="AO63" s="15">
        <f t="shared" si="1"/>
        <v>0</v>
      </c>
    </row>
    <row r="64" spans="1:41" x14ac:dyDescent="0.25">
      <c r="A64">
        <v>57</v>
      </c>
      <c r="B64" s="10" t="s">
        <v>306</v>
      </c>
      <c r="C64" s="10" t="s">
        <v>1036</v>
      </c>
      <c r="D64" s="3" t="s">
        <v>307</v>
      </c>
      <c r="E64" s="3" t="s">
        <v>308</v>
      </c>
      <c r="F64" s="3" t="s">
        <v>309</v>
      </c>
      <c r="G64" s="3" t="s">
        <v>310</v>
      </c>
      <c r="H64" s="3" t="s">
        <v>14</v>
      </c>
      <c r="I64" s="3" t="s">
        <v>6</v>
      </c>
      <c r="J64" s="3"/>
      <c r="K64" s="3" t="s">
        <v>311</v>
      </c>
      <c r="L64" s="3"/>
      <c r="M64" s="3"/>
      <c r="N64" s="3" t="s">
        <v>22</v>
      </c>
      <c r="O64" s="3"/>
      <c r="P64" s="3"/>
      <c r="Q64" s="4">
        <v>46081</v>
      </c>
      <c r="R64" s="5">
        <v>94.48</v>
      </c>
      <c r="S64" s="3">
        <v>43</v>
      </c>
      <c r="T64" s="3"/>
      <c r="U64" s="3">
        <v>0</v>
      </c>
      <c r="V64" s="3" t="s">
        <v>8</v>
      </c>
      <c r="W64" s="5">
        <v>94.48</v>
      </c>
      <c r="X64" s="3">
        <v>0</v>
      </c>
      <c r="Y64" s="3">
        <v>0</v>
      </c>
      <c r="Z64" s="3">
        <v>0</v>
      </c>
      <c r="AA64" s="3">
        <v>0</v>
      </c>
      <c r="AB64" s="5">
        <v>94.48</v>
      </c>
      <c r="AD64" s="25"/>
      <c r="AE64" s="25"/>
      <c r="AF64" s="25"/>
      <c r="AG64" s="32"/>
      <c r="AH64" s="18"/>
      <c r="AI64" s="3"/>
      <c r="AJ64" s="3"/>
      <c r="AK64" s="3"/>
      <c r="AL64" s="15">
        <f t="shared" si="0"/>
        <v>0</v>
      </c>
      <c r="AM64" s="15">
        <f t="shared" si="2"/>
        <v>94.48</v>
      </c>
      <c r="AN64" s="15">
        <f t="shared" si="6"/>
        <v>94.48</v>
      </c>
      <c r="AO64" s="15">
        <f t="shared" si="1"/>
        <v>0</v>
      </c>
    </row>
    <row r="65" spans="1:41" x14ac:dyDescent="0.25">
      <c r="A65">
        <v>58</v>
      </c>
      <c r="B65" s="10" t="s">
        <v>312</v>
      </c>
      <c r="C65" s="10" t="s">
        <v>1037</v>
      </c>
      <c r="D65" s="3" t="s">
        <v>313</v>
      </c>
      <c r="E65" s="3" t="s">
        <v>314</v>
      </c>
      <c r="F65" s="3" t="s">
        <v>315</v>
      </c>
      <c r="G65" s="3" t="s">
        <v>316</v>
      </c>
      <c r="H65" s="3" t="s">
        <v>14</v>
      </c>
      <c r="I65" s="3" t="s">
        <v>6</v>
      </c>
      <c r="J65" s="3"/>
      <c r="K65" s="3" t="s">
        <v>317</v>
      </c>
      <c r="L65" s="3"/>
      <c r="M65" s="3"/>
      <c r="N65" s="3"/>
      <c r="O65" s="3">
        <v>1540</v>
      </c>
      <c r="P65" s="3"/>
      <c r="Q65" s="4">
        <v>46081</v>
      </c>
      <c r="R65" s="5">
        <v>2493.9699999999998</v>
      </c>
      <c r="S65" s="3">
        <v>128</v>
      </c>
      <c r="T65" s="3" t="s">
        <v>318</v>
      </c>
      <c r="U65" s="3">
        <v>0</v>
      </c>
      <c r="V65" s="3" t="s">
        <v>8</v>
      </c>
      <c r="W65" s="5">
        <v>2493.9699999999998</v>
      </c>
      <c r="X65" s="3">
        <v>0</v>
      </c>
      <c r="Y65" s="3">
        <v>0</v>
      </c>
      <c r="Z65" s="3">
        <v>0</v>
      </c>
      <c r="AA65" s="3">
        <v>0</v>
      </c>
      <c r="AB65" s="5">
        <v>2493.9699999999998</v>
      </c>
      <c r="AD65" s="25"/>
      <c r="AE65" s="25"/>
      <c r="AF65" s="25"/>
      <c r="AG65" s="32"/>
      <c r="AH65" s="18"/>
      <c r="AI65" s="3"/>
      <c r="AJ65" s="3"/>
      <c r="AK65" s="3"/>
      <c r="AL65" s="15">
        <f t="shared" si="0"/>
        <v>0</v>
      </c>
      <c r="AM65" s="15">
        <f t="shared" si="2"/>
        <v>2493.9699999999998</v>
      </c>
      <c r="AN65" s="15">
        <f t="shared" si="6"/>
        <v>2493.9699999999998</v>
      </c>
      <c r="AO65" s="15">
        <f t="shared" si="1"/>
        <v>0</v>
      </c>
    </row>
    <row r="66" spans="1:41" x14ac:dyDescent="0.25">
      <c r="A66">
        <v>59</v>
      </c>
      <c r="B66" s="10">
        <v>1091</v>
      </c>
      <c r="C66" s="10"/>
      <c r="D66" s="3" t="s">
        <v>319</v>
      </c>
      <c r="E66" s="3" t="s">
        <v>319</v>
      </c>
      <c r="F66" s="3" t="s">
        <v>320</v>
      </c>
      <c r="G66" s="3" t="s">
        <v>321</v>
      </c>
      <c r="H66" s="3" t="s">
        <v>14</v>
      </c>
      <c r="I66" s="3" t="s">
        <v>6</v>
      </c>
      <c r="J66" s="3"/>
      <c r="K66" s="3" t="s">
        <v>322</v>
      </c>
      <c r="L66" s="3"/>
      <c r="M66" s="3"/>
      <c r="N66" s="3" t="s">
        <v>22</v>
      </c>
      <c r="O66" s="3"/>
      <c r="P66" s="3"/>
      <c r="Q66" s="4">
        <v>46081</v>
      </c>
      <c r="R66" s="5">
        <v>126.72</v>
      </c>
      <c r="S66" s="3">
        <v>42</v>
      </c>
      <c r="T66" s="3"/>
      <c r="U66" s="3">
        <v>0</v>
      </c>
      <c r="V66" s="3" t="s">
        <v>8</v>
      </c>
      <c r="W66" s="5">
        <v>126.72</v>
      </c>
      <c r="X66" s="3">
        <v>0</v>
      </c>
      <c r="Y66" s="3">
        <v>0</v>
      </c>
      <c r="Z66" s="3">
        <v>0</v>
      </c>
      <c r="AA66" s="3">
        <v>0</v>
      </c>
      <c r="AB66" s="5">
        <v>126.72</v>
      </c>
      <c r="AD66" s="25"/>
      <c r="AE66" s="25"/>
      <c r="AF66" s="25"/>
      <c r="AG66" s="32"/>
      <c r="AH66" s="18"/>
      <c r="AI66" s="3"/>
      <c r="AJ66" s="3"/>
      <c r="AK66" s="3"/>
      <c r="AL66" s="15">
        <f t="shared" si="0"/>
        <v>0</v>
      </c>
      <c r="AM66" s="15">
        <f t="shared" si="2"/>
        <v>126.72</v>
      </c>
      <c r="AN66" s="15">
        <f>AM66</f>
        <v>126.72</v>
      </c>
      <c r="AO66" s="15">
        <f t="shared" si="1"/>
        <v>0</v>
      </c>
    </row>
    <row r="67" spans="1:41" x14ac:dyDescent="0.25">
      <c r="A67">
        <v>60</v>
      </c>
      <c r="B67" s="10" t="s">
        <v>323</v>
      </c>
      <c r="C67" s="10"/>
      <c r="D67" s="3" t="s">
        <v>324</v>
      </c>
      <c r="E67" s="3" t="s">
        <v>325</v>
      </c>
      <c r="F67" s="3" t="s">
        <v>326</v>
      </c>
      <c r="G67" s="3" t="s">
        <v>327</v>
      </c>
      <c r="H67" s="3" t="s">
        <v>328</v>
      </c>
      <c r="I67" s="3" t="s">
        <v>6</v>
      </c>
      <c r="J67" s="3" t="s">
        <v>33</v>
      </c>
      <c r="K67" s="3" t="s">
        <v>329</v>
      </c>
      <c r="L67" s="3"/>
      <c r="M67" s="3"/>
      <c r="N67" s="3"/>
      <c r="O67" s="3">
        <v>8300</v>
      </c>
      <c r="P67" s="3"/>
      <c r="Q67" s="4">
        <v>43364</v>
      </c>
      <c r="R67" s="5">
        <v>40097.620000000003</v>
      </c>
      <c r="S67" s="3">
        <v>1635</v>
      </c>
      <c r="T67" s="3"/>
      <c r="U67" s="3">
        <v>0</v>
      </c>
      <c r="V67" s="3" t="s">
        <v>8</v>
      </c>
      <c r="W67" s="3">
        <v>0</v>
      </c>
      <c r="X67" s="3">
        <v>0</v>
      </c>
      <c r="Y67" s="3">
        <v>0</v>
      </c>
      <c r="Z67" s="3">
        <v>0</v>
      </c>
      <c r="AA67" s="3">
        <v>0.02</v>
      </c>
      <c r="AB67" s="3">
        <v>0.02</v>
      </c>
      <c r="AD67" s="25"/>
      <c r="AE67" s="25"/>
      <c r="AF67" s="25"/>
      <c r="AG67" s="32"/>
      <c r="AH67" s="18"/>
      <c r="AI67" s="3"/>
      <c r="AJ67" s="3"/>
      <c r="AK67" s="3"/>
      <c r="AL67" s="15">
        <f t="shared" si="0"/>
        <v>0</v>
      </c>
      <c r="AM67" s="15">
        <f t="shared" si="2"/>
        <v>0.02</v>
      </c>
      <c r="AN67">
        <v>0</v>
      </c>
      <c r="AO67" s="15">
        <f t="shared" si="1"/>
        <v>0.02</v>
      </c>
    </row>
    <row r="68" spans="1:41" x14ac:dyDescent="0.25">
      <c r="A68">
        <v>61</v>
      </c>
      <c r="B68" s="10" t="s">
        <v>330</v>
      </c>
      <c r="C68" s="10" t="s">
        <v>1038</v>
      </c>
      <c r="D68" s="3" t="s">
        <v>331</v>
      </c>
      <c r="E68" s="3" t="s">
        <v>332</v>
      </c>
      <c r="F68" s="3" t="s">
        <v>333</v>
      </c>
      <c r="G68" s="3" t="s">
        <v>334</v>
      </c>
      <c r="H68" s="3" t="s">
        <v>14</v>
      </c>
      <c r="I68" s="3" t="s">
        <v>6</v>
      </c>
      <c r="J68" s="3" t="s">
        <v>15</v>
      </c>
      <c r="K68" s="3" t="s">
        <v>335</v>
      </c>
      <c r="L68" s="3"/>
      <c r="M68" s="3"/>
      <c r="N68" s="3"/>
      <c r="O68" s="3">
        <v>2041</v>
      </c>
      <c r="P68" s="3"/>
      <c r="Q68" s="4">
        <v>46081</v>
      </c>
      <c r="R68" s="5">
        <v>139.1</v>
      </c>
      <c r="S68" s="3">
        <v>148</v>
      </c>
      <c r="T68" s="3"/>
      <c r="U68" s="3">
        <v>0</v>
      </c>
      <c r="V68" s="3" t="s">
        <v>8</v>
      </c>
      <c r="W68" s="5">
        <v>139.1</v>
      </c>
      <c r="X68" s="3">
        <v>0</v>
      </c>
      <c r="Y68" s="3">
        <v>0</v>
      </c>
      <c r="Z68" s="3">
        <v>0</v>
      </c>
      <c r="AA68" s="3">
        <v>0</v>
      </c>
      <c r="AB68" s="5">
        <v>139.1</v>
      </c>
      <c r="AD68" s="25"/>
      <c r="AE68" s="25"/>
      <c r="AF68" s="25"/>
      <c r="AG68" s="32"/>
      <c r="AH68" s="18"/>
      <c r="AI68" s="3"/>
      <c r="AJ68" s="3"/>
      <c r="AK68" s="3"/>
      <c r="AL68" s="15">
        <f t="shared" si="0"/>
        <v>0</v>
      </c>
      <c r="AM68" s="15">
        <f t="shared" si="2"/>
        <v>139.1</v>
      </c>
      <c r="AN68" s="15">
        <f>AM68</f>
        <v>139.1</v>
      </c>
      <c r="AO68" s="15">
        <f t="shared" si="1"/>
        <v>0</v>
      </c>
    </row>
    <row r="69" spans="1:41" x14ac:dyDescent="0.25">
      <c r="A69">
        <v>62</v>
      </c>
      <c r="B69" s="10" t="s">
        <v>336</v>
      </c>
      <c r="C69" s="10" t="s">
        <v>1039</v>
      </c>
      <c r="D69" s="3" t="s">
        <v>337</v>
      </c>
      <c r="E69" s="3" t="s">
        <v>338</v>
      </c>
      <c r="F69" s="3" t="s">
        <v>339</v>
      </c>
      <c r="G69" s="3"/>
      <c r="H69" s="3" t="s">
        <v>14</v>
      </c>
      <c r="I69" s="3" t="s">
        <v>6</v>
      </c>
      <c r="J69" s="3" t="s">
        <v>33</v>
      </c>
      <c r="K69" s="3" t="s">
        <v>340</v>
      </c>
      <c r="L69" s="3"/>
      <c r="M69" s="3"/>
      <c r="N69" s="3"/>
      <c r="O69" s="3">
        <v>1508</v>
      </c>
      <c r="P69" s="3"/>
      <c r="Q69" s="4">
        <v>46059</v>
      </c>
      <c r="R69" s="5">
        <v>411032.32000000001</v>
      </c>
      <c r="S69" s="3">
        <v>547</v>
      </c>
      <c r="T69" s="3"/>
      <c r="U69" s="3">
        <v>0</v>
      </c>
      <c r="V69" s="3" t="s">
        <v>8</v>
      </c>
      <c r="W69" s="5">
        <v>414083.61</v>
      </c>
      <c r="X69" s="3">
        <v>0</v>
      </c>
      <c r="Y69" s="3">
        <v>0</v>
      </c>
      <c r="Z69" s="3">
        <v>0.02</v>
      </c>
      <c r="AA69" s="5">
        <v>19676.48</v>
      </c>
      <c r="AB69" s="5">
        <v>433760.11</v>
      </c>
      <c r="AD69" s="25" t="s">
        <v>1167</v>
      </c>
      <c r="AE69" s="25" t="s">
        <v>1196</v>
      </c>
      <c r="AF69" s="58">
        <v>210027.61</v>
      </c>
      <c r="AG69" s="33">
        <f>AF69</f>
        <v>210027.61</v>
      </c>
      <c r="AH69" s="18"/>
      <c r="AI69" s="3"/>
      <c r="AJ69" s="3"/>
      <c r="AK69" s="5"/>
      <c r="AL69" s="15">
        <f t="shared" si="0"/>
        <v>210027.61</v>
      </c>
      <c r="AM69" s="15">
        <f t="shared" si="2"/>
        <v>223732.5</v>
      </c>
      <c r="AN69">
        <v>223732.5</v>
      </c>
      <c r="AO69" s="15">
        <f t="shared" si="1"/>
        <v>0</v>
      </c>
    </row>
    <row r="70" spans="1:41" x14ac:dyDescent="0.25">
      <c r="A70">
        <v>63</v>
      </c>
      <c r="B70" s="10" t="s">
        <v>341</v>
      </c>
      <c r="C70" s="10" t="s">
        <v>1040</v>
      </c>
      <c r="D70" s="3" t="s">
        <v>342</v>
      </c>
      <c r="E70" s="3" t="s">
        <v>343</v>
      </c>
      <c r="F70" s="6" t="s">
        <v>344</v>
      </c>
      <c r="G70" s="3" t="s">
        <v>345</v>
      </c>
      <c r="H70" s="3" t="s">
        <v>14</v>
      </c>
      <c r="I70" s="3" t="s">
        <v>6</v>
      </c>
      <c r="J70" s="3" t="s">
        <v>33</v>
      </c>
      <c r="K70" s="3" t="s">
        <v>346</v>
      </c>
      <c r="L70" s="3"/>
      <c r="M70" s="3"/>
      <c r="N70" s="3" t="s">
        <v>22</v>
      </c>
      <c r="O70" s="3"/>
      <c r="P70" s="3"/>
      <c r="Q70" s="4">
        <v>46015</v>
      </c>
      <c r="R70" s="5">
        <v>9136.5499999999993</v>
      </c>
      <c r="S70" s="3">
        <v>376</v>
      </c>
      <c r="T70" s="3"/>
      <c r="U70" s="3">
        <v>0</v>
      </c>
      <c r="V70" s="3" t="s">
        <v>8</v>
      </c>
      <c r="W70" s="5">
        <v>17275.78</v>
      </c>
      <c r="X70" s="5">
        <v>17460.96</v>
      </c>
      <c r="Y70" s="5">
        <v>16472.599999999999</v>
      </c>
      <c r="Z70" s="5">
        <v>16472.599999999999</v>
      </c>
      <c r="AA70" s="5">
        <v>45682.8</v>
      </c>
      <c r="AB70" s="5">
        <v>113364.74</v>
      </c>
      <c r="AD70" s="25" t="s">
        <v>1177</v>
      </c>
      <c r="AE70" s="25" t="s">
        <v>1178</v>
      </c>
      <c r="AF70" s="26">
        <v>15000</v>
      </c>
      <c r="AG70" s="32"/>
      <c r="AH70" s="19"/>
      <c r="AI70" s="5"/>
      <c r="AJ70" s="5"/>
      <c r="AK70" s="5">
        <f>AF70</f>
        <v>15000</v>
      </c>
      <c r="AL70" s="15">
        <f t="shared" si="0"/>
        <v>15000</v>
      </c>
      <c r="AM70" s="15">
        <f t="shared" si="2"/>
        <v>98364.74</v>
      </c>
      <c r="AN70">
        <v>98364.74</v>
      </c>
      <c r="AO70" s="15">
        <f t="shared" si="1"/>
        <v>0</v>
      </c>
    </row>
    <row r="71" spans="1:41" x14ac:dyDescent="0.25">
      <c r="A71">
        <v>64</v>
      </c>
      <c r="B71" s="10" t="s">
        <v>347</v>
      </c>
      <c r="C71" s="10" t="s">
        <v>1041</v>
      </c>
      <c r="D71" s="3" t="s">
        <v>348</v>
      </c>
      <c r="E71" s="3" t="s">
        <v>349</v>
      </c>
      <c r="F71" s="3" t="s">
        <v>350</v>
      </c>
      <c r="G71" s="3" t="s">
        <v>351</v>
      </c>
      <c r="H71" s="3" t="s">
        <v>14</v>
      </c>
      <c r="I71" s="3" t="s">
        <v>6</v>
      </c>
      <c r="J71" s="3"/>
      <c r="K71" s="3" t="s">
        <v>352</v>
      </c>
      <c r="L71" s="3"/>
      <c r="M71" s="3"/>
      <c r="N71" s="3" t="s">
        <v>22</v>
      </c>
      <c r="O71" s="3"/>
      <c r="P71" s="3"/>
      <c r="Q71" s="4">
        <v>46081</v>
      </c>
      <c r="R71" s="5">
        <v>2697.9</v>
      </c>
      <c r="S71" s="3">
        <v>30</v>
      </c>
      <c r="T71" s="3"/>
      <c r="U71" s="3">
        <v>0</v>
      </c>
      <c r="V71" s="3" t="s">
        <v>8</v>
      </c>
      <c r="W71" s="5">
        <v>-172.12</v>
      </c>
      <c r="X71" s="3">
        <v>0</v>
      </c>
      <c r="Y71" s="3">
        <v>0</v>
      </c>
      <c r="Z71" s="3">
        <v>0</v>
      </c>
      <c r="AA71" s="3">
        <v>0</v>
      </c>
      <c r="AB71" s="5">
        <v>-172.12</v>
      </c>
      <c r="AD71" s="25"/>
      <c r="AE71" s="25"/>
      <c r="AF71" s="25"/>
      <c r="AG71" s="32"/>
      <c r="AH71" s="18"/>
      <c r="AI71" s="3"/>
      <c r="AJ71" s="3"/>
      <c r="AK71" s="3"/>
      <c r="AL71" s="15">
        <f t="shared" si="0"/>
        <v>0</v>
      </c>
      <c r="AM71" s="15">
        <f t="shared" si="2"/>
        <v>-172.12</v>
      </c>
      <c r="AN71">
        <v>-172.12</v>
      </c>
      <c r="AO71" s="15">
        <f t="shared" si="1"/>
        <v>0</v>
      </c>
    </row>
    <row r="72" spans="1:41" x14ac:dyDescent="0.25">
      <c r="A72">
        <v>65</v>
      </c>
      <c r="B72" s="10" t="s">
        <v>353</v>
      </c>
      <c r="C72" s="10" t="s">
        <v>1042</v>
      </c>
      <c r="D72" s="3" t="s">
        <v>354</v>
      </c>
      <c r="E72" s="3" t="s">
        <v>355</v>
      </c>
      <c r="F72" s="3" t="s">
        <v>356</v>
      </c>
      <c r="G72" s="3" t="s">
        <v>357</v>
      </c>
      <c r="H72" s="3" t="s">
        <v>14</v>
      </c>
      <c r="I72" s="3" t="s">
        <v>6</v>
      </c>
      <c r="J72" s="3" t="s">
        <v>15</v>
      </c>
      <c r="K72" s="3" t="s">
        <v>358</v>
      </c>
      <c r="L72" s="3"/>
      <c r="M72" s="3"/>
      <c r="N72" s="3" t="s">
        <v>22</v>
      </c>
      <c r="O72" s="3"/>
      <c r="P72" s="3"/>
      <c r="Q72" s="4">
        <v>46003</v>
      </c>
      <c r="R72" s="5">
        <v>-4524.28</v>
      </c>
      <c r="S72" s="3">
        <v>93</v>
      </c>
      <c r="T72" s="3"/>
      <c r="U72" s="3">
        <v>0</v>
      </c>
      <c r="V72" s="3" t="s">
        <v>8</v>
      </c>
      <c r="W72" s="5">
        <v>4795.7299999999996</v>
      </c>
      <c r="X72" s="5">
        <v>4795.7299999999996</v>
      </c>
      <c r="Y72" s="5">
        <v>4524.28</v>
      </c>
      <c r="Z72" s="5">
        <v>4524.28</v>
      </c>
      <c r="AA72" s="5">
        <v>4524.28</v>
      </c>
      <c r="AB72" s="5">
        <v>23164.3</v>
      </c>
      <c r="AD72" s="25"/>
      <c r="AE72" s="25"/>
      <c r="AF72" s="25"/>
      <c r="AG72" s="32"/>
      <c r="AH72" s="19"/>
      <c r="AI72" s="5"/>
      <c r="AJ72" s="5"/>
      <c r="AK72" s="5"/>
      <c r="AL72" s="15">
        <f t="shared" ref="AL72:AL135" si="7">AH72+AI72+AJ72+AK72+AG72</f>
        <v>0</v>
      </c>
      <c r="AM72" s="15">
        <f t="shared" si="2"/>
        <v>23164.3</v>
      </c>
      <c r="AN72" s="15">
        <f>AM72</f>
        <v>23164.3</v>
      </c>
      <c r="AO72" s="15">
        <f t="shared" ref="AO72:AO86" si="8">AM72-AN72</f>
        <v>0</v>
      </c>
    </row>
    <row r="73" spans="1:41" x14ac:dyDescent="0.25">
      <c r="A73">
        <v>66</v>
      </c>
      <c r="B73" s="10" t="s">
        <v>359</v>
      </c>
      <c r="C73" s="10"/>
      <c r="D73" s="3" t="s">
        <v>360</v>
      </c>
      <c r="E73" s="3" t="s">
        <v>361</v>
      </c>
      <c r="F73" s="3" t="s">
        <v>362</v>
      </c>
      <c r="G73" s="3" t="s">
        <v>363</v>
      </c>
      <c r="H73" s="3" t="s">
        <v>14</v>
      </c>
      <c r="I73" s="3" t="s">
        <v>6</v>
      </c>
      <c r="J73" s="3" t="s">
        <v>15</v>
      </c>
      <c r="K73" s="3" t="s">
        <v>364</v>
      </c>
      <c r="L73" s="3"/>
      <c r="M73" s="3"/>
      <c r="N73" s="3"/>
      <c r="O73" s="3">
        <v>1641</v>
      </c>
      <c r="P73" s="3"/>
      <c r="Q73" s="4">
        <v>45230</v>
      </c>
      <c r="R73" s="5">
        <v>759.1</v>
      </c>
      <c r="S73" s="3">
        <v>232</v>
      </c>
      <c r="T73" s="3"/>
      <c r="U73" s="3">
        <v>0</v>
      </c>
      <c r="V73" s="3" t="s">
        <v>8</v>
      </c>
      <c r="W73" s="3">
        <v>0</v>
      </c>
      <c r="X73" s="3">
        <v>0</v>
      </c>
      <c r="Y73" s="3">
        <v>0</v>
      </c>
      <c r="Z73" s="3">
        <v>0</v>
      </c>
      <c r="AA73" s="5">
        <v>-0.01</v>
      </c>
      <c r="AB73" s="5">
        <v>-0.01</v>
      </c>
      <c r="AD73" s="25"/>
      <c r="AE73" s="25"/>
      <c r="AF73" s="25"/>
      <c r="AG73" s="32"/>
      <c r="AH73" s="18"/>
      <c r="AI73" s="3"/>
      <c r="AJ73" s="3"/>
      <c r="AK73" s="5"/>
      <c r="AL73" s="15">
        <f t="shared" si="7"/>
        <v>0</v>
      </c>
      <c r="AM73" s="15">
        <f t="shared" ref="AM73:AM136" si="9">AB73-AL73</f>
        <v>-0.01</v>
      </c>
      <c r="AO73" s="15">
        <f t="shared" si="8"/>
        <v>-0.01</v>
      </c>
    </row>
    <row r="74" spans="1:41" x14ac:dyDescent="0.25">
      <c r="A74">
        <v>67</v>
      </c>
      <c r="B74" s="10" t="s">
        <v>365</v>
      </c>
      <c r="C74" s="10" t="s">
        <v>1043</v>
      </c>
      <c r="D74" s="3" t="s">
        <v>366</v>
      </c>
      <c r="E74" s="3" t="s">
        <v>367</v>
      </c>
      <c r="F74" s="3" t="s">
        <v>368</v>
      </c>
      <c r="G74" s="3" t="s">
        <v>369</v>
      </c>
      <c r="H74" s="3" t="s">
        <v>14</v>
      </c>
      <c r="I74" s="3" t="s">
        <v>6</v>
      </c>
      <c r="J74" s="3" t="s">
        <v>15</v>
      </c>
      <c r="K74" s="3" t="s">
        <v>370</v>
      </c>
      <c r="L74" s="3"/>
      <c r="M74" s="3"/>
      <c r="N74" s="3" t="s">
        <v>22</v>
      </c>
      <c r="O74" s="3">
        <v>2000</v>
      </c>
      <c r="P74" s="3"/>
      <c r="Q74" s="4">
        <v>46081</v>
      </c>
      <c r="R74" s="5">
        <v>8083.26</v>
      </c>
      <c r="S74" s="3">
        <v>191</v>
      </c>
      <c r="T74" s="3"/>
      <c r="U74" s="3">
        <v>0</v>
      </c>
      <c r="V74" s="3" t="s">
        <v>8</v>
      </c>
      <c r="W74" s="5">
        <v>8083.26</v>
      </c>
      <c r="X74" s="3">
        <v>0</v>
      </c>
      <c r="Y74" s="3">
        <v>0</v>
      </c>
      <c r="Z74" s="3">
        <v>0</v>
      </c>
      <c r="AA74" s="3">
        <v>0</v>
      </c>
      <c r="AB74" s="5">
        <v>8083.26</v>
      </c>
      <c r="AD74" s="25"/>
      <c r="AE74" s="25"/>
      <c r="AF74" s="25"/>
      <c r="AG74" s="32"/>
      <c r="AH74" s="18"/>
      <c r="AI74" s="3"/>
      <c r="AJ74" s="3"/>
      <c r="AK74" s="3"/>
      <c r="AL74" s="15">
        <f t="shared" si="7"/>
        <v>0</v>
      </c>
      <c r="AM74" s="15">
        <f t="shared" si="9"/>
        <v>8083.26</v>
      </c>
      <c r="AN74" s="15">
        <f>AM74</f>
        <v>8083.26</v>
      </c>
      <c r="AO74" s="15">
        <f t="shared" si="8"/>
        <v>0</v>
      </c>
    </row>
    <row r="75" spans="1:41" x14ac:dyDescent="0.25">
      <c r="A75">
        <v>68</v>
      </c>
      <c r="B75" s="10" t="s">
        <v>371</v>
      </c>
      <c r="C75" s="10" t="s">
        <v>1044</v>
      </c>
      <c r="D75" s="3" t="s">
        <v>372</v>
      </c>
      <c r="E75" s="3" t="s">
        <v>373</v>
      </c>
      <c r="F75" s="3" t="s">
        <v>374</v>
      </c>
      <c r="G75" s="3" t="s">
        <v>375</v>
      </c>
      <c r="H75" s="3" t="s">
        <v>14</v>
      </c>
      <c r="I75" s="3" t="s">
        <v>6</v>
      </c>
      <c r="J75" s="3" t="s">
        <v>15</v>
      </c>
      <c r="K75" s="3" t="s">
        <v>376</v>
      </c>
      <c r="L75" s="3"/>
      <c r="M75" s="3"/>
      <c r="N75" s="3"/>
      <c r="O75" s="3"/>
      <c r="P75" s="3"/>
      <c r="Q75" s="4">
        <v>46081</v>
      </c>
      <c r="R75" s="5">
        <v>142.54</v>
      </c>
      <c r="S75" s="3">
        <v>40</v>
      </c>
      <c r="T75" s="3"/>
      <c r="U75" s="3">
        <v>0</v>
      </c>
      <c r="V75" s="3" t="s">
        <v>8</v>
      </c>
      <c r="W75" s="5">
        <v>142.54</v>
      </c>
      <c r="X75" s="3">
        <v>0</v>
      </c>
      <c r="Y75" s="3">
        <v>0</v>
      </c>
      <c r="Z75" s="3">
        <v>0</v>
      </c>
      <c r="AA75" s="3">
        <v>0</v>
      </c>
      <c r="AB75" s="5">
        <v>142.54</v>
      </c>
      <c r="AD75" s="25"/>
      <c r="AE75" s="25"/>
      <c r="AF75" s="25"/>
      <c r="AG75" s="32"/>
      <c r="AH75" s="18"/>
      <c r="AI75" s="3"/>
      <c r="AJ75" s="3"/>
      <c r="AK75" s="3"/>
      <c r="AL75" s="15">
        <f t="shared" si="7"/>
        <v>0</v>
      </c>
      <c r="AM75" s="15">
        <f t="shared" si="9"/>
        <v>142.54</v>
      </c>
      <c r="AN75" s="15">
        <f>AM75</f>
        <v>142.54</v>
      </c>
      <c r="AO75" s="15">
        <f t="shared" si="8"/>
        <v>0</v>
      </c>
    </row>
    <row r="76" spans="1:41" x14ac:dyDescent="0.25">
      <c r="A76">
        <v>69</v>
      </c>
      <c r="B76" s="10" t="s">
        <v>377</v>
      </c>
      <c r="C76" s="10" t="s">
        <v>1045</v>
      </c>
      <c r="D76" s="3" t="s">
        <v>378</v>
      </c>
      <c r="E76" s="3" t="s">
        <v>379</v>
      </c>
      <c r="F76" s="3" t="s">
        <v>380</v>
      </c>
      <c r="G76" s="3" t="s">
        <v>381</v>
      </c>
      <c r="H76" s="3" t="s">
        <v>14</v>
      </c>
      <c r="I76" s="3" t="s">
        <v>6</v>
      </c>
      <c r="J76" s="3" t="s">
        <v>15</v>
      </c>
      <c r="K76" s="3" t="s">
        <v>382</v>
      </c>
      <c r="L76" s="3"/>
      <c r="M76" s="3" t="s">
        <v>69</v>
      </c>
      <c r="N76" s="3" t="s">
        <v>22</v>
      </c>
      <c r="O76" s="3"/>
      <c r="P76" s="3"/>
      <c r="Q76" s="4">
        <v>46053</v>
      </c>
      <c r="R76" s="5">
        <v>4635.0600000000004</v>
      </c>
      <c r="S76" s="3">
        <v>124</v>
      </c>
      <c r="T76" s="3"/>
      <c r="U76" s="3">
        <v>0</v>
      </c>
      <c r="V76" s="3" t="s">
        <v>8</v>
      </c>
      <c r="W76" s="5">
        <v>4635.0600000000004</v>
      </c>
      <c r="X76" s="5">
        <v>4635.0600000000004</v>
      </c>
      <c r="Y76" s="3">
        <v>0</v>
      </c>
      <c r="Z76" s="3">
        <v>0</v>
      </c>
      <c r="AA76" s="3">
        <v>0</v>
      </c>
      <c r="AB76" s="5">
        <v>9270.1200000000008</v>
      </c>
      <c r="AD76" s="25" t="s">
        <v>1165</v>
      </c>
      <c r="AE76" s="25" t="s">
        <v>1166</v>
      </c>
      <c r="AF76" s="26">
        <v>4635.0600000000004</v>
      </c>
      <c r="AG76" s="32"/>
      <c r="AH76" s="19">
        <f>AF76</f>
        <v>4635.0600000000004</v>
      </c>
      <c r="AI76" s="3"/>
      <c r="AJ76" s="3"/>
      <c r="AK76" s="3"/>
      <c r="AL76" s="15">
        <f t="shared" si="7"/>
        <v>4635.0600000000004</v>
      </c>
      <c r="AM76" s="15">
        <f t="shared" si="9"/>
        <v>4635.0600000000004</v>
      </c>
      <c r="AN76">
        <v>4635.0600000000004</v>
      </c>
      <c r="AO76" s="15">
        <f t="shared" si="8"/>
        <v>0</v>
      </c>
    </row>
    <row r="77" spans="1:41" x14ac:dyDescent="0.25">
      <c r="A77">
        <v>70</v>
      </c>
      <c r="B77" s="10" t="s">
        <v>383</v>
      </c>
      <c r="C77" s="10" t="s">
        <v>1046</v>
      </c>
      <c r="D77" s="3" t="s">
        <v>384</v>
      </c>
      <c r="E77" s="3" t="s">
        <v>385</v>
      </c>
      <c r="F77" s="3"/>
      <c r="G77" s="3" t="s">
        <v>386</v>
      </c>
      <c r="H77" s="3" t="s">
        <v>14</v>
      </c>
      <c r="I77" s="3" t="s">
        <v>6</v>
      </c>
      <c r="J77" s="3"/>
      <c r="K77" s="3" t="s">
        <v>387</v>
      </c>
      <c r="L77" s="3"/>
      <c r="M77" s="3"/>
      <c r="N77" s="3" t="s">
        <v>22</v>
      </c>
      <c r="O77" s="3"/>
      <c r="P77" s="3"/>
      <c r="Q77" s="4">
        <v>46081</v>
      </c>
      <c r="R77" s="5">
        <v>1730.75</v>
      </c>
      <c r="S77" s="3">
        <v>121</v>
      </c>
      <c r="T77" s="3"/>
      <c r="U77" s="3">
        <v>0</v>
      </c>
      <c r="V77" s="3" t="s">
        <v>8</v>
      </c>
      <c r="W77" s="5">
        <v>1730.75</v>
      </c>
      <c r="X77" s="3">
        <v>0</v>
      </c>
      <c r="Y77" s="3">
        <v>0</v>
      </c>
      <c r="Z77" s="3">
        <v>0</v>
      </c>
      <c r="AA77" s="3">
        <v>0</v>
      </c>
      <c r="AB77" s="5">
        <v>1730.75</v>
      </c>
      <c r="AD77" s="25"/>
      <c r="AE77" s="25"/>
      <c r="AF77" s="25"/>
      <c r="AG77" s="32"/>
      <c r="AH77" s="18"/>
      <c r="AI77" s="3"/>
      <c r="AJ77" s="3"/>
      <c r="AK77" s="3"/>
      <c r="AL77" s="15">
        <f t="shared" si="7"/>
        <v>0</v>
      </c>
      <c r="AM77" s="15">
        <f t="shared" si="9"/>
        <v>1730.75</v>
      </c>
      <c r="AN77" s="15">
        <f>AM77</f>
        <v>1730.75</v>
      </c>
      <c r="AO77" s="15">
        <f t="shared" si="8"/>
        <v>0</v>
      </c>
    </row>
    <row r="78" spans="1:41" x14ac:dyDescent="0.25">
      <c r="A78">
        <v>71</v>
      </c>
      <c r="B78" s="10">
        <v>1122</v>
      </c>
      <c r="C78" s="10" t="s">
        <v>1047</v>
      </c>
      <c r="D78" s="3" t="s">
        <v>388</v>
      </c>
      <c r="E78" s="3" t="s">
        <v>389</v>
      </c>
      <c r="F78" s="3" t="s">
        <v>390</v>
      </c>
      <c r="G78" s="3" t="s">
        <v>391</v>
      </c>
      <c r="H78" s="3" t="s">
        <v>14</v>
      </c>
      <c r="I78" s="3" t="s">
        <v>6</v>
      </c>
      <c r="J78" s="3" t="s">
        <v>15</v>
      </c>
      <c r="K78" s="3" t="s">
        <v>392</v>
      </c>
      <c r="L78" s="3"/>
      <c r="M78" s="3"/>
      <c r="N78" s="3" t="s">
        <v>22</v>
      </c>
      <c r="O78" s="3">
        <v>2710</v>
      </c>
      <c r="P78" s="3"/>
      <c r="Q78" s="4">
        <v>46052</v>
      </c>
      <c r="R78" s="5">
        <v>19251.919999999998</v>
      </c>
      <c r="S78" s="3">
        <v>217</v>
      </c>
      <c r="T78" s="3"/>
      <c r="U78" s="3">
        <v>0</v>
      </c>
      <c r="V78" s="3" t="s">
        <v>8</v>
      </c>
      <c r="W78" s="5">
        <v>19251.919999999998</v>
      </c>
      <c r="X78" s="5">
        <v>19251.919999999998</v>
      </c>
      <c r="Y78" s="3">
        <v>0</v>
      </c>
      <c r="Z78" s="3">
        <v>0</v>
      </c>
      <c r="AA78" s="3">
        <v>0</v>
      </c>
      <c r="AB78" s="5">
        <v>38503.839999999997</v>
      </c>
      <c r="AD78" s="25" t="s">
        <v>1165</v>
      </c>
      <c r="AE78" s="25" t="e">
        <v>#VALUE!</v>
      </c>
      <c r="AF78" s="26">
        <v>19251.919999999998</v>
      </c>
      <c r="AG78" s="32"/>
      <c r="AH78" s="19">
        <f>X78</f>
        <v>19251.919999999998</v>
      </c>
      <c r="AI78" s="3"/>
      <c r="AJ78" s="3"/>
      <c r="AK78" s="3"/>
      <c r="AL78" s="15">
        <f t="shared" si="7"/>
        <v>19251.919999999998</v>
      </c>
      <c r="AM78" s="15">
        <f t="shared" si="9"/>
        <v>19251.919999999998</v>
      </c>
      <c r="AN78">
        <v>19251.919999999998</v>
      </c>
      <c r="AO78" s="15">
        <f t="shared" si="8"/>
        <v>0</v>
      </c>
    </row>
    <row r="79" spans="1:41" x14ac:dyDescent="0.25">
      <c r="A79">
        <v>72</v>
      </c>
      <c r="B79" s="10" t="s">
        <v>393</v>
      </c>
      <c r="C79" s="10" t="s">
        <v>1048</v>
      </c>
      <c r="D79" s="3" t="s">
        <v>394</v>
      </c>
      <c r="E79" s="3" t="s">
        <v>395</v>
      </c>
      <c r="F79" s="6" t="s">
        <v>396</v>
      </c>
      <c r="G79" s="3" t="s">
        <v>397</v>
      </c>
      <c r="H79" s="3" t="s">
        <v>14</v>
      </c>
      <c r="I79" s="3" t="s">
        <v>6</v>
      </c>
      <c r="J79" s="3" t="s">
        <v>15</v>
      </c>
      <c r="K79" s="3" t="s">
        <v>398</v>
      </c>
      <c r="L79" s="3"/>
      <c r="M79" s="3"/>
      <c r="N79" s="3"/>
      <c r="O79" s="6" t="s">
        <v>399</v>
      </c>
      <c r="P79" s="3"/>
      <c r="Q79" s="4">
        <v>46081</v>
      </c>
      <c r="R79" s="5">
        <v>476.54</v>
      </c>
      <c r="S79" s="3">
        <v>82</v>
      </c>
      <c r="T79" s="3"/>
      <c r="U79" s="3">
        <v>0</v>
      </c>
      <c r="V79" s="3" t="s">
        <v>8</v>
      </c>
      <c r="W79" s="5">
        <v>1467.84</v>
      </c>
      <c r="X79" s="3">
        <v>0</v>
      </c>
      <c r="Y79" s="3">
        <v>0</v>
      </c>
      <c r="Z79" s="3">
        <v>0</v>
      </c>
      <c r="AA79" s="3">
        <v>0</v>
      </c>
      <c r="AB79" s="5">
        <v>1467.84</v>
      </c>
      <c r="AD79" s="25"/>
      <c r="AE79" s="25"/>
      <c r="AF79" s="25"/>
      <c r="AG79" s="32"/>
      <c r="AH79" s="18"/>
      <c r="AI79" s="3"/>
      <c r="AJ79" s="3"/>
      <c r="AK79" s="3"/>
      <c r="AL79" s="15">
        <f t="shared" si="7"/>
        <v>0</v>
      </c>
      <c r="AM79" s="15">
        <f t="shared" si="9"/>
        <v>1467.84</v>
      </c>
      <c r="AN79" s="15">
        <f>AM79</f>
        <v>1467.84</v>
      </c>
      <c r="AO79" s="15">
        <f t="shared" si="8"/>
        <v>0</v>
      </c>
    </row>
    <row r="80" spans="1:41" x14ac:dyDescent="0.25">
      <c r="A80">
        <v>73</v>
      </c>
      <c r="B80" s="10" t="s">
        <v>400</v>
      </c>
      <c r="C80" s="10" t="s">
        <v>1049</v>
      </c>
      <c r="D80" s="3" t="s">
        <v>401</v>
      </c>
      <c r="E80" s="3" t="s">
        <v>402</v>
      </c>
      <c r="F80" s="6" t="s">
        <v>403</v>
      </c>
      <c r="G80" s="3" t="s">
        <v>404</v>
      </c>
      <c r="H80" s="3" t="s">
        <v>14</v>
      </c>
      <c r="I80" s="3" t="s">
        <v>6</v>
      </c>
      <c r="J80" s="3"/>
      <c r="K80" s="3" t="s">
        <v>405</v>
      </c>
      <c r="L80" s="3"/>
      <c r="M80" s="3"/>
      <c r="N80" s="3" t="s">
        <v>22</v>
      </c>
      <c r="O80" s="3"/>
      <c r="P80" s="3"/>
      <c r="Q80" s="4">
        <v>46081</v>
      </c>
      <c r="R80" s="5">
        <v>244.78</v>
      </c>
      <c r="S80" s="3">
        <v>49</v>
      </c>
      <c r="T80" s="3"/>
      <c r="U80" s="3">
        <v>0</v>
      </c>
      <c r="V80" s="3" t="s">
        <v>8</v>
      </c>
      <c r="W80" s="5">
        <v>244.78</v>
      </c>
      <c r="X80" s="3">
        <v>0</v>
      </c>
      <c r="Y80" s="3">
        <v>0</v>
      </c>
      <c r="Z80" s="3">
        <v>0</v>
      </c>
      <c r="AA80" s="3">
        <v>0</v>
      </c>
      <c r="AB80" s="5">
        <v>244.78</v>
      </c>
      <c r="AD80" s="25"/>
      <c r="AE80" s="25"/>
      <c r="AF80" s="25"/>
      <c r="AG80" s="32"/>
      <c r="AH80" s="18"/>
      <c r="AI80" s="3"/>
      <c r="AJ80" s="3"/>
      <c r="AK80" s="3"/>
      <c r="AL80" s="15">
        <f t="shared" si="7"/>
        <v>0</v>
      </c>
      <c r="AM80" s="15">
        <f t="shared" si="9"/>
        <v>244.78</v>
      </c>
      <c r="AN80" s="15">
        <f>AM80</f>
        <v>244.78</v>
      </c>
      <c r="AO80" s="15">
        <f t="shared" si="8"/>
        <v>0</v>
      </c>
    </row>
    <row r="81" spans="1:41" x14ac:dyDescent="0.25">
      <c r="A81">
        <v>74</v>
      </c>
      <c r="B81" s="10" t="s">
        <v>406</v>
      </c>
      <c r="C81" s="10"/>
      <c r="D81" s="3" t="s">
        <v>407</v>
      </c>
      <c r="E81" s="3" t="s">
        <v>408</v>
      </c>
      <c r="F81" s="3" t="s">
        <v>409</v>
      </c>
      <c r="G81" s="3" t="s">
        <v>410</v>
      </c>
      <c r="H81" s="3" t="s">
        <v>236</v>
      </c>
      <c r="I81" s="3" t="s">
        <v>6</v>
      </c>
      <c r="J81" s="3"/>
      <c r="K81" s="3" t="s">
        <v>411</v>
      </c>
      <c r="L81" s="3"/>
      <c r="M81" s="3"/>
      <c r="N81" s="3" t="s">
        <v>22</v>
      </c>
      <c r="O81" s="3"/>
      <c r="P81" s="3"/>
      <c r="Q81" s="4">
        <v>45925</v>
      </c>
      <c r="R81" s="5">
        <v>1000</v>
      </c>
      <c r="S81" s="3">
        <v>473</v>
      </c>
      <c r="T81" s="3"/>
      <c r="U81" s="3">
        <v>0</v>
      </c>
      <c r="V81" s="3" t="s">
        <v>8</v>
      </c>
      <c r="W81" s="3">
        <v>0</v>
      </c>
      <c r="X81" s="3">
        <v>0</v>
      </c>
      <c r="Y81" s="3">
        <v>0</v>
      </c>
      <c r="Z81" s="3">
        <v>0</v>
      </c>
      <c r="AA81" s="5">
        <v>57222.48</v>
      </c>
      <c r="AB81" s="5">
        <v>57222.48</v>
      </c>
      <c r="AD81" s="25"/>
      <c r="AE81" s="25"/>
      <c r="AF81" s="25"/>
      <c r="AG81" s="32"/>
      <c r="AH81" s="18"/>
      <c r="AI81" s="3"/>
      <c r="AJ81" s="3"/>
      <c r="AK81" s="5"/>
      <c r="AL81" s="15">
        <f t="shared" si="7"/>
        <v>0</v>
      </c>
      <c r="AM81" s="15">
        <f t="shared" si="9"/>
        <v>57222.48</v>
      </c>
      <c r="AN81" s="15">
        <f>AM81</f>
        <v>57222.48</v>
      </c>
      <c r="AO81" s="15">
        <f t="shared" si="8"/>
        <v>0</v>
      </c>
    </row>
    <row r="82" spans="1:41" x14ac:dyDescent="0.25">
      <c r="A82">
        <v>75</v>
      </c>
      <c r="B82" s="10" t="s">
        <v>412</v>
      </c>
      <c r="C82" s="10" t="s">
        <v>1050</v>
      </c>
      <c r="D82" s="3" t="s">
        <v>413</v>
      </c>
      <c r="E82" s="3" t="s">
        <v>414</v>
      </c>
      <c r="F82" s="6" t="s">
        <v>415</v>
      </c>
      <c r="G82" s="3" t="s">
        <v>416</v>
      </c>
      <c r="H82" s="3" t="s">
        <v>14</v>
      </c>
      <c r="I82" s="3" t="s">
        <v>6</v>
      </c>
      <c r="J82" s="3" t="s">
        <v>33</v>
      </c>
      <c r="K82" s="3" t="s">
        <v>417</v>
      </c>
      <c r="L82" s="3"/>
      <c r="M82" s="3"/>
      <c r="N82" s="3"/>
      <c r="O82" s="3">
        <v>2047</v>
      </c>
      <c r="P82" s="3"/>
      <c r="Q82" s="4">
        <v>46057</v>
      </c>
      <c r="R82" s="5">
        <v>11427.55</v>
      </c>
      <c r="S82" s="3">
        <v>476</v>
      </c>
      <c r="T82" s="3"/>
      <c r="U82" s="3">
        <v>0</v>
      </c>
      <c r="V82" s="3" t="s">
        <v>8</v>
      </c>
      <c r="W82" s="5">
        <v>11486.2</v>
      </c>
      <c r="X82" s="5">
        <v>11083.7</v>
      </c>
      <c r="Y82" s="3">
        <v>0</v>
      </c>
      <c r="Z82" s="3">
        <v>0</v>
      </c>
      <c r="AA82" s="3">
        <v>0</v>
      </c>
      <c r="AB82" s="5">
        <v>22569.9</v>
      </c>
      <c r="AD82" s="25" t="s">
        <v>1149</v>
      </c>
      <c r="AE82" s="25" t="s">
        <v>1172</v>
      </c>
      <c r="AF82" s="26">
        <v>11083.7</v>
      </c>
      <c r="AG82" s="32"/>
      <c r="AH82" s="19">
        <f>X82</f>
        <v>11083.7</v>
      </c>
      <c r="AI82" s="3"/>
      <c r="AJ82" s="3"/>
      <c r="AK82" s="3"/>
      <c r="AL82" s="15">
        <f t="shared" si="7"/>
        <v>11083.7</v>
      </c>
      <c r="AM82" s="15">
        <f t="shared" si="9"/>
        <v>11486.2</v>
      </c>
      <c r="AN82">
        <v>11486.2</v>
      </c>
      <c r="AO82" s="15">
        <f t="shared" si="8"/>
        <v>0</v>
      </c>
    </row>
    <row r="83" spans="1:41" x14ac:dyDescent="0.25">
      <c r="A83">
        <v>76</v>
      </c>
      <c r="B83" s="10" t="s">
        <v>418</v>
      </c>
      <c r="C83" s="10" t="s">
        <v>1051</v>
      </c>
      <c r="D83" s="3" t="s">
        <v>419</v>
      </c>
      <c r="E83" s="3" t="s">
        <v>420</v>
      </c>
      <c r="F83" s="3" t="s">
        <v>421</v>
      </c>
      <c r="G83" s="3" t="s">
        <v>422</v>
      </c>
      <c r="H83" s="3" t="s">
        <v>14</v>
      </c>
      <c r="I83" s="3" t="s">
        <v>6</v>
      </c>
      <c r="J83" s="3" t="s">
        <v>33</v>
      </c>
      <c r="K83" s="3" t="s">
        <v>417</v>
      </c>
      <c r="L83" s="3"/>
      <c r="M83" s="3"/>
      <c r="N83" s="3"/>
      <c r="O83" s="3">
        <v>2047</v>
      </c>
      <c r="P83" s="3"/>
      <c r="Q83" s="4">
        <v>46057</v>
      </c>
      <c r="R83" s="5">
        <v>26781.200000000001</v>
      </c>
      <c r="S83" s="3">
        <v>398</v>
      </c>
      <c r="T83" s="3"/>
      <c r="U83" s="3">
        <v>0</v>
      </c>
      <c r="V83" s="3" t="s">
        <v>8</v>
      </c>
      <c r="W83" s="5">
        <v>21683.25</v>
      </c>
      <c r="X83" s="5">
        <f>19520.1+1207.5</f>
        <v>20727.599999999999</v>
      </c>
      <c r="Y83" s="3">
        <v>0</v>
      </c>
      <c r="Z83" s="3">
        <v>0</v>
      </c>
      <c r="AA83" s="5">
        <v>-0.01</v>
      </c>
      <c r="AB83" s="5">
        <f>SUM(W83:AA83)</f>
        <v>42410.84</v>
      </c>
      <c r="AD83" s="25" t="s">
        <v>1149</v>
      </c>
      <c r="AE83" s="25" t="s">
        <v>1181</v>
      </c>
      <c r="AF83" s="26">
        <v>18247.05</v>
      </c>
      <c r="AG83" s="32"/>
      <c r="AH83" s="19">
        <v>18247.05</v>
      </c>
      <c r="AI83" s="3"/>
      <c r="AJ83" s="3"/>
      <c r="AK83" s="5"/>
      <c r="AL83" s="15">
        <f t="shared" si="7"/>
        <v>18247.05</v>
      </c>
      <c r="AM83" s="15">
        <f t="shared" si="9"/>
        <v>24163.789999999997</v>
      </c>
      <c r="AN83">
        <v>24163.79</v>
      </c>
      <c r="AO83" s="15">
        <f t="shared" si="8"/>
        <v>0</v>
      </c>
    </row>
    <row r="84" spans="1:41" x14ac:dyDescent="0.25">
      <c r="A84">
        <v>77</v>
      </c>
      <c r="B84" s="10" t="s">
        <v>423</v>
      </c>
      <c r="C84" s="10" t="s">
        <v>1052</v>
      </c>
      <c r="D84" s="3" t="s">
        <v>424</v>
      </c>
      <c r="E84" s="3" t="s">
        <v>425</v>
      </c>
      <c r="F84" s="6" t="s">
        <v>415</v>
      </c>
      <c r="G84" s="3" t="s">
        <v>426</v>
      </c>
      <c r="H84" s="3" t="s">
        <v>14</v>
      </c>
      <c r="I84" s="3" t="s">
        <v>6</v>
      </c>
      <c r="J84" s="3" t="s">
        <v>33</v>
      </c>
      <c r="K84" s="3" t="s">
        <v>417</v>
      </c>
      <c r="L84" s="3"/>
      <c r="M84" s="3"/>
      <c r="N84" s="3"/>
      <c r="O84" s="3">
        <v>2047</v>
      </c>
      <c r="P84" s="3"/>
      <c r="Q84" s="4">
        <v>46057</v>
      </c>
      <c r="R84" s="5">
        <v>34861.97</v>
      </c>
      <c r="S84" s="3">
        <v>1067</v>
      </c>
      <c r="T84" s="3"/>
      <c r="U84" s="3">
        <v>0</v>
      </c>
      <c r="V84" s="3" t="s">
        <v>8</v>
      </c>
      <c r="W84" s="5">
        <v>46503.96</v>
      </c>
      <c r="X84" s="5">
        <v>36516.94</v>
      </c>
      <c r="Y84" s="5">
        <v>5738.17</v>
      </c>
      <c r="Z84" s="3">
        <v>0</v>
      </c>
      <c r="AA84" s="5">
        <v>-1.38</v>
      </c>
      <c r="AB84" s="5">
        <v>88757.69</v>
      </c>
      <c r="AD84" s="25" t="s">
        <v>1149</v>
      </c>
      <c r="AE84" s="25" t="s">
        <v>1169</v>
      </c>
      <c r="AF84" s="26">
        <v>6082.02</v>
      </c>
      <c r="AG84" s="32"/>
      <c r="AH84" s="19">
        <f>AF84+AF85-AI84</f>
        <v>36860.790000000008</v>
      </c>
      <c r="AI84" s="5">
        <f>Y84</f>
        <v>5738.17</v>
      </c>
      <c r="AJ84" s="3"/>
      <c r="AK84" s="5"/>
      <c r="AL84" s="15">
        <f t="shared" si="7"/>
        <v>42598.960000000006</v>
      </c>
      <c r="AM84" s="15">
        <f t="shared" si="9"/>
        <v>46158.729999999996</v>
      </c>
      <c r="AN84">
        <v>46158.73</v>
      </c>
      <c r="AO84" s="15">
        <f t="shared" si="8"/>
        <v>0</v>
      </c>
    </row>
    <row r="85" spans="1:41" s="43" customFormat="1" x14ac:dyDescent="0.25">
      <c r="A85">
        <v>78</v>
      </c>
      <c r="B85" s="41"/>
      <c r="C85" s="41"/>
      <c r="D85" s="40"/>
      <c r="E85" s="40"/>
      <c r="F85" s="47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2"/>
      <c r="R85" s="16"/>
      <c r="S85" s="40"/>
      <c r="T85" s="40"/>
      <c r="U85" s="40"/>
      <c r="V85" s="40"/>
      <c r="W85" s="16"/>
      <c r="X85" s="16"/>
      <c r="Y85" s="16"/>
      <c r="Z85" s="40"/>
      <c r="AA85" s="16"/>
      <c r="AB85" s="16"/>
      <c r="AD85" s="44" t="s">
        <v>1149</v>
      </c>
      <c r="AE85" s="44" t="s">
        <v>1189</v>
      </c>
      <c r="AF85" s="27">
        <v>36516.94</v>
      </c>
      <c r="AG85" s="48"/>
      <c r="AH85" s="20"/>
      <c r="AI85" s="16"/>
      <c r="AJ85" s="40"/>
      <c r="AK85" s="16"/>
      <c r="AL85" s="17"/>
      <c r="AM85" s="17"/>
      <c r="AO85" s="17"/>
    </row>
    <row r="86" spans="1:41" x14ac:dyDescent="0.25">
      <c r="A86">
        <v>79</v>
      </c>
      <c r="B86" s="10" t="s">
        <v>427</v>
      </c>
      <c r="C86" s="10" t="s">
        <v>1053</v>
      </c>
      <c r="D86" s="3" t="s">
        <v>428</v>
      </c>
      <c r="E86" s="3" t="s">
        <v>429</v>
      </c>
      <c r="F86" s="3" t="s">
        <v>430</v>
      </c>
      <c r="G86" s="3" t="s">
        <v>431</v>
      </c>
      <c r="H86" s="3" t="s">
        <v>14</v>
      </c>
      <c r="I86" s="3"/>
      <c r="J86" s="3" t="s">
        <v>33</v>
      </c>
      <c r="K86" s="3" t="s">
        <v>432</v>
      </c>
      <c r="L86" s="3"/>
      <c r="M86" s="3"/>
      <c r="N86" s="3"/>
      <c r="O86" s="3"/>
      <c r="P86" s="3"/>
      <c r="Q86" s="4">
        <v>46046</v>
      </c>
      <c r="R86" s="5">
        <v>637.30999999999995</v>
      </c>
      <c r="S86" s="3">
        <v>102</v>
      </c>
      <c r="T86" s="3"/>
      <c r="U86" s="3">
        <v>0</v>
      </c>
      <c r="V86" s="3" t="s">
        <v>8</v>
      </c>
      <c r="W86" s="16">
        <v>637.30999999999995</v>
      </c>
      <c r="X86" s="3">
        <v>0</v>
      </c>
      <c r="Y86" s="3">
        <v>0</v>
      </c>
      <c r="Z86" s="3">
        <v>0</v>
      </c>
      <c r="AA86" s="3">
        <v>0.31</v>
      </c>
      <c r="AB86" s="5">
        <v>637.62</v>
      </c>
      <c r="AD86" s="25" t="s">
        <v>1152</v>
      </c>
      <c r="AE86" s="25" t="s">
        <v>1153</v>
      </c>
      <c r="AF86" s="26">
        <v>637.30999999999995</v>
      </c>
      <c r="AG86" s="33">
        <f>AF86</f>
        <v>637.30999999999995</v>
      </c>
      <c r="AH86" s="18"/>
      <c r="AI86" s="3"/>
      <c r="AJ86" s="3"/>
      <c r="AK86" s="3"/>
      <c r="AL86" s="15">
        <f t="shared" si="7"/>
        <v>637.30999999999995</v>
      </c>
      <c r="AM86" s="15">
        <f t="shared" si="9"/>
        <v>0.31000000000005912</v>
      </c>
      <c r="AN86">
        <v>0.31</v>
      </c>
      <c r="AO86" s="15">
        <f t="shared" si="8"/>
        <v>5.9119376061289586E-14</v>
      </c>
    </row>
    <row r="87" spans="1:41" x14ac:dyDescent="0.25">
      <c r="A87">
        <v>80</v>
      </c>
      <c r="B87" s="10" t="s">
        <v>433</v>
      </c>
      <c r="C87" s="10" t="s">
        <v>1054</v>
      </c>
      <c r="D87" s="3" t="s">
        <v>434</v>
      </c>
      <c r="E87" s="3" t="s">
        <v>435</v>
      </c>
      <c r="F87" s="3" t="s">
        <v>436</v>
      </c>
      <c r="G87" s="3" t="s">
        <v>437</v>
      </c>
      <c r="H87" s="3" t="s">
        <v>14</v>
      </c>
      <c r="I87" s="3"/>
      <c r="J87" s="3" t="s">
        <v>15</v>
      </c>
      <c r="K87" s="3" t="s">
        <v>438</v>
      </c>
      <c r="L87" s="3"/>
      <c r="M87" s="3"/>
      <c r="N87" s="3"/>
      <c r="O87" s="3">
        <v>1402</v>
      </c>
      <c r="P87" s="3"/>
      <c r="Q87" s="4">
        <v>46060</v>
      </c>
      <c r="R87" s="5">
        <v>2725.96</v>
      </c>
      <c r="S87" s="3">
        <v>154</v>
      </c>
      <c r="T87" s="3"/>
      <c r="U87" s="3">
        <v>0</v>
      </c>
      <c r="V87" s="3" t="s">
        <v>8</v>
      </c>
      <c r="W87" s="5">
        <v>2725.96</v>
      </c>
      <c r="X87" s="16">
        <v>2725.96</v>
      </c>
      <c r="Y87" s="3">
        <v>0</v>
      </c>
      <c r="Z87" s="3">
        <v>0</v>
      </c>
      <c r="AA87" s="3">
        <v>0</v>
      </c>
      <c r="AB87" s="5">
        <v>5451.92</v>
      </c>
      <c r="AD87" s="25" t="s">
        <v>1151</v>
      </c>
      <c r="AE87" s="25" t="s">
        <v>433</v>
      </c>
      <c r="AF87" s="26">
        <v>2725.96</v>
      </c>
      <c r="AG87" s="32"/>
      <c r="AH87" s="19">
        <f>AF87</f>
        <v>2725.96</v>
      </c>
      <c r="AI87" s="3"/>
      <c r="AJ87" s="3"/>
      <c r="AK87" s="3"/>
      <c r="AL87" s="15">
        <f t="shared" si="7"/>
        <v>2725.96</v>
      </c>
      <c r="AM87" s="15">
        <f t="shared" si="9"/>
        <v>2725.96</v>
      </c>
      <c r="AN87">
        <v>2725.96</v>
      </c>
      <c r="AO87" s="15">
        <f>AM87-AN87</f>
        <v>0</v>
      </c>
    </row>
    <row r="88" spans="1:41" x14ac:dyDescent="0.25">
      <c r="A88">
        <v>81</v>
      </c>
      <c r="B88" s="10">
        <v>1134</v>
      </c>
      <c r="C88" s="10" t="s">
        <v>1055</v>
      </c>
      <c r="D88" s="3" t="s">
        <v>439</v>
      </c>
      <c r="E88" s="3"/>
      <c r="F88" s="3" t="s">
        <v>440</v>
      </c>
      <c r="G88" s="3" t="s">
        <v>441</v>
      </c>
      <c r="H88" s="3" t="s">
        <v>14</v>
      </c>
      <c r="I88" s="3" t="s">
        <v>6</v>
      </c>
      <c r="J88" s="3" t="s">
        <v>15</v>
      </c>
      <c r="K88" s="3" t="s">
        <v>442</v>
      </c>
      <c r="L88" s="3"/>
      <c r="M88" s="3"/>
      <c r="N88" s="3" t="s">
        <v>22</v>
      </c>
      <c r="O88" s="3"/>
      <c r="P88" s="3"/>
      <c r="Q88" s="4">
        <v>46053</v>
      </c>
      <c r="R88" s="5">
        <v>28723.53</v>
      </c>
      <c r="S88" s="3">
        <v>110</v>
      </c>
      <c r="T88" s="3"/>
      <c r="U88" s="3">
        <v>0</v>
      </c>
      <c r="V88" s="3" t="s">
        <v>8</v>
      </c>
      <c r="W88" s="5">
        <v>28838.53</v>
      </c>
      <c r="X88" s="5">
        <v>28723.53</v>
      </c>
      <c r="Y88" s="3">
        <v>0</v>
      </c>
      <c r="Z88" s="3">
        <v>0</v>
      </c>
      <c r="AA88" s="3">
        <v>0</v>
      </c>
      <c r="AB88" s="5">
        <v>57562.06</v>
      </c>
      <c r="AD88" s="25" t="s">
        <v>1165</v>
      </c>
      <c r="AE88" s="25" t="s">
        <v>1187</v>
      </c>
      <c r="AF88" s="26">
        <v>28723.53</v>
      </c>
      <c r="AG88" s="32"/>
      <c r="AH88" s="19">
        <f>AF88</f>
        <v>28723.53</v>
      </c>
      <c r="AI88" s="3"/>
      <c r="AJ88" s="3"/>
      <c r="AK88" s="3"/>
      <c r="AL88" s="15">
        <f t="shared" si="7"/>
        <v>28723.53</v>
      </c>
      <c r="AM88" s="15">
        <f t="shared" si="9"/>
        <v>28838.53</v>
      </c>
      <c r="AN88">
        <v>28838.53</v>
      </c>
      <c r="AO88" s="15">
        <f t="shared" ref="AO88:AO151" si="10">AM88-AN88</f>
        <v>0</v>
      </c>
    </row>
    <row r="89" spans="1:41" x14ac:dyDescent="0.25">
      <c r="A89">
        <v>82</v>
      </c>
      <c r="B89" s="10" t="s">
        <v>443</v>
      </c>
      <c r="C89" s="10" t="s">
        <v>1056</v>
      </c>
      <c r="D89" s="3" t="s">
        <v>444</v>
      </c>
      <c r="E89" s="3" t="s">
        <v>445</v>
      </c>
      <c r="F89" s="3"/>
      <c r="G89" s="3" t="s">
        <v>446</v>
      </c>
      <c r="H89" s="3" t="s">
        <v>14</v>
      </c>
      <c r="I89" s="3" t="s">
        <v>6</v>
      </c>
      <c r="J89" s="3"/>
      <c r="K89" s="3" t="s">
        <v>447</v>
      </c>
      <c r="L89" s="3"/>
      <c r="M89" s="3"/>
      <c r="N89" s="3" t="s">
        <v>22</v>
      </c>
      <c r="O89" s="3"/>
      <c r="P89" s="3"/>
      <c r="Q89" s="4">
        <v>45663</v>
      </c>
      <c r="R89" s="5">
        <v>4600</v>
      </c>
      <c r="S89" s="3">
        <v>95</v>
      </c>
      <c r="T89" s="3"/>
      <c r="U89" s="3">
        <v>0</v>
      </c>
      <c r="V89" s="3" t="s">
        <v>8</v>
      </c>
      <c r="W89" s="5">
        <v>7337</v>
      </c>
      <c r="X89" s="3">
        <v>0</v>
      </c>
      <c r="Y89" s="3">
        <v>0</v>
      </c>
      <c r="Z89" s="3">
        <v>0</v>
      </c>
      <c r="AA89" s="3">
        <v>0</v>
      </c>
      <c r="AB89" s="5">
        <v>7337</v>
      </c>
      <c r="AD89" s="25"/>
      <c r="AE89" s="25"/>
      <c r="AF89" s="25"/>
      <c r="AG89" s="32"/>
      <c r="AH89" s="18"/>
      <c r="AI89" s="3"/>
      <c r="AJ89" s="3"/>
      <c r="AK89" s="3"/>
      <c r="AL89" s="15">
        <f t="shared" si="7"/>
        <v>0</v>
      </c>
      <c r="AM89" s="15">
        <f t="shared" si="9"/>
        <v>7337</v>
      </c>
      <c r="AN89" s="15">
        <f>AM89</f>
        <v>7337</v>
      </c>
      <c r="AO89" s="15">
        <f t="shared" si="10"/>
        <v>0</v>
      </c>
    </row>
    <row r="90" spans="1:41" x14ac:dyDescent="0.25">
      <c r="A90">
        <v>83</v>
      </c>
      <c r="B90" s="10" t="s">
        <v>448</v>
      </c>
      <c r="C90" s="10" t="s">
        <v>1057</v>
      </c>
      <c r="D90" s="3" t="s">
        <v>449</v>
      </c>
      <c r="E90" s="3" t="s">
        <v>450</v>
      </c>
      <c r="F90" s="6" t="s">
        <v>451</v>
      </c>
      <c r="G90" s="3" t="s">
        <v>452</v>
      </c>
      <c r="H90" s="3" t="s">
        <v>14</v>
      </c>
      <c r="I90" s="3" t="s">
        <v>6</v>
      </c>
      <c r="J90" s="3" t="s">
        <v>15</v>
      </c>
      <c r="K90" s="3" t="s">
        <v>453</v>
      </c>
      <c r="L90" s="3"/>
      <c r="M90" s="3"/>
      <c r="N90" s="3" t="s">
        <v>22</v>
      </c>
      <c r="O90" s="3"/>
      <c r="P90" s="3"/>
      <c r="Q90" s="4">
        <v>46060</v>
      </c>
      <c r="R90" s="5">
        <v>2561.11</v>
      </c>
      <c r="S90" s="3">
        <v>230</v>
      </c>
      <c r="T90" s="3"/>
      <c r="U90" s="3">
        <v>0</v>
      </c>
      <c r="V90" s="3" t="s">
        <v>8</v>
      </c>
      <c r="W90" s="5">
        <v>2714.77</v>
      </c>
      <c r="X90" s="5">
        <v>2714.77</v>
      </c>
      <c r="Y90" s="16">
        <v>2561.11</v>
      </c>
      <c r="Z90" s="3">
        <v>0</v>
      </c>
      <c r="AA90" s="3">
        <v>0</v>
      </c>
      <c r="AB90" s="5">
        <v>7990.65</v>
      </c>
      <c r="AD90" s="25" t="s">
        <v>1151</v>
      </c>
      <c r="AE90" s="25" t="s">
        <v>1162</v>
      </c>
      <c r="AF90" s="26">
        <v>2561.11</v>
      </c>
      <c r="AG90" s="32"/>
      <c r="AH90" s="19"/>
      <c r="AI90" s="5">
        <f>AF90</f>
        <v>2561.11</v>
      </c>
      <c r="AJ90" s="3"/>
      <c r="AK90" s="3"/>
      <c r="AL90" s="15">
        <f t="shared" si="7"/>
        <v>2561.11</v>
      </c>
      <c r="AM90" s="15">
        <f t="shared" si="9"/>
        <v>5429.5399999999991</v>
      </c>
      <c r="AN90" s="15">
        <f>AM90</f>
        <v>5429.5399999999991</v>
      </c>
      <c r="AO90" s="15">
        <f t="shared" si="10"/>
        <v>0</v>
      </c>
    </row>
    <row r="91" spans="1:41" x14ac:dyDescent="0.25">
      <c r="A91">
        <v>84</v>
      </c>
      <c r="B91" s="10" t="s">
        <v>454</v>
      </c>
      <c r="C91" s="10"/>
      <c r="D91" s="3" t="s">
        <v>455</v>
      </c>
      <c r="E91" s="3" t="s">
        <v>456</v>
      </c>
      <c r="F91" s="3" t="s">
        <v>457</v>
      </c>
      <c r="G91" s="3" t="s">
        <v>458</v>
      </c>
      <c r="H91" s="3" t="s">
        <v>249</v>
      </c>
      <c r="I91" s="3" t="s">
        <v>6</v>
      </c>
      <c r="J91" s="3"/>
      <c r="K91" s="3" t="s">
        <v>459</v>
      </c>
      <c r="L91" s="3"/>
      <c r="M91" s="3"/>
      <c r="N91" s="3"/>
      <c r="O91" s="6" t="s">
        <v>460</v>
      </c>
      <c r="P91" s="3"/>
      <c r="Q91" s="4">
        <v>45811</v>
      </c>
      <c r="R91" s="5">
        <v>758.65</v>
      </c>
      <c r="S91" s="3">
        <v>17</v>
      </c>
      <c r="T91" s="3"/>
      <c r="U91" s="3">
        <v>0</v>
      </c>
      <c r="V91" s="3" t="s">
        <v>8</v>
      </c>
      <c r="W91" s="3">
        <v>0</v>
      </c>
      <c r="X91" s="3">
        <v>0</v>
      </c>
      <c r="Y91" s="3">
        <v>0</v>
      </c>
      <c r="Z91" s="3">
        <v>0</v>
      </c>
      <c r="AA91" s="5">
        <v>0</v>
      </c>
      <c r="AB91" s="5">
        <v>0</v>
      </c>
      <c r="AD91" s="25"/>
      <c r="AE91" s="25"/>
      <c r="AF91" s="25"/>
      <c r="AG91" s="32"/>
      <c r="AH91" s="18"/>
      <c r="AI91" s="3"/>
      <c r="AJ91" s="3"/>
      <c r="AK91" s="5"/>
      <c r="AL91" s="15">
        <f t="shared" si="7"/>
        <v>0</v>
      </c>
      <c r="AM91" s="15">
        <f t="shared" si="9"/>
        <v>0</v>
      </c>
      <c r="AO91" s="15">
        <f t="shared" si="10"/>
        <v>0</v>
      </c>
    </row>
    <row r="92" spans="1:41" x14ac:dyDescent="0.25">
      <c r="A92">
        <v>85</v>
      </c>
      <c r="B92" s="10">
        <v>1133</v>
      </c>
      <c r="C92" s="10" t="s">
        <v>1058</v>
      </c>
      <c r="D92" s="3" t="s">
        <v>461</v>
      </c>
      <c r="E92" s="3" t="s">
        <v>462</v>
      </c>
      <c r="F92" s="6" t="s">
        <v>463</v>
      </c>
      <c r="G92" s="3" t="s">
        <v>464</v>
      </c>
      <c r="H92" s="3" t="s">
        <v>14</v>
      </c>
      <c r="I92" s="3" t="s">
        <v>6</v>
      </c>
      <c r="J92" s="3" t="s">
        <v>15</v>
      </c>
      <c r="K92" s="3" t="s">
        <v>465</v>
      </c>
      <c r="L92" s="3"/>
      <c r="M92" s="3"/>
      <c r="N92" s="3" t="s">
        <v>22</v>
      </c>
      <c r="O92" s="3"/>
      <c r="P92" s="3"/>
      <c r="Q92" s="4">
        <v>46052</v>
      </c>
      <c r="R92" s="5">
        <v>10102.219999999999</v>
      </c>
      <c r="S92" s="3">
        <v>129</v>
      </c>
      <c r="T92" s="3"/>
      <c r="U92" s="3">
        <v>0</v>
      </c>
      <c r="V92" s="3" t="s">
        <v>8</v>
      </c>
      <c r="W92" s="5">
        <v>10102.219999999999</v>
      </c>
      <c r="X92" s="3">
        <v>0</v>
      </c>
      <c r="Y92" s="3">
        <v>0</v>
      </c>
      <c r="Z92" s="3">
        <v>0</v>
      </c>
      <c r="AA92" s="3">
        <v>0</v>
      </c>
      <c r="AB92" s="5">
        <v>10102.219999999999</v>
      </c>
      <c r="AD92" s="25" t="s">
        <v>1165</v>
      </c>
      <c r="AE92" s="25" t="s">
        <v>1170</v>
      </c>
      <c r="AF92" s="26">
        <v>10102.219999999999</v>
      </c>
      <c r="AG92" s="33">
        <f>W92</f>
        <v>10102.219999999999</v>
      </c>
      <c r="AH92" s="18"/>
      <c r="AI92" s="3"/>
      <c r="AJ92" s="3"/>
      <c r="AK92" s="3"/>
      <c r="AL92" s="15">
        <f t="shared" si="7"/>
        <v>10102.219999999999</v>
      </c>
      <c r="AM92" s="15">
        <f t="shared" si="9"/>
        <v>0</v>
      </c>
      <c r="AN92">
        <v>0</v>
      </c>
      <c r="AO92" s="15">
        <f t="shared" si="10"/>
        <v>0</v>
      </c>
    </row>
    <row r="93" spans="1:41" x14ac:dyDescent="0.25">
      <c r="A93">
        <v>86</v>
      </c>
      <c r="B93" s="10" t="s">
        <v>466</v>
      </c>
      <c r="C93" s="10" t="s">
        <v>1059</v>
      </c>
      <c r="D93" s="3" t="s">
        <v>467</v>
      </c>
      <c r="E93" s="3" t="s">
        <v>468</v>
      </c>
      <c r="F93" s="3" t="s">
        <v>469</v>
      </c>
      <c r="G93" s="3" t="s">
        <v>470</v>
      </c>
      <c r="H93" s="3" t="s">
        <v>14</v>
      </c>
      <c r="I93" s="3" t="s">
        <v>6</v>
      </c>
      <c r="J93" s="3"/>
      <c r="K93" s="3" t="s">
        <v>471</v>
      </c>
      <c r="L93" s="3"/>
      <c r="M93" s="3"/>
      <c r="N93" s="3" t="s">
        <v>22</v>
      </c>
      <c r="O93" s="3"/>
      <c r="P93" s="3"/>
      <c r="Q93" s="4">
        <v>46081</v>
      </c>
      <c r="R93" s="5">
        <v>1025.06</v>
      </c>
      <c r="S93" s="3">
        <v>51</v>
      </c>
      <c r="T93" s="3"/>
      <c r="U93" s="3">
        <v>0</v>
      </c>
      <c r="V93" s="3" t="s">
        <v>8</v>
      </c>
      <c r="W93" s="5">
        <v>646.30999999999995</v>
      </c>
      <c r="X93" s="3">
        <v>0</v>
      </c>
      <c r="Y93" s="3">
        <v>0</v>
      </c>
      <c r="Z93" s="3">
        <v>0</v>
      </c>
      <c r="AA93" s="3">
        <v>0</v>
      </c>
      <c r="AB93" s="5">
        <v>646.30999999999995</v>
      </c>
      <c r="AD93" s="25"/>
      <c r="AE93" s="25"/>
      <c r="AF93" s="25"/>
      <c r="AG93" s="32"/>
      <c r="AH93" s="18"/>
      <c r="AI93" s="3"/>
      <c r="AJ93" s="3"/>
      <c r="AK93" s="3"/>
      <c r="AL93" s="15">
        <f t="shared" si="7"/>
        <v>0</v>
      </c>
      <c r="AM93" s="15">
        <f t="shared" si="9"/>
        <v>646.30999999999995</v>
      </c>
      <c r="AN93" s="15">
        <f>AM93</f>
        <v>646.30999999999995</v>
      </c>
      <c r="AO93" s="15">
        <f t="shared" si="10"/>
        <v>0</v>
      </c>
    </row>
    <row r="94" spans="1:41" x14ac:dyDescent="0.25">
      <c r="A94">
        <v>87</v>
      </c>
      <c r="B94" s="10" t="s">
        <v>472</v>
      </c>
      <c r="C94" s="10" t="s">
        <v>1060</v>
      </c>
      <c r="D94" s="3" t="s">
        <v>473</v>
      </c>
      <c r="E94" s="3" t="s">
        <v>474</v>
      </c>
      <c r="F94" s="3" t="s">
        <v>475</v>
      </c>
      <c r="G94" s="3" t="s">
        <v>476</v>
      </c>
      <c r="H94" s="3" t="s">
        <v>14</v>
      </c>
      <c r="I94" s="3" t="s">
        <v>6</v>
      </c>
      <c r="J94" s="3" t="s">
        <v>15</v>
      </c>
      <c r="K94" s="3" t="s">
        <v>477</v>
      </c>
      <c r="L94" s="3"/>
      <c r="M94" s="3"/>
      <c r="N94" s="3"/>
      <c r="O94" s="3"/>
      <c r="P94" s="3"/>
      <c r="Q94" s="4">
        <v>46081</v>
      </c>
      <c r="R94" s="5">
        <v>358.59</v>
      </c>
      <c r="S94" s="3">
        <v>40</v>
      </c>
      <c r="T94" s="3"/>
      <c r="U94" s="3">
        <v>0</v>
      </c>
      <c r="V94" s="3" t="s">
        <v>8</v>
      </c>
      <c r="W94" s="5">
        <v>358.59</v>
      </c>
      <c r="X94" s="3">
        <v>0</v>
      </c>
      <c r="Y94" s="3">
        <v>0</v>
      </c>
      <c r="Z94" s="3">
        <v>0</v>
      </c>
      <c r="AA94" s="3">
        <v>0</v>
      </c>
      <c r="AB94" s="5">
        <v>358.59</v>
      </c>
      <c r="AD94" s="25"/>
      <c r="AE94" s="25"/>
      <c r="AF94" s="25"/>
      <c r="AG94" s="32"/>
      <c r="AH94" s="18"/>
      <c r="AI94" s="3"/>
      <c r="AJ94" s="3"/>
      <c r="AK94" s="3"/>
      <c r="AL94" s="15">
        <f t="shared" si="7"/>
        <v>0</v>
      </c>
      <c r="AM94" s="15">
        <f t="shared" si="9"/>
        <v>358.59</v>
      </c>
      <c r="AN94" s="15">
        <f>AM94</f>
        <v>358.59</v>
      </c>
      <c r="AO94" s="15">
        <f t="shared" si="10"/>
        <v>0</v>
      </c>
    </row>
    <row r="95" spans="1:41" s="43" customFormat="1" x14ac:dyDescent="0.25">
      <c r="A95">
        <v>88</v>
      </c>
      <c r="B95" s="41" t="s">
        <v>478</v>
      </c>
      <c r="C95" s="41" t="s">
        <v>1061</v>
      </c>
      <c r="D95" s="40" t="s">
        <v>479</v>
      </c>
      <c r="E95" s="40" t="s">
        <v>480</v>
      </c>
      <c r="F95" s="40" t="s">
        <v>481</v>
      </c>
      <c r="G95" s="40" t="s">
        <v>482</v>
      </c>
      <c r="H95" s="40" t="s">
        <v>14</v>
      </c>
      <c r="I95" s="40" t="s">
        <v>6</v>
      </c>
      <c r="J95" s="40" t="s">
        <v>33</v>
      </c>
      <c r="K95" s="40" t="s">
        <v>483</v>
      </c>
      <c r="L95" s="40"/>
      <c r="M95" s="40"/>
      <c r="N95" s="40"/>
      <c r="O95" s="40">
        <v>1600</v>
      </c>
      <c r="P95" s="40"/>
      <c r="Q95" s="42">
        <v>46080</v>
      </c>
      <c r="R95" s="16">
        <v>17493.34</v>
      </c>
      <c r="S95" s="40">
        <v>555</v>
      </c>
      <c r="T95" s="40"/>
      <c r="U95" s="40">
        <v>0</v>
      </c>
      <c r="V95" s="40" t="s">
        <v>8</v>
      </c>
      <c r="W95" s="16">
        <v>17493.34</v>
      </c>
      <c r="X95" s="40">
        <v>0</v>
      </c>
      <c r="Y95" s="40">
        <v>0</v>
      </c>
      <c r="Z95" s="40">
        <v>0</v>
      </c>
      <c r="AA95" s="40">
        <v>0</v>
      </c>
      <c r="AB95" s="16">
        <v>17493.34</v>
      </c>
      <c r="AD95" s="44" t="s">
        <v>1179</v>
      </c>
      <c r="AE95" s="44" t="s">
        <v>1180</v>
      </c>
      <c r="AF95" s="27">
        <v>17493.34</v>
      </c>
      <c r="AG95" s="34">
        <f>AF95</f>
        <v>17493.34</v>
      </c>
      <c r="AH95" s="45"/>
      <c r="AI95" s="40"/>
      <c r="AJ95" s="40"/>
      <c r="AK95" s="40"/>
      <c r="AL95" s="17">
        <f t="shared" si="7"/>
        <v>17493.34</v>
      </c>
      <c r="AM95" s="17">
        <f t="shared" si="9"/>
        <v>0</v>
      </c>
      <c r="AN95" s="43">
        <v>0</v>
      </c>
      <c r="AO95" s="17">
        <f t="shared" si="10"/>
        <v>0</v>
      </c>
    </row>
    <row r="96" spans="1:41" x14ac:dyDescent="0.25">
      <c r="A96">
        <v>89</v>
      </c>
      <c r="B96" s="10" t="s">
        <v>484</v>
      </c>
      <c r="C96" s="10" t="s">
        <v>1062</v>
      </c>
      <c r="D96" s="3" t="s">
        <v>485</v>
      </c>
      <c r="E96" s="3" t="s">
        <v>486</v>
      </c>
      <c r="F96" s="3" t="s">
        <v>487</v>
      </c>
      <c r="G96" s="3" t="s">
        <v>488</v>
      </c>
      <c r="H96" s="3" t="s">
        <v>14</v>
      </c>
      <c r="I96" s="3" t="s">
        <v>6</v>
      </c>
      <c r="J96" s="3" t="s">
        <v>15</v>
      </c>
      <c r="K96" s="3" t="s">
        <v>489</v>
      </c>
      <c r="L96" s="3"/>
      <c r="M96" s="3"/>
      <c r="N96" s="3"/>
      <c r="O96" s="3">
        <v>8570</v>
      </c>
      <c r="P96" s="3"/>
      <c r="Q96" s="4">
        <v>46022</v>
      </c>
      <c r="R96" s="5">
        <v>1687.29</v>
      </c>
      <c r="S96" s="3">
        <v>204</v>
      </c>
      <c r="T96" s="3"/>
      <c r="U96" s="3">
        <v>0</v>
      </c>
      <c r="V96" s="3" t="s">
        <v>8</v>
      </c>
      <c r="W96" s="3">
        <v>0</v>
      </c>
      <c r="X96" s="3">
        <v>0</v>
      </c>
      <c r="Y96" s="5">
        <v>-0.01</v>
      </c>
      <c r="Z96" s="5">
        <v>-0.01</v>
      </c>
      <c r="AA96" s="3">
        <v>0.01</v>
      </c>
      <c r="AB96" s="5">
        <v>-0.01</v>
      </c>
      <c r="AD96" s="25"/>
      <c r="AE96" s="25"/>
      <c r="AF96" s="25"/>
      <c r="AG96" s="32"/>
      <c r="AH96" s="18"/>
      <c r="AI96" s="5"/>
      <c r="AJ96" s="5"/>
      <c r="AK96" s="3"/>
      <c r="AL96" s="15">
        <f t="shared" si="7"/>
        <v>0</v>
      </c>
      <c r="AM96" s="15">
        <f t="shared" si="9"/>
        <v>-0.01</v>
      </c>
      <c r="AO96" s="15">
        <f t="shared" si="10"/>
        <v>-0.01</v>
      </c>
    </row>
    <row r="97" spans="1:41" x14ac:dyDescent="0.25">
      <c r="A97">
        <v>90</v>
      </c>
      <c r="B97" s="10" t="s">
        <v>490</v>
      </c>
      <c r="C97" s="10"/>
      <c r="D97" s="3" t="s">
        <v>491</v>
      </c>
      <c r="E97" s="3" t="s">
        <v>492</v>
      </c>
      <c r="F97" s="3"/>
      <c r="G97" s="3" t="s">
        <v>493</v>
      </c>
      <c r="H97" s="3" t="s">
        <v>328</v>
      </c>
      <c r="I97" s="3" t="s">
        <v>6</v>
      </c>
      <c r="J97" s="3"/>
      <c r="K97" s="3" t="s">
        <v>494</v>
      </c>
      <c r="L97" s="3"/>
      <c r="M97" s="3"/>
      <c r="N97" s="3" t="s">
        <v>22</v>
      </c>
      <c r="O97" s="3"/>
      <c r="P97" s="3"/>
      <c r="Q97" s="4">
        <v>45841</v>
      </c>
      <c r="R97" s="5">
        <v>-12749.13</v>
      </c>
      <c r="S97" s="3">
        <v>167</v>
      </c>
      <c r="T97" s="3"/>
      <c r="U97" s="3">
        <v>0</v>
      </c>
      <c r="V97" s="3" t="s">
        <v>8</v>
      </c>
      <c r="W97" s="3">
        <v>0</v>
      </c>
      <c r="X97" s="3">
        <v>0</v>
      </c>
      <c r="Y97" s="3">
        <v>0</v>
      </c>
      <c r="Z97" s="3">
        <v>0</v>
      </c>
      <c r="AA97" s="5">
        <v>50996.52</v>
      </c>
      <c r="AB97" s="5">
        <v>50996.52</v>
      </c>
      <c r="AD97" s="25"/>
      <c r="AE97" s="25"/>
      <c r="AF97" s="25"/>
      <c r="AG97" s="32"/>
      <c r="AH97" s="18"/>
      <c r="AI97" s="3"/>
      <c r="AJ97" s="3"/>
      <c r="AK97" s="5"/>
      <c r="AL97" s="15">
        <f t="shared" si="7"/>
        <v>0</v>
      </c>
      <c r="AM97" s="15">
        <f t="shared" si="9"/>
        <v>50996.52</v>
      </c>
      <c r="AN97" s="15">
        <v>50996.52</v>
      </c>
      <c r="AO97" s="15">
        <f t="shared" si="10"/>
        <v>0</v>
      </c>
    </row>
    <row r="98" spans="1:41" x14ac:dyDescent="0.25">
      <c r="A98">
        <v>91</v>
      </c>
      <c r="B98" s="10" t="s">
        <v>495</v>
      </c>
      <c r="C98" s="10" t="s">
        <v>1063</v>
      </c>
      <c r="D98" s="3" t="s">
        <v>496</v>
      </c>
      <c r="E98" s="3" t="s">
        <v>314</v>
      </c>
      <c r="F98" s="3" t="s">
        <v>497</v>
      </c>
      <c r="G98" s="3" t="s">
        <v>316</v>
      </c>
      <c r="H98" s="3" t="s">
        <v>14</v>
      </c>
      <c r="I98" s="3" t="s">
        <v>6</v>
      </c>
      <c r="J98" s="3" t="s">
        <v>33</v>
      </c>
      <c r="K98" s="3" t="s">
        <v>498</v>
      </c>
      <c r="L98" s="3"/>
      <c r="M98" s="3"/>
      <c r="N98" s="3"/>
      <c r="O98" s="3">
        <v>2000</v>
      </c>
      <c r="P98" s="3"/>
      <c r="Q98" s="4">
        <v>46081</v>
      </c>
      <c r="R98" s="5">
        <v>2748.44</v>
      </c>
      <c r="S98" s="3">
        <v>359</v>
      </c>
      <c r="T98" s="3"/>
      <c r="U98" s="3">
        <v>0</v>
      </c>
      <c r="V98" s="3" t="s">
        <v>8</v>
      </c>
      <c r="W98" s="5">
        <v>19440.68</v>
      </c>
      <c r="X98" s="3">
        <v>0</v>
      </c>
      <c r="Y98" s="3">
        <v>0</v>
      </c>
      <c r="Z98" s="3">
        <v>0</v>
      </c>
      <c r="AA98" s="5">
        <v>-3.78</v>
      </c>
      <c r="AB98" s="5">
        <v>19436.900000000001</v>
      </c>
      <c r="AD98" s="25"/>
      <c r="AE98" s="25"/>
      <c r="AF98" s="25"/>
      <c r="AG98" s="32"/>
      <c r="AH98" s="18"/>
      <c r="AI98" s="3"/>
      <c r="AJ98" s="3"/>
      <c r="AK98" s="5"/>
      <c r="AL98" s="15">
        <f t="shared" si="7"/>
        <v>0</v>
      </c>
      <c r="AM98" s="15">
        <f t="shared" si="9"/>
        <v>19436.900000000001</v>
      </c>
      <c r="AN98" s="15">
        <f>AM98</f>
        <v>19436.900000000001</v>
      </c>
      <c r="AO98" s="15">
        <f t="shared" si="10"/>
        <v>0</v>
      </c>
    </row>
    <row r="99" spans="1:41" x14ac:dyDescent="0.25">
      <c r="A99">
        <v>92</v>
      </c>
      <c r="B99" s="10" t="s">
        <v>499</v>
      </c>
      <c r="C99" s="10" t="s">
        <v>1064</v>
      </c>
      <c r="D99" s="3" t="s">
        <v>500</v>
      </c>
      <c r="E99" s="3" t="s">
        <v>314</v>
      </c>
      <c r="F99" s="3" t="s">
        <v>501</v>
      </c>
      <c r="G99" s="3" t="s">
        <v>316</v>
      </c>
      <c r="H99" s="3" t="s">
        <v>14</v>
      </c>
      <c r="I99" s="3" t="s">
        <v>6</v>
      </c>
      <c r="J99" s="3" t="s">
        <v>33</v>
      </c>
      <c r="K99" s="3" t="s">
        <v>502</v>
      </c>
      <c r="L99" s="3"/>
      <c r="M99" s="3"/>
      <c r="N99" s="3"/>
      <c r="O99" s="3">
        <v>2000</v>
      </c>
      <c r="P99" s="3"/>
      <c r="Q99" s="4">
        <v>46081</v>
      </c>
      <c r="R99" s="5">
        <v>1212.6400000000001</v>
      </c>
      <c r="S99" s="3">
        <v>71</v>
      </c>
      <c r="T99" s="3" t="s">
        <v>503</v>
      </c>
      <c r="U99" s="3">
        <v>0</v>
      </c>
      <c r="V99" s="3" t="s">
        <v>8</v>
      </c>
      <c r="W99" s="5">
        <v>1212.6400000000001</v>
      </c>
      <c r="X99" s="3">
        <v>0</v>
      </c>
      <c r="Y99" s="3">
        <v>0</v>
      </c>
      <c r="Z99" s="3">
        <v>0</v>
      </c>
      <c r="AA99" s="3">
        <v>0</v>
      </c>
      <c r="AB99" s="5">
        <v>1212.6400000000001</v>
      </c>
      <c r="AD99" s="25"/>
      <c r="AE99" s="25"/>
      <c r="AF99" s="25"/>
      <c r="AG99" s="32"/>
      <c r="AH99" s="18"/>
      <c r="AI99" s="3"/>
      <c r="AJ99" s="3"/>
      <c r="AK99" s="3"/>
      <c r="AL99" s="15">
        <f t="shared" si="7"/>
        <v>0</v>
      </c>
      <c r="AM99" s="15">
        <f t="shared" si="9"/>
        <v>1212.6400000000001</v>
      </c>
      <c r="AN99" s="15">
        <f>AM99</f>
        <v>1212.6400000000001</v>
      </c>
      <c r="AO99" s="15">
        <f t="shared" si="10"/>
        <v>0</v>
      </c>
    </row>
    <row r="100" spans="1:41" x14ac:dyDescent="0.25">
      <c r="A100">
        <v>93</v>
      </c>
      <c r="B100" s="10" t="s">
        <v>504</v>
      </c>
      <c r="C100" s="10"/>
      <c r="D100" s="3" t="s">
        <v>505</v>
      </c>
      <c r="E100" s="3" t="s">
        <v>506</v>
      </c>
      <c r="F100" s="3"/>
      <c r="G100" s="3" t="s">
        <v>507</v>
      </c>
      <c r="H100" s="3" t="s">
        <v>14</v>
      </c>
      <c r="I100" s="3" t="s">
        <v>6</v>
      </c>
      <c r="J100" s="3"/>
      <c r="K100" s="3" t="s">
        <v>508</v>
      </c>
      <c r="L100" s="3"/>
      <c r="M100" s="3"/>
      <c r="N100" s="3" t="s">
        <v>22</v>
      </c>
      <c r="O100" s="3"/>
      <c r="P100" s="3"/>
      <c r="Q100" s="4">
        <v>46081</v>
      </c>
      <c r="R100" s="5">
        <v>3908.2</v>
      </c>
      <c r="S100" s="3">
        <v>227</v>
      </c>
      <c r="T100" s="3"/>
      <c r="U100" s="3">
        <v>0</v>
      </c>
      <c r="V100" s="3" t="s">
        <v>8</v>
      </c>
      <c r="W100" s="5">
        <v>3908.2</v>
      </c>
      <c r="X100" s="3">
        <v>0</v>
      </c>
      <c r="Y100" s="3">
        <v>0</v>
      </c>
      <c r="Z100" s="3">
        <v>0</v>
      </c>
      <c r="AA100" s="3">
        <v>0</v>
      </c>
      <c r="AB100" s="5">
        <v>3908.2</v>
      </c>
      <c r="AD100" s="25"/>
      <c r="AE100" s="25"/>
      <c r="AF100" s="25"/>
      <c r="AG100" s="32"/>
      <c r="AH100" s="18"/>
      <c r="AI100" s="3"/>
      <c r="AJ100" s="3"/>
      <c r="AK100" s="3"/>
      <c r="AL100" s="15">
        <f t="shared" si="7"/>
        <v>0</v>
      </c>
      <c r="AM100" s="15">
        <f t="shared" si="9"/>
        <v>3908.2</v>
      </c>
      <c r="AN100" s="15">
        <f>AM100</f>
        <v>3908.2</v>
      </c>
      <c r="AO100" s="15">
        <f t="shared" si="10"/>
        <v>0</v>
      </c>
    </row>
    <row r="101" spans="1:41" x14ac:dyDescent="0.25">
      <c r="A101">
        <v>94</v>
      </c>
      <c r="B101" s="10" t="s">
        <v>509</v>
      </c>
      <c r="C101" s="10" t="s">
        <v>1065</v>
      </c>
      <c r="D101" s="3" t="s">
        <v>510</v>
      </c>
      <c r="E101" s="3" t="s">
        <v>30</v>
      </c>
      <c r="F101" s="3" t="s">
        <v>511</v>
      </c>
      <c r="G101" s="3" t="s">
        <v>512</v>
      </c>
      <c r="H101" s="3" t="s">
        <v>14</v>
      </c>
      <c r="I101" s="3" t="s">
        <v>6</v>
      </c>
      <c r="J101" s="3"/>
      <c r="K101" s="3" t="s">
        <v>513</v>
      </c>
      <c r="L101" s="3"/>
      <c r="M101" s="3"/>
      <c r="N101" s="3"/>
      <c r="O101" s="3"/>
      <c r="P101" s="3"/>
      <c r="Q101" s="4">
        <v>46053</v>
      </c>
      <c r="R101" s="5">
        <v>2870.02</v>
      </c>
      <c r="S101" s="3">
        <v>39</v>
      </c>
      <c r="T101" s="3"/>
      <c r="U101" s="3">
        <v>0</v>
      </c>
      <c r="V101" s="3" t="s">
        <v>8</v>
      </c>
      <c r="W101" s="5">
        <v>2870.02</v>
      </c>
      <c r="X101" s="3">
        <v>0</v>
      </c>
      <c r="Y101" s="3">
        <v>0</v>
      </c>
      <c r="Z101" s="3">
        <v>0</v>
      </c>
      <c r="AA101" s="3">
        <v>0</v>
      </c>
      <c r="AB101" s="5">
        <v>2870.02</v>
      </c>
      <c r="AD101" s="25"/>
      <c r="AE101" s="25"/>
      <c r="AF101" s="25"/>
      <c r="AG101" s="32"/>
      <c r="AH101" s="18"/>
      <c r="AI101" s="3"/>
      <c r="AJ101" s="3"/>
      <c r="AK101" s="3"/>
      <c r="AL101" s="15">
        <f t="shared" si="7"/>
        <v>0</v>
      </c>
      <c r="AM101" s="15">
        <f t="shared" si="9"/>
        <v>2870.02</v>
      </c>
      <c r="AN101" s="15">
        <f t="shared" ref="AN101:AN122" si="11">AM101</f>
        <v>2870.02</v>
      </c>
      <c r="AO101" s="15">
        <f t="shared" si="10"/>
        <v>0</v>
      </c>
    </row>
    <row r="102" spans="1:41" x14ac:dyDescent="0.25">
      <c r="A102">
        <v>95</v>
      </c>
      <c r="B102" s="10">
        <v>1151</v>
      </c>
      <c r="C102" s="10" t="s">
        <v>1066</v>
      </c>
      <c r="D102" s="3" t="s">
        <v>514</v>
      </c>
      <c r="E102" s="3" t="s">
        <v>515</v>
      </c>
      <c r="F102" s="3" t="s">
        <v>516</v>
      </c>
      <c r="G102" s="3" t="s">
        <v>517</v>
      </c>
      <c r="H102" s="3" t="s">
        <v>14</v>
      </c>
      <c r="I102" s="3" t="s">
        <v>6</v>
      </c>
      <c r="J102" s="3"/>
      <c r="K102" s="3" t="s">
        <v>518</v>
      </c>
      <c r="L102" s="3"/>
      <c r="M102" s="3"/>
      <c r="N102" s="3" t="s">
        <v>22</v>
      </c>
      <c r="O102" s="3"/>
      <c r="P102" s="3"/>
      <c r="Q102" s="4">
        <v>46079</v>
      </c>
      <c r="R102" s="5">
        <v>2250.8200000000002</v>
      </c>
      <c r="S102" s="6" t="s">
        <v>519</v>
      </c>
      <c r="T102" s="3"/>
      <c r="U102" s="3">
        <v>0</v>
      </c>
      <c r="V102" s="3" t="s">
        <v>8</v>
      </c>
      <c r="W102" s="5">
        <v>10646.61</v>
      </c>
      <c r="X102" s="3">
        <v>0</v>
      </c>
      <c r="Y102" s="3">
        <v>0</v>
      </c>
      <c r="Z102" s="3">
        <v>0</v>
      </c>
      <c r="AA102" s="3">
        <v>0</v>
      </c>
      <c r="AB102" s="5">
        <v>10646.61</v>
      </c>
      <c r="AD102" s="25"/>
      <c r="AE102" s="25"/>
      <c r="AF102" s="25"/>
      <c r="AG102" s="32"/>
      <c r="AH102" s="18"/>
      <c r="AI102" s="3"/>
      <c r="AJ102" s="3"/>
      <c r="AK102" s="3"/>
      <c r="AL102" s="15">
        <f t="shared" si="7"/>
        <v>0</v>
      </c>
      <c r="AM102" s="15">
        <f t="shared" si="9"/>
        <v>10646.61</v>
      </c>
      <c r="AN102" s="15">
        <f t="shared" si="11"/>
        <v>10646.61</v>
      </c>
      <c r="AO102" s="15">
        <f t="shared" si="10"/>
        <v>0</v>
      </c>
    </row>
    <row r="103" spans="1:41" x14ac:dyDescent="0.25">
      <c r="A103">
        <v>96</v>
      </c>
      <c r="B103" s="10" t="s">
        <v>520</v>
      </c>
      <c r="C103" s="10" t="s">
        <v>1067</v>
      </c>
      <c r="D103" s="3" t="s">
        <v>521</v>
      </c>
      <c r="E103" s="3" t="s">
        <v>522</v>
      </c>
      <c r="F103" s="3" t="s">
        <v>523</v>
      </c>
      <c r="G103" s="3" t="s">
        <v>524</v>
      </c>
      <c r="H103" s="3" t="s">
        <v>14</v>
      </c>
      <c r="I103" s="3" t="s">
        <v>6</v>
      </c>
      <c r="J103" s="3"/>
      <c r="K103" s="3" t="s">
        <v>525</v>
      </c>
      <c r="L103" s="3"/>
      <c r="M103" s="3"/>
      <c r="N103" s="3" t="s">
        <v>22</v>
      </c>
      <c r="O103" s="3"/>
      <c r="P103" s="3"/>
      <c r="Q103" s="4">
        <v>46078</v>
      </c>
      <c r="R103" s="5">
        <v>4897.21</v>
      </c>
      <c r="S103" s="3">
        <v>179</v>
      </c>
      <c r="T103" s="3"/>
      <c r="U103" s="3">
        <v>0</v>
      </c>
      <c r="V103" s="3" t="s">
        <v>8</v>
      </c>
      <c r="W103" s="5">
        <v>4012.77</v>
      </c>
      <c r="X103" s="3">
        <v>0</v>
      </c>
      <c r="Y103" s="3">
        <v>0</v>
      </c>
      <c r="Z103" s="3">
        <v>0</v>
      </c>
      <c r="AA103" s="3">
        <v>0</v>
      </c>
      <c r="AB103" s="5">
        <v>4012.77</v>
      </c>
      <c r="AD103" s="25"/>
      <c r="AE103" s="25"/>
      <c r="AF103" s="25"/>
      <c r="AG103" s="32"/>
      <c r="AH103" s="18"/>
      <c r="AI103" s="3"/>
      <c r="AJ103" s="3"/>
      <c r="AK103" s="3"/>
      <c r="AL103" s="15">
        <f t="shared" si="7"/>
        <v>0</v>
      </c>
      <c r="AM103" s="15">
        <f t="shared" si="9"/>
        <v>4012.77</v>
      </c>
      <c r="AN103" s="15">
        <f t="shared" si="11"/>
        <v>4012.77</v>
      </c>
      <c r="AO103" s="15">
        <f t="shared" si="10"/>
        <v>0</v>
      </c>
    </row>
    <row r="104" spans="1:41" x14ac:dyDescent="0.25">
      <c r="A104">
        <v>97</v>
      </c>
      <c r="B104" s="10" t="s">
        <v>526</v>
      </c>
      <c r="C104" s="10" t="s">
        <v>1068</v>
      </c>
      <c r="D104" s="3" t="s">
        <v>527</v>
      </c>
      <c r="E104" s="3" t="s">
        <v>314</v>
      </c>
      <c r="F104" s="3" t="s">
        <v>528</v>
      </c>
      <c r="G104" s="3" t="s">
        <v>316</v>
      </c>
      <c r="H104" s="3" t="s">
        <v>14</v>
      </c>
      <c r="I104" s="3" t="s">
        <v>6</v>
      </c>
      <c r="J104" s="3" t="s">
        <v>33</v>
      </c>
      <c r="K104" s="3" t="s">
        <v>529</v>
      </c>
      <c r="L104" s="3"/>
      <c r="M104" s="3"/>
      <c r="N104" s="3"/>
      <c r="O104" s="3">
        <v>1422</v>
      </c>
      <c r="P104" s="3"/>
      <c r="Q104" s="4">
        <v>45930</v>
      </c>
      <c r="R104" s="5">
        <v>1207.5</v>
      </c>
      <c r="S104" s="3">
        <v>1339</v>
      </c>
      <c r="T104" s="3" t="s">
        <v>530</v>
      </c>
      <c r="U104" s="3">
        <v>0</v>
      </c>
      <c r="V104" s="3" t="s">
        <v>8</v>
      </c>
      <c r="W104" s="5">
        <v>28245.61</v>
      </c>
      <c r="X104" s="3">
        <v>0</v>
      </c>
      <c r="Y104" s="3">
        <v>0</v>
      </c>
      <c r="Z104" s="3">
        <v>0</v>
      </c>
      <c r="AA104" s="5">
        <v>-0.1</v>
      </c>
      <c r="AB104" s="5">
        <v>28245.51</v>
      </c>
      <c r="AD104" s="25"/>
      <c r="AE104" s="25"/>
      <c r="AF104" s="25"/>
      <c r="AG104" s="32"/>
      <c r="AH104" s="18"/>
      <c r="AI104" s="3"/>
      <c r="AJ104" s="3"/>
      <c r="AK104" s="5"/>
      <c r="AL104" s="15">
        <f t="shared" si="7"/>
        <v>0</v>
      </c>
      <c r="AM104" s="15">
        <f t="shared" si="9"/>
        <v>28245.51</v>
      </c>
      <c r="AN104" s="15">
        <f t="shared" si="11"/>
        <v>28245.51</v>
      </c>
      <c r="AO104" s="15">
        <f t="shared" si="10"/>
        <v>0</v>
      </c>
    </row>
    <row r="105" spans="1:41" x14ac:dyDescent="0.25">
      <c r="A105">
        <v>98</v>
      </c>
      <c r="B105" s="10" t="s">
        <v>531</v>
      </c>
      <c r="C105" s="10" t="s">
        <v>1069</v>
      </c>
      <c r="D105" s="3" t="s">
        <v>532</v>
      </c>
      <c r="E105" s="3" t="s">
        <v>314</v>
      </c>
      <c r="F105" s="3" t="s">
        <v>533</v>
      </c>
      <c r="G105" s="3" t="s">
        <v>316</v>
      </c>
      <c r="H105" s="3"/>
      <c r="I105" s="3" t="s">
        <v>6</v>
      </c>
      <c r="J105" s="3" t="s">
        <v>33</v>
      </c>
      <c r="K105" s="3" t="s">
        <v>534</v>
      </c>
      <c r="L105" s="3"/>
      <c r="M105" s="3"/>
      <c r="N105" s="3" t="s">
        <v>22</v>
      </c>
      <c r="O105" s="3"/>
      <c r="P105" s="3"/>
      <c r="Q105" s="4">
        <v>46081</v>
      </c>
      <c r="R105" s="5">
        <v>1212.6400000000001</v>
      </c>
      <c r="S105" s="3">
        <v>61</v>
      </c>
      <c r="T105" s="3"/>
      <c r="U105" s="3">
        <v>0</v>
      </c>
      <c r="V105" s="3" t="s">
        <v>8</v>
      </c>
      <c r="W105" s="5">
        <v>1212.6400000000001</v>
      </c>
      <c r="X105" s="3">
        <v>0</v>
      </c>
      <c r="Y105" s="3">
        <v>0</v>
      </c>
      <c r="Z105" s="3">
        <v>0</v>
      </c>
      <c r="AA105" s="3">
        <v>0</v>
      </c>
      <c r="AB105" s="5">
        <v>1212.6400000000001</v>
      </c>
      <c r="AD105" s="25"/>
      <c r="AE105" s="25"/>
      <c r="AF105" s="25"/>
      <c r="AG105" s="32"/>
      <c r="AH105" s="18"/>
      <c r="AI105" s="3"/>
      <c r="AJ105" s="3"/>
      <c r="AK105" s="3"/>
      <c r="AL105" s="15">
        <f t="shared" si="7"/>
        <v>0</v>
      </c>
      <c r="AM105" s="15">
        <f t="shared" si="9"/>
        <v>1212.6400000000001</v>
      </c>
      <c r="AN105" s="15">
        <f t="shared" si="11"/>
        <v>1212.6400000000001</v>
      </c>
      <c r="AO105" s="15">
        <f t="shared" si="10"/>
        <v>0</v>
      </c>
    </row>
    <row r="106" spans="1:41" x14ac:dyDescent="0.25">
      <c r="A106">
        <v>99</v>
      </c>
      <c r="B106" s="10" t="s">
        <v>535</v>
      </c>
      <c r="C106" s="10" t="s">
        <v>1070</v>
      </c>
      <c r="D106" s="3" t="s">
        <v>536</v>
      </c>
      <c r="E106" s="3" t="s">
        <v>314</v>
      </c>
      <c r="F106" s="3" t="s">
        <v>537</v>
      </c>
      <c r="G106" s="3" t="s">
        <v>316</v>
      </c>
      <c r="H106" s="3" t="s">
        <v>14</v>
      </c>
      <c r="I106" s="3" t="s">
        <v>6</v>
      </c>
      <c r="J106" s="3" t="s">
        <v>33</v>
      </c>
      <c r="K106" s="3" t="s">
        <v>538</v>
      </c>
      <c r="L106" s="3"/>
      <c r="M106" s="3"/>
      <c r="N106" s="3"/>
      <c r="O106" s="3">
        <v>2000</v>
      </c>
      <c r="P106" s="3"/>
      <c r="Q106" s="4">
        <v>46081</v>
      </c>
      <c r="R106" s="5">
        <v>6669.39</v>
      </c>
      <c r="S106" s="3">
        <v>127</v>
      </c>
      <c r="T106" s="3"/>
      <c r="U106" s="3">
        <v>0</v>
      </c>
      <c r="V106" s="3" t="s">
        <v>8</v>
      </c>
      <c r="W106" s="5">
        <v>7558.87</v>
      </c>
      <c r="X106" s="3">
        <v>0</v>
      </c>
      <c r="Y106" s="3">
        <v>0</v>
      </c>
      <c r="Z106" s="3">
        <v>0</v>
      </c>
      <c r="AA106" s="3">
        <v>0</v>
      </c>
      <c r="AB106" s="5">
        <v>7558.87</v>
      </c>
      <c r="AD106" s="25"/>
      <c r="AE106" s="25"/>
      <c r="AF106" s="25"/>
      <c r="AG106" s="32"/>
      <c r="AH106" s="18"/>
      <c r="AI106" s="3"/>
      <c r="AJ106" s="3"/>
      <c r="AK106" s="3"/>
      <c r="AL106" s="15">
        <f t="shared" si="7"/>
        <v>0</v>
      </c>
      <c r="AM106" s="15">
        <f t="shared" si="9"/>
        <v>7558.87</v>
      </c>
      <c r="AN106" s="15">
        <f t="shared" si="11"/>
        <v>7558.87</v>
      </c>
      <c r="AO106" s="15">
        <f t="shared" si="10"/>
        <v>0</v>
      </c>
    </row>
    <row r="107" spans="1:41" x14ac:dyDescent="0.25">
      <c r="A107">
        <v>100</v>
      </c>
      <c r="B107" s="10" t="s">
        <v>539</v>
      </c>
      <c r="C107" s="10" t="s">
        <v>1071</v>
      </c>
      <c r="D107" s="3" t="s">
        <v>540</v>
      </c>
      <c r="E107" s="3" t="s">
        <v>314</v>
      </c>
      <c r="F107" s="3" t="s">
        <v>541</v>
      </c>
      <c r="G107" s="3" t="s">
        <v>316</v>
      </c>
      <c r="H107" s="3" t="s">
        <v>14</v>
      </c>
      <c r="I107" s="3" t="s">
        <v>6</v>
      </c>
      <c r="J107" s="3" t="s">
        <v>33</v>
      </c>
      <c r="K107" s="3" t="s">
        <v>542</v>
      </c>
      <c r="L107" s="3"/>
      <c r="M107" s="3"/>
      <c r="N107" s="3"/>
      <c r="O107" s="3">
        <v>1508</v>
      </c>
      <c r="P107" s="3"/>
      <c r="Q107" s="4">
        <v>46081</v>
      </c>
      <c r="R107" s="5">
        <v>13064.4</v>
      </c>
      <c r="S107" s="3">
        <v>273</v>
      </c>
      <c r="T107" s="3" t="s">
        <v>543</v>
      </c>
      <c r="U107" s="3">
        <v>0</v>
      </c>
      <c r="V107" s="3" t="s">
        <v>8</v>
      </c>
      <c r="W107" s="5">
        <v>13064.4</v>
      </c>
      <c r="X107" s="3">
        <v>0</v>
      </c>
      <c r="Y107" s="3">
        <v>0</v>
      </c>
      <c r="Z107" s="3">
        <v>0</v>
      </c>
      <c r="AA107" s="5">
        <v>-0.06</v>
      </c>
      <c r="AB107" s="5">
        <v>13064.34</v>
      </c>
      <c r="AD107" s="25"/>
      <c r="AE107" s="25"/>
      <c r="AF107" s="25"/>
      <c r="AG107" s="32"/>
      <c r="AH107" s="18"/>
      <c r="AI107" s="3"/>
      <c r="AJ107" s="3"/>
      <c r="AK107" s="5"/>
      <c r="AL107" s="15">
        <f t="shared" si="7"/>
        <v>0</v>
      </c>
      <c r="AM107" s="15">
        <f t="shared" si="9"/>
        <v>13064.34</v>
      </c>
      <c r="AN107" s="15">
        <f t="shared" si="11"/>
        <v>13064.34</v>
      </c>
      <c r="AO107" s="15">
        <f t="shared" si="10"/>
        <v>0</v>
      </c>
    </row>
    <row r="108" spans="1:41" x14ac:dyDescent="0.25">
      <c r="A108">
        <v>101</v>
      </c>
      <c r="B108" s="10" t="s">
        <v>544</v>
      </c>
      <c r="C108" s="10" t="s">
        <v>1072</v>
      </c>
      <c r="D108" s="3" t="s">
        <v>545</v>
      </c>
      <c r="E108" s="3" t="s">
        <v>314</v>
      </c>
      <c r="F108" s="3" t="s">
        <v>533</v>
      </c>
      <c r="G108" s="3" t="s">
        <v>316</v>
      </c>
      <c r="H108" s="3" t="s">
        <v>14</v>
      </c>
      <c r="I108" s="3" t="s">
        <v>6</v>
      </c>
      <c r="J108" s="3" t="s">
        <v>33</v>
      </c>
      <c r="K108" s="3" t="s">
        <v>546</v>
      </c>
      <c r="L108" s="3"/>
      <c r="M108" s="3"/>
      <c r="N108" s="3"/>
      <c r="O108" s="3">
        <v>4110</v>
      </c>
      <c r="P108" s="3"/>
      <c r="Q108" s="4">
        <v>46081</v>
      </c>
      <c r="R108" s="5">
        <v>4495.95</v>
      </c>
      <c r="S108" s="3">
        <v>62</v>
      </c>
      <c r="T108" s="3"/>
      <c r="U108" s="3">
        <v>0</v>
      </c>
      <c r="V108" s="3" t="s">
        <v>8</v>
      </c>
      <c r="W108" s="5">
        <v>4495.91</v>
      </c>
      <c r="X108" s="3">
        <v>0</v>
      </c>
      <c r="Y108" s="3">
        <v>0</v>
      </c>
      <c r="Z108" s="3">
        <v>0</v>
      </c>
      <c r="AA108" s="3">
        <v>0</v>
      </c>
      <c r="AB108" s="5">
        <v>4495.91</v>
      </c>
      <c r="AD108" s="25"/>
      <c r="AE108" s="25"/>
      <c r="AF108" s="25"/>
      <c r="AG108" s="32"/>
      <c r="AH108" s="18"/>
      <c r="AI108" s="3"/>
      <c r="AJ108" s="3"/>
      <c r="AK108" s="3"/>
      <c r="AL108" s="15">
        <f t="shared" si="7"/>
        <v>0</v>
      </c>
      <c r="AM108" s="15">
        <f t="shared" si="9"/>
        <v>4495.91</v>
      </c>
      <c r="AN108" s="15">
        <f t="shared" si="11"/>
        <v>4495.91</v>
      </c>
      <c r="AO108" s="15">
        <f t="shared" si="10"/>
        <v>0</v>
      </c>
    </row>
    <row r="109" spans="1:41" x14ac:dyDescent="0.25">
      <c r="A109">
        <v>102</v>
      </c>
      <c r="B109" s="10" t="s">
        <v>547</v>
      </c>
      <c r="C109" s="10" t="s">
        <v>1073</v>
      </c>
      <c r="D109" s="3" t="s">
        <v>548</v>
      </c>
      <c r="E109" s="3" t="s">
        <v>314</v>
      </c>
      <c r="F109" s="3" t="s">
        <v>549</v>
      </c>
      <c r="G109" s="3" t="s">
        <v>316</v>
      </c>
      <c r="H109" s="3" t="s">
        <v>14</v>
      </c>
      <c r="I109" s="3" t="s">
        <v>6</v>
      </c>
      <c r="J109" s="3" t="s">
        <v>33</v>
      </c>
      <c r="K109" s="3" t="s">
        <v>550</v>
      </c>
      <c r="L109" s="3"/>
      <c r="M109" s="3"/>
      <c r="N109" s="3"/>
      <c r="O109" s="3">
        <v>9300</v>
      </c>
      <c r="P109" s="3"/>
      <c r="Q109" s="4">
        <v>46081</v>
      </c>
      <c r="R109" s="5">
        <v>15462.71</v>
      </c>
      <c r="S109" s="3">
        <v>284</v>
      </c>
      <c r="T109" s="3"/>
      <c r="U109" s="3">
        <v>0</v>
      </c>
      <c r="V109" s="3" t="s">
        <v>8</v>
      </c>
      <c r="W109" s="5">
        <v>15462.71</v>
      </c>
      <c r="X109" s="3">
        <v>0</v>
      </c>
      <c r="Y109" s="3">
        <v>0.01</v>
      </c>
      <c r="Z109" s="3">
        <v>0</v>
      </c>
      <c r="AA109" s="5">
        <v>-0.08</v>
      </c>
      <c r="AB109" s="5">
        <v>15462.64</v>
      </c>
      <c r="AD109" s="25"/>
      <c r="AE109" s="25"/>
      <c r="AF109" s="25"/>
      <c r="AG109" s="32"/>
      <c r="AH109" s="18"/>
      <c r="AI109" s="3"/>
      <c r="AJ109" s="3"/>
      <c r="AK109" s="5"/>
      <c r="AL109" s="15">
        <f t="shared" si="7"/>
        <v>0</v>
      </c>
      <c r="AM109" s="15">
        <f t="shared" si="9"/>
        <v>15462.64</v>
      </c>
      <c r="AN109" s="15">
        <f t="shared" si="11"/>
        <v>15462.64</v>
      </c>
      <c r="AO109" s="15">
        <f t="shared" si="10"/>
        <v>0</v>
      </c>
    </row>
    <row r="110" spans="1:41" x14ac:dyDescent="0.25">
      <c r="A110">
        <v>103</v>
      </c>
      <c r="B110" s="10" t="s">
        <v>551</v>
      </c>
      <c r="C110" s="10"/>
      <c r="D110" s="3" t="s">
        <v>552</v>
      </c>
      <c r="E110" s="3" t="s">
        <v>314</v>
      </c>
      <c r="F110" s="3" t="s">
        <v>553</v>
      </c>
      <c r="G110" s="3" t="s">
        <v>316</v>
      </c>
      <c r="H110" s="3" t="s">
        <v>14</v>
      </c>
      <c r="I110" s="3" t="s">
        <v>6</v>
      </c>
      <c r="J110" s="3" t="s">
        <v>33</v>
      </c>
      <c r="K110" s="3" t="s">
        <v>554</v>
      </c>
      <c r="L110" s="3"/>
      <c r="M110" s="3"/>
      <c r="N110" s="3"/>
      <c r="O110" s="3">
        <v>1960</v>
      </c>
      <c r="P110" s="3"/>
      <c r="Q110" s="4">
        <v>46081</v>
      </c>
      <c r="R110" s="5">
        <v>6778.22</v>
      </c>
      <c r="S110" s="3">
        <v>183</v>
      </c>
      <c r="T110" s="3"/>
      <c r="U110" s="3">
        <v>0</v>
      </c>
      <c r="V110" s="3" t="s">
        <v>8</v>
      </c>
      <c r="W110" s="5">
        <v>14691.38</v>
      </c>
      <c r="X110" s="3">
        <v>0</v>
      </c>
      <c r="Y110" s="3">
        <v>0</v>
      </c>
      <c r="Z110" s="3">
        <v>0</v>
      </c>
      <c r="AA110" s="3">
        <v>0</v>
      </c>
      <c r="AB110" s="5">
        <v>14691.38</v>
      </c>
      <c r="AD110" s="25"/>
      <c r="AE110" s="25"/>
      <c r="AF110" s="25"/>
      <c r="AG110" s="32"/>
      <c r="AH110" s="18"/>
      <c r="AI110" s="3"/>
      <c r="AJ110" s="3"/>
      <c r="AK110" s="3"/>
      <c r="AL110" s="15">
        <f t="shared" si="7"/>
        <v>0</v>
      </c>
      <c r="AM110" s="15">
        <f t="shared" si="9"/>
        <v>14691.38</v>
      </c>
      <c r="AN110" s="15">
        <f t="shared" si="11"/>
        <v>14691.38</v>
      </c>
      <c r="AO110" s="15">
        <f t="shared" si="10"/>
        <v>0</v>
      </c>
    </row>
    <row r="111" spans="1:41" x14ac:dyDescent="0.25">
      <c r="A111">
        <v>104</v>
      </c>
      <c r="B111" s="10" t="s">
        <v>555</v>
      </c>
      <c r="C111" s="10" t="s">
        <v>1074</v>
      </c>
      <c r="D111" s="3" t="s">
        <v>556</v>
      </c>
      <c r="E111" s="3" t="s">
        <v>314</v>
      </c>
      <c r="F111" s="3" t="s">
        <v>557</v>
      </c>
      <c r="G111" s="3" t="s">
        <v>316</v>
      </c>
      <c r="H111" s="3" t="s">
        <v>14</v>
      </c>
      <c r="I111" s="3" t="s">
        <v>6</v>
      </c>
      <c r="J111" s="3" t="s">
        <v>33</v>
      </c>
      <c r="K111" s="3" t="s">
        <v>558</v>
      </c>
      <c r="L111" s="3"/>
      <c r="M111" s="3"/>
      <c r="N111" s="3"/>
      <c r="O111" s="3">
        <v>7535</v>
      </c>
      <c r="P111" s="3"/>
      <c r="Q111" s="4">
        <v>46081</v>
      </c>
      <c r="R111" s="5">
        <v>23815.02</v>
      </c>
      <c r="S111" s="3">
        <v>290</v>
      </c>
      <c r="T111" s="3" t="s">
        <v>559</v>
      </c>
      <c r="U111" s="3">
        <v>0</v>
      </c>
      <c r="V111" s="3" t="s">
        <v>8</v>
      </c>
      <c r="W111" s="5">
        <v>23815.02</v>
      </c>
      <c r="X111" s="3">
        <v>0</v>
      </c>
      <c r="Y111" s="3">
        <v>0</v>
      </c>
      <c r="Z111" s="3">
        <v>0</v>
      </c>
      <c r="AA111" s="3">
        <v>0</v>
      </c>
      <c r="AB111" s="5">
        <v>23815.02</v>
      </c>
      <c r="AD111" s="25"/>
      <c r="AE111" s="25"/>
      <c r="AF111" s="25"/>
      <c r="AG111" s="32"/>
      <c r="AH111" s="18"/>
      <c r="AI111" s="3"/>
      <c r="AJ111" s="3"/>
      <c r="AK111" s="3"/>
      <c r="AL111" s="15">
        <f t="shared" si="7"/>
        <v>0</v>
      </c>
      <c r="AM111" s="15">
        <f t="shared" si="9"/>
        <v>23815.02</v>
      </c>
      <c r="AN111" s="15">
        <f>AM111</f>
        <v>23815.02</v>
      </c>
      <c r="AO111" s="15">
        <f t="shared" si="10"/>
        <v>0</v>
      </c>
    </row>
    <row r="112" spans="1:41" x14ac:dyDescent="0.25">
      <c r="A112">
        <v>105</v>
      </c>
      <c r="B112" s="10" t="s">
        <v>560</v>
      </c>
      <c r="C112" s="10" t="s">
        <v>1075</v>
      </c>
      <c r="D112" s="3" t="s">
        <v>561</v>
      </c>
      <c r="E112" s="3" t="s">
        <v>314</v>
      </c>
      <c r="F112" s="3" t="s">
        <v>533</v>
      </c>
      <c r="G112" s="3" t="s">
        <v>316</v>
      </c>
      <c r="H112" s="3" t="s">
        <v>14</v>
      </c>
      <c r="I112" s="3" t="s">
        <v>6</v>
      </c>
      <c r="J112" s="3" t="s">
        <v>33</v>
      </c>
      <c r="K112" s="3" t="s">
        <v>546</v>
      </c>
      <c r="L112" s="3"/>
      <c r="M112" s="3"/>
      <c r="N112" s="3"/>
      <c r="O112" s="3">
        <v>4000</v>
      </c>
      <c r="P112" s="3"/>
      <c r="Q112" s="4">
        <v>46081</v>
      </c>
      <c r="R112" s="5">
        <v>3314.76</v>
      </c>
      <c r="S112" s="3">
        <v>216</v>
      </c>
      <c r="T112" s="3" t="s">
        <v>562</v>
      </c>
      <c r="U112" s="3">
        <v>0</v>
      </c>
      <c r="V112" s="3" t="s">
        <v>8</v>
      </c>
      <c r="W112" s="5">
        <v>30561.75</v>
      </c>
      <c r="X112" s="3">
        <v>0.01</v>
      </c>
      <c r="Y112" s="3">
        <v>0.01</v>
      </c>
      <c r="Z112" s="3">
        <v>0.01</v>
      </c>
      <c r="AA112" s="3">
        <v>0.01</v>
      </c>
      <c r="AB112" s="5">
        <v>30561.79</v>
      </c>
      <c r="AD112" s="25"/>
      <c r="AE112" s="25"/>
      <c r="AF112" s="25"/>
      <c r="AG112" s="32"/>
      <c r="AH112" s="18"/>
      <c r="AI112" s="3"/>
      <c r="AJ112" s="3"/>
      <c r="AK112" s="3"/>
      <c r="AL112" s="15">
        <f t="shared" si="7"/>
        <v>0</v>
      </c>
      <c r="AM112" s="15">
        <f t="shared" si="9"/>
        <v>30561.79</v>
      </c>
      <c r="AN112" s="15">
        <f t="shared" si="11"/>
        <v>30561.79</v>
      </c>
      <c r="AO112" s="15">
        <f t="shared" si="10"/>
        <v>0</v>
      </c>
    </row>
    <row r="113" spans="1:41" x14ac:dyDescent="0.25">
      <c r="A113">
        <v>106</v>
      </c>
      <c r="B113" s="10" t="s">
        <v>563</v>
      </c>
      <c r="C113" s="10" t="s">
        <v>1076</v>
      </c>
      <c r="D113" s="3" t="s">
        <v>564</v>
      </c>
      <c r="E113" s="3" t="s">
        <v>314</v>
      </c>
      <c r="F113" s="3" t="s">
        <v>541</v>
      </c>
      <c r="G113" s="3" t="s">
        <v>316</v>
      </c>
      <c r="H113" s="3" t="s">
        <v>14</v>
      </c>
      <c r="I113" s="3" t="s">
        <v>6</v>
      </c>
      <c r="J113" s="3" t="s">
        <v>33</v>
      </c>
      <c r="K113" s="3" t="s">
        <v>565</v>
      </c>
      <c r="L113" s="3"/>
      <c r="M113" s="3"/>
      <c r="N113" s="3"/>
      <c r="O113" s="3">
        <v>2000</v>
      </c>
      <c r="P113" s="3"/>
      <c r="Q113" s="4">
        <v>46081</v>
      </c>
      <c r="R113" s="5">
        <v>62304.67</v>
      </c>
      <c r="S113" s="3">
        <v>463</v>
      </c>
      <c r="T113" s="3" t="s">
        <v>566</v>
      </c>
      <c r="U113" s="3">
        <v>0</v>
      </c>
      <c r="V113" s="3" t="s">
        <v>8</v>
      </c>
      <c r="W113" s="5">
        <v>62304.639999999999</v>
      </c>
      <c r="X113" s="3">
        <v>0</v>
      </c>
      <c r="Y113" s="3">
        <v>0</v>
      </c>
      <c r="Z113" s="3">
        <v>0</v>
      </c>
      <c r="AA113" s="5">
        <v>-0.38</v>
      </c>
      <c r="AB113" s="5">
        <v>62304.26</v>
      </c>
      <c r="AD113" s="25"/>
      <c r="AE113" s="25"/>
      <c r="AF113" s="25"/>
      <c r="AG113" s="32"/>
      <c r="AH113" s="18"/>
      <c r="AI113" s="3"/>
      <c r="AJ113" s="3"/>
      <c r="AK113" s="5"/>
      <c r="AL113" s="15">
        <f t="shared" si="7"/>
        <v>0</v>
      </c>
      <c r="AM113" s="15">
        <f t="shared" si="9"/>
        <v>62304.26</v>
      </c>
      <c r="AN113" s="15">
        <f t="shared" si="11"/>
        <v>62304.26</v>
      </c>
      <c r="AO113" s="15">
        <f t="shared" si="10"/>
        <v>0</v>
      </c>
    </row>
    <row r="114" spans="1:41" x14ac:dyDescent="0.25">
      <c r="A114">
        <v>107</v>
      </c>
      <c r="B114" s="10" t="s">
        <v>567</v>
      </c>
      <c r="C114" s="10" t="s">
        <v>1077</v>
      </c>
      <c r="D114" s="3" t="s">
        <v>568</v>
      </c>
      <c r="E114" s="3" t="s">
        <v>314</v>
      </c>
      <c r="F114" s="3" t="s">
        <v>569</v>
      </c>
      <c r="G114" s="3" t="s">
        <v>316</v>
      </c>
      <c r="H114" s="3" t="s">
        <v>14</v>
      </c>
      <c r="I114" s="3" t="s">
        <v>6</v>
      </c>
      <c r="J114" s="3"/>
      <c r="K114" s="3" t="s">
        <v>570</v>
      </c>
      <c r="L114" s="3"/>
      <c r="M114" s="3"/>
      <c r="N114" s="3"/>
      <c r="O114" s="3">
        <v>2000</v>
      </c>
      <c r="P114" s="3"/>
      <c r="Q114" s="4">
        <v>46081</v>
      </c>
      <c r="R114" s="5">
        <v>4091.06</v>
      </c>
      <c r="S114" s="3">
        <v>414</v>
      </c>
      <c r="T114" s="3"/>
      <c r="U114" s="3">
        <v>0</v>
      </c>
      <c r="V114" s="3" t="s">
        <v>8</v>
      </c>
      <c r="W114" s="5">
        <v>3646.31</v>
      </c>
      <c r="X114" s="3">
        <v>0</v>
      </c>
      <c r="Y114" s="3">
        <v>0</v>
      </c>
      <c r="Z114" s="3">
        <v>0</v>
      </c>
      <c r="AA114" s="3">
        <v>0.04</v>
      </c>
      <c r="AB114" s="5">
        <v>3646.35</v>
      </c>
      <c r="AD114" s="25"/>
      <c r="AE114" s="25"/>
      <c r="AF114" s="25"/>
      <c r="AG114" s="32"/>
      <c r="AH114" s="18"/>
      <c r="AI114" s="3"/>
      <c r="AJ114" s="3"/>
      <c r="AK114" s="3"/>
      <c r="AL114" s="15">
        <f t="shared" si="7"/>
        <v>0</v>
      </c>
      <c r="AM114" s="15">
        <f t="shared" si="9"/>
        <v>3646.35</v>
      </c>
      <c r="AN114" s="15">
        <f t="shared" si="11"/>
        <v>3646.35</v>
      </c>
      <c r="AO114" s="15">
        <f t="shared" si="10"/>
        <v>0</v>
      </c>
    </row>
    <row r="115" spans="1:41" x14ac:dyDescent="0.25">
      <c r="A115">
        <v>108</v>
      </c>
      <c r="B115" s="10" t="s">
        <v>571</v>
      </c>
      <c r="C115" s="10" t="s">
        <v>1078</v>
      </c>
      <c r="D115" s="3" t="s">
        <v>572</v>
      </c>
      <c r="E115" s="3" t="s">
        <v>314</v>
      </c>
      <c r="F115" s="3" t="s">
        <v>541</v>
      </c>
      <c r="G115" s="3" t="s">
        <v>316</v>
      </c>
      <c r="H115" s="3" t="s">
        <v>14</v>
      </c>
      <c r="I115" s="3" t="s">
        <v>6</v>
      </c>
      <c r="J115" s="3" t="s">
        <v>33</v>
      </c>
      <c r="K115" s="3" t="s">
        <v>573</v>
      </c>
      <c r="L115" s="3"/>
      <c r="M115" s="3"/>
      <c r="N115" s="3"/>
      <c r="O115" s="3">
        <v>1390</v>
      </c>
      <c r="P115" s="3"/>
      <c r="Q115" s="4">
        <v>46081</v>
      </c>
      <c r="R115" s="5">
        <v>4051.17</v>
      </c>
      <c r="S115" s="3">
        <v>166</v>
      </c>
      <c r="T115" s="3" t="s">
        <v>574</v>
      </c>
      <c r="U115" s="3">
        <v>0</v>
      </c>
      <c r="V115" s="3" t="s">
        <v>8</v>
      </c>
      <c r="W115" s="5">
        <v>4051.17</v>
      </c>
      <c r="X115" s="3">
        <v>0</v>
      </c>
      <c r="Y115" s="3">
        <v>0</v>
      </c>
      <c r="Z115" s="3">
        <v>0</v>
      </c>
      <c r="AA115" s="3">
        <v>0</v>
      </c>
      <c r="AB115" s="5">
        <v>4051.17</v>
      </c>
      <c r="AD115" s="25"/>
      <c r="AE115" s="25"/>
      <c r="AF115" s="25"/>
      <c r="AG115" s="32"/>
      <c r="AH115" s="18"/>
      <c r="AI115" s="3"/>
      <c r="AJ115" s="3"/>
      <c r="AK115" s="3"/>
      <c r="AL115" s="15">
        <f t="shared" si="7"/>
        <v>0</v>
      </c>
      <c r="AM115" s="15">
        <f t="shared" si="9"/>
        <v>4051.17</v>
      </c>
      <c r="AN115" s="15">
        <f t="shared" si="11"/>
        <v>4051.17</v>
      </c>
      <c r="AO115" s="15">
        <f t="shared" si="10"/>
        <v>0</v>
      </c>
    </row>
    <row r="116" spans="1:41" x14ac:dyDescent="0.25">
      <c r="A116">
        <v>109</v>
      </c>
      <c r="B116" s="10" t="s">
        <v>575</v>
      </c>
      <c r="C116" s="10" t="s">
        <v>30</v>
      </c>
      <c r="D116" s="3" t="s">
        <v>576</v>
      </c>
      <c r="E116" s="3" t="s">
        <v>314</v>
      </c>
      <c r="F116" s="3" t="s">
        <v>577</v>
      </c>
      <c r="G116" s="3" t="s">
        <v>316</v>
      </c>
      <c r="H116" s="3" t="s">
        <v>14</v>
      </c>
      <c r="I116" s="3" t="s">
        <v>6</v>
      </c>
      <c r="J116" s="3" t="s">
        <v>33</v>
      </c>
      <c r="K116" s="3" t="s">
        <v>578</v>
      </c>
      <c r="L116" s="3"/>
      <c r="M116" s="3"/>
      <c r="N116" s="3"/>
      <c r="O116" s="3">
        <v>1422</v>
      </c>
      <c r="P116" s="3"/>
      <c r="Q116" s="4">
        <v>46081</v>
      </c>
      <c r="R116" s="5">
        <v>10931.65</v>
      </c>
      <c r="S116" s="3">
        <v>240</v>
      </c>
      <c r="T116" s="3" t="s">
        <v>579</v>
      </c>
      <c r="U116" s="3">
        <v>0</v>
      </c>
      <c r="V116" s="3" t="s">
        <v>8</v>
      </c>
      <c r="W116" s="5">
        <v>10931.65</v>
      </c>
      <c r="X116" s="3">
        <v>0</v>
      </c>
      <c r="Y116" s="3">
        <v>0</v>
      </c>
      <c r="Z116" s="3">
        <v>0</v>
      </c>
      <c r="AA116" s="5">
        <v>-0.02</v>
      </c>
      <c r="AB116" s="5">
        <v>10931.63</v>
      </c>
      <c r="AD116" s="25"/>
      <c r="AE116" s="25"/>
      <c r="AF116" s="25"/>
      <c r="AG116" s="32"/>
      <c r="AH116" s="18"/>
      <c r="AI116" s="3"/>
      <c r="AJ116" s="3"/>
      <c r="AK116" s="5"/>
      <c r="AL116" s="15">
        <f t="shared" si="7"/>
        <v>0</v>
      </c>
      <c r="AM116" s="15">
        <f t="shared" si="9"/>
        <v>10931.63</v>
      </c>
      <c r="AN116" s="15">
        <f t="shared" si="11"/>
        <v>10931.63</v>
      </c>
      <c r="AO116" s="15">
        <f t="shared" si="10"/>
        <v>0</v>
      </c>
    </row>
    <row r="117" spans="1:41" x14ac:dyDescent="0.25">
      <c r="A117">
        <v>110</v>
      </c>
      <c r="B117" s="10" t="s">
        <v>580</v>
      </c>
      <c r="C117" s="10" t="s">
        <v>1080</v>
      </c>
      <c r="D117" s="3" t="s">
        <v>581</v>
      </c>
      <c r="E117" s="3" t="s">
        <v>314</v>
      </c>
      <c r="F117" s="3" t="s">
        <v>582</v>
      </c>
      <c r="G117" s="3" t="s">
        <v>316</v>
      </c>
      <c r="H117" s="3" t="s">
        <v>14</v>
      </c>
      <c r="I117" s="3" t="s">
        <v>6</v>
      </c>
      <c r="J117" s="3" t="s">
        <v>33</v>
      </c>
      <c r="K117" s="3" t="s">
        <v>583</v>
      </c>
      <c r="L117" s="3"/>
      <c r="M117" s="3"/>
      <c r="N117" s="3"/>
      <c r="O117" s="3">
        <v>6000</v>
      </c>
      <c r="P117" s="3"/>
      <c r="Q117" s="4">
        <v>46081</v>
      </c>
      <c r="R117" s="5">
        <v>8642.8799999999992</v>
      </c>
      <c r="S117" s="3">
        <v>239</v>
      </c>
      <c r="T117" s="3"/>
      <c r="U117" s="3">
        <v>0</v>
      </c>
      <c r="V117" s="3" t="s">
        <v>8</v>
      </c>
      <c r="W117" s="5">
        <v>8642.89</v>
      </c>
      <c r="X117" s="3">
        <v>0</v>
      </c>
      <c r="Y117" s="3">
        <v>0</v>
      </c>
      <c r="Z117" s="3">
        <v>0</v>
      </c>
      <c r="AA117" s="5">
        <v>-0.39</v>
      </c>
      <c r="AB117" s="5">
        <v>8642.5</v>
      </c>
      <c r="AD117" s="25"/>
      <c r="AE117" s="25"/>
      <c r="AF117" s="25"/>
      <c r="AG117" s="32"/>
      <c r="AH117" s="18"/>
      <c r="AI117" s="3"/>
      <c r="AJ117" s="3"/>
      <c r="AK117" s="5"/>
      <c r="AL117" s="15">
        <f t="shared" si="7"/>
        <v>0</v>
      </c>
      <c r="AM117" s="15">
        <f t="shared" si="9"/>
        <v>8642.5</v>
      </c>
      <c r="AN117" s="15">
        <f t="shared" si="11"/>
        <v>8642.5</v>
      </c>
      <c r="AO117" s="15">
        <f t="shared" si="10"/>
        <v>0</v>
      </c>
    </row>
    <row r="118" spans="1:41" x14ac:dyDescent="0.25">
      <c r="A118">
        <v>111</v>
      </c>
      <c r="B118" s="10" t="s">
        <v>584</v>
      </c>
      <c r="C118" s="10" t="s">
        <v>1079</v>
      </c>
      <c r="D118" s="3" t="s">
        <v>585</v>
      </c>
      <c r="E118" s="3" t="s">
        <v>314</v>
      </c>
      <c r="F118" s="3" t="s">
        <v>586</v>
      </c>
      <c r="G118" s="3" t="s">
        <v>316</v>
      </c>
      <c r="H118" s="3" t="s">
        <v>14</v>
      </c>
      <c r="I118" s="3" t="s">
        <v>6</v>
      </c>
      <c r="J118" s="3" t="s">
        <v>33</v>
      </c>
      <c r="K118" s="3" t="s">
        <v>587</v>
      </c>
      <c r="L118" s="3"/>
      <c r="M118" s="3"/>
      <c r="N118" s="3"/>
      <c r="O118" s="3">
        <v>1467</v>
      </c>
      <c r="P118" s="3"/>
      <c r="Q118" s="4">
        <v>46081</v>
      </c>
      <c r="R118" s="5">
        <v>19058.46</v>
      </c>
      <c r="S118" s="3">
        <v>357</v>
      </c>
      <c r="T118" s="3"/>
      <c r="U118" s="3">
        <v>0</v>
      </c>
      <c r="V118" s="3" t="s">
        <v>8</v>
      </c>
      <c r="W118" s="5">
        <v>18613.72</v>
      </c>
      <c r="X118" s="3">
        <v>0</v>
      </c>
      <c r="Y118" s="3">
        <v>0</v>
      </c>
      <c r="Z118" s="3">
        <v>0</v>
      </c>
      <c r="AA118" s="3">
        <v>0</v>
      </c>
      <c r="AB118" s="5">
        <v>18613.72</v>
      </c>
      <c r="AD118" s="25"/>
      <c r="AE118" s="25"/>
      <c r="AF118" s="25"/>
      <c r="AG118" s="32"/>
      <c r="AH118" s="18"/>
      <c r="AI118" s="3"/>
      <c r="AJ118" s="3"/>
      <c r="AK118" s="3"/>
      <c r="AL118" s="15">
        <f t="shared" si="7"/>
        <v>0</v>
      </c>
      <c r="AM118" s="15">
        <f t="shared" si="9"/>
        <v>18613.72</v>
      </c>
      <c r="AN118" s="15">
        <f t="shared" si="11"/>
        <v>18613.72</v>
      </c>
      <c r="AO118" s="15">
        <f t="shared" si="10"/>
        <v>0</v>
      </c>
    </row>
    <row r="119" spans="1:41" x14ac:dyDescent="0.25">
      <c r="A119">
        <v>112</v>
      </c>
      <c r="B119" s="10" t="s">
        <v>588</v>
      </c>
      <c r="C119" s="10" t="s">
        <v>1081</v>
      </c>
      <c r="D119" s="3" t="s">
        <v>589</v>
      </c>
      <c r="E119" s="3" t="s">
        <v>590</v>
      </c>
      <c r="F119" s="3" t="s">
        <v>591</v>
      </c>
      <c r="G119" s="3" t="s">
        <v>592</v>
      </c>
      <c r="H119" s="3" t="s">
        <v>14</v>
      </c>
      <c r="I119" s="3" t="s">
        <v>6</v>
      </c>
      <c r="J119" s="3" t="s">
        <v>15</v>
      </c>
      <c r="K119" s="3" t="s">
        <v>593</v>
      </c>
      <c r="L119" s="3"/>
      <c r="M119" s="3"/>
      <c r="N119" s="3"/>
      <c r="O119" s="3">
        <v>1457</v>
      </c>
      <c r="P119" s="3"/>
      <c r="Q119" s="4">
        <v>46081</v>
      </c>
      <c r="R119" s="5">
        <v>65469.06</v>
      </c>
      <c r="S119" s="3">
        <v>168</v>
      </c>
      <c r="T119" s="3" t="s">
        <v>594</v>
      </c>
      <c r="U119" s="3">
        <v>0</v>
      </c>
      <c r="V119" s="3" t="s">
        <v>8</v>
      </c>
      <c r="W119" s="5">
        <v>65469.06</v>
      </c>
      <c r="X119" s="3">
        <v>0</v>
      </c>
      <c r="Y119" s="3">
        <v>0</v>
      </c>
      <c r="Z119" s="3">
        <v>0</v>
      </c>
      <c r="AA119" s="3">
        <v>0</v>
      </c>
      <c r="AB119" s="5">
        <v>65469.06</v>
      </c>
      <c r="AD119" s="25"/>
      <c r="AE119" s="25"/>
      <c r="AF119" s="25"/>
      <c r="AG119" s="32"/>
      <c r="AH119" s="18"/>
      <c r="AI119" s="3"/>
      <c r="AJ119" s="3"/>
      <c r="AK119" s="3"/>
      <c r="AL119" s="15">
        <f t="shared" si="7"/>
        <v>0</v>
      </c>
      <c r="AM119" s="15">
        <f t="shared" si="9"/>
        <v>65469.06</v>
      </c>
      <c r="AN119" s="15">
        <f t="shared" si="11"/>
        <v>65469.06</v>
      </c>
      <c r="AO119" s="15">
        <f t="shared" si="10"/>
        <v>0</v>
      </c>
    </row>
    <row r="120" spans="1:41" x14ac:dyDescent="0.25">
      <c r="A120">
        <v>113</v>
      </c>
      <c r="B120" s="10" t="s">
        <v>595</v>
      </c>
      <c r="C120" s="10" t="s">
        <v>1082</v>
      </c>
      <c r="D120" s="3" t="s">
        <v>596</v>
      </c>
      <c r="E120" s="3" t="s">
        <v>597</v>
      </c>
      <c r="F120" s="3" t="s">
        <v>598</v>
      </c>
      <c r="G120" s="3" t="s">
        <v>599</v>
      </c>
      <c r="H120" s="3" t="s">
        <v>14</v>
      </c>
      <c r="I120" s="3" t="s">
        <v>6</v>
      </c>
      <c r="J120" s="3" t="s">
        <v>15</v>
      </c>
      <c r="K120" s="3" t="s">
        <v>600</v>
      </c>
      <c r="L120" s="3"/>
      <c r="M120" s="3"/>
      <c r="N120" s="3"/>
      <c r="O120" s="3">
        <v>9460</v>
      </c>
      <c r="P120" s="3"/>
      <c r="Q120" s="4">
        <v>46081</v>
      </c>
      <c r="R120" s="5">
        <v>175.18</v>
      </c>
      <c r="S120" s="3">
        <v>27</v>
      </c>
      <c r="T120" s="3" t="s">
        <v>601</v>
      </c>
      <c r="U120" s="3">
        <v>0</v>
      </c>
      <c r="V120" s="3" t="s">
        <v>8</v>
      </c>
      <c r="W120" s="5">
        <v>175.18</v>
      </c>
      <c r="X120" s="3">
        <v>0</v>
      </c>
      <c r="Y120" s="3">
        <v>0</v>
      </c>
      <c r="Z120" s="3">
        <v>0</v>
      </c>
      <c r="AA120" s="3">
        <v>0</v>
      </c>
      <c r="AB120" s="5">
        <v>175.18</v>
      </c>
      <c r="AD120" s="25"/>
      <c r="AE120" s="25"/>
      <c r="AF120" s="25"/>
      <c r="AG120" s="32"/>
      <c r="AH120" s="18"/>
      <c r="AI120" s="3"/>
      <c r="AJ120" s="3"/>
      <c r="AK120" s="3"/>
      <c r="AL120" s="15">
        <f t="shared" si="7"/>
        <v>0</v>
      </c>
      <c r="AM120" s="15">
        <f t="shared" si="9"/>
        <v>175.18</v>
      </c>
      <c r="AN120" s="15">
        <f>AM120</f>
        <v>175.18</v>
      </c>
      <c r="AO120" s="15">
        <f t="shared" si="10"/>
        <v>0</v>
      </c>
    </row>
    <row r="121" spans="1:41" x14ac:dyDescent="0.25">
      <c r="A121">
        <v>114</v>
      </c>
      <c r="B121" s="10" t="s">
        <v>602</v>
      </c>
      <c r="C121" s="10" t="s">
        <v>1083</v>
      </c>
      <c r="D121" s="3" t="s">
        <v>603</v>
      </c>
      <c r="E121" s="3" t="s">
        <v>603</v>
      </c>
      <c r="F121" s="3"/>
      <c r="G121" s="3" t="s">
        <v>604</v>
      </c>
      <c r="H121" s="3" t="s">
        <v>14</v>
      </c>
      <c r="I121" s="3" t="s">
        <v>6</v>
      </c>
      <c r="J121" s="3"/>
      <c r="K121" s="3" t="s">
        <v>605</v>
      </c>
      <c r="L121" s="3"/>
      <c r="M121" s="3"/>
      <c r="N121" s="3"/>
      <c r="O121" s="3"/>
      <c r="P121" s="3"/>
      <c r="Q121" s="4">
        <v>46081</v>
      </c>
      <c r="R121" s="5">
        <v>214.27</v>
      </c>
      <c r="S121" s="3">
        <v>39</v>
      </c>
      <c r="T121" s="3"/>
      <c r="U121" s="3">
        <v>0</v>
      </c>
      <c r="V121" s="3" t="s">
        <v>8</v>
      </c>
      <c r="W121" s="5">
        <v>214.27</v>
      </c>
      <c r="X121" s="3">
        <v>0</v>
      </c>
      <c r="Y121" s="3">
        <v>0</v>
      </c>
      <c r="Z121" s="3">
        <v>0</v>
      </c>
      <c r="AA121" s="3">
        <v>0</v>
      </c>
      <c r="AB121" s="5">
        <v>214.27</v>
      </c>
      <c r="AD121" s="25"/>
      <c r="AE121" s="25"/>
      <c r="AF121" s="25"/>
      <c r="AG121" s="32"/>
      <c r="AH121" s="18"/>
      <c r="AI121" s="3"/>
      <c r="AJ121" s="3"/>
      <c r="AK121" s="3"/>
      <c r="AL121" s="15">
        <f t="shared" si="7"/>
        <v>0</v>
      </c>
      <c r="AM121" s="15">
        <f t="shared" si="9"/>
        <v>214.27</v>
      </c>
      <c r="AN121" s="15">
        <f t="shared" si="11"/>
        <v>214.27</v>
      </c>
      <c r="AO121" s="15">
        <f t="shared" si="10"/>
        <v>0</v>
      </c>
    </row>
    <row r="122" spans="1:41" x14ac:dyDescent="0.25">
      <c r="A122">
        <v>115</v>
      </c>
      <c r="B122" s="10" t="s">
        <v>606</v>
      </c>
      <c r="C122" s="10"/>
      <c r="D122" s="3" t="s">
        <v>607</v>
      </c>
      <c r="E122" s="3" t="s">
        <v>608</v>
      </c>
      <c r="F122" s="3"/>
      <c r="G122" s="3" t="s">
        <v>609</v>
      </c>
      <c r="H122" s="3" t="s">
        <v>14</v>
      </c>
      <c r="I122" s="3" t="s">
        <v>6</v>
      </c>
      <c r="J122" s="3"/>
      <c r="K122" s="3" t="s">
        <v>610</v>
      </c>
      <c r="L122" s="3"/>
      <c r="M122" s="3"/>
      <c r="N122" s="3"/>
      <c r="O122" s="3"/>
      <c r="P122" s="3"/>
      <c r="Q122" s="4">
        <v>46080</v>
      </c>
      <c r="R122" s="5">
        <v>131.80000000000001</v>
      </c>
      <c r="S122" s="3">
        <v>23</v>
      </c>
      <c r="T122" s="3"/>
      <c r="U122" s="3">
        <v>0</v>
      </c>
      <c r="V122" s="3" t="s">
        <v>8</v>
      </c>
      <c r="W122" s="5">
        <v>131.80000000000001</v>
      </c>
      <c r="X122" s="3">
        <v>0</v>
      </c>
      <c r="Y122" s="3">
        <v>0</v>
      </c>
      <c r="Z122" s="3">
        <v>0</v>
      </c>
      <c r="AA122" s="3">
        <v>0</v>
      </c>
      <c r="AB122" s="5">
        <v>131.80000000000001</v>
      </c>
      <c r="AD122" s="25"/>
      <c r="AE122" s="25"/>
      <c r="AF122" s="25"/>
      <c r="AG122" s="32"/>
      <c r="AH122" s="18"/>
      <c r="AI122" s="3"/>
      <c r="AJ122" s="3"/>
      <c r="AK122" s="3"/>
      <c r="AL122" s="15">
        <f t="shared" si="7"/>
        <v>0</v>
      </c>
      <c r="AM122" s="15">
        <f t="shared" si="9"/>
        <v>131.80000000000001</v>
      </c>
      <c r="AN122" s="15">
        <f t="shared" si="11"/>
        <v>131.80000000000001</v>
      </c>
      <c r="AO122" s="15">
        <f t="shared" si="10"/>
        <v>0</v>
      </c>
    </row>
    <row r="123" spans="1:41" x14ac:dyDescent="0.25">
      <c r="A123">
        <v>116</v>
      </c>
      <c r="B123" s="10">
        <v>1110</v>
      </c>
      <c r="C123" s="10"/>
      <c r="D123" s="3" t="s">
        <v>611</v>
      </c>
      <c r="E123" s="3"/>
      <c r="F123" s="3" t="s">
        <v>612</v>
      </c>
      <c r="G123" s="3" t="s">
        <v>613</v>
      </c>
      <c r="H123" s="3" t="s">
        <v>14</v>
      </c>
      <c r="I123" s="3" t="s">
        <v>6</v>
      </c>
      <c r="J123" s="3" t="s">
        <v>15</v>
      </c>
      <c r="K123" s="3" t="s">
        <v>614</v>
      </c>
      <c r="L123" s="3"/>
      <c r="M123" s="3"/>
      <c r="N123" s="3"/>
      <c r="O123" s="3">
        <v>1657</v>
      </c>
      <c r="P123" s="3"/>
      <c r="Q123" s="4">
        <v>46053</v>
      </c>
      <c r="R123" s="5">
        <v>600</v>
      </c>
      <c r="S123" s="3">
        <v>20</v>
      </c>
      <c r="T123" s="3"/>
      <c r="U123" s="3">
        <v>0</v>
      </c>
      <c r="V123" s="3" t="s">
        <v>8</v>
      </c>
      <c r="W123" s="5">
        <v>251.05</v>
      </c>
      <c r="X123" s="5">
        <v>-600</v>
      </c>
      <c r="Y123" s="3">
        <v>0</v>
      </c>
      <c r="Z123" s="5">
        <v>251.05</v>
      </c>
      <c r="AA123" s="3">
        <v>0</v>
      </c>
      <c r="AB123" s="5">
        <v>-97.9</v>
      </c>
      <c r="AD123" s="25"/>
      <c r="AE123" s="25"/>
      <c r="AF123" s="25"/>
      <c r="AG123" s="32"/>
      <c r="AH123" s="19"/>
      <c r="AI123" s="3"/>
      <c r="AJ123" s="5"/>
      <c r="AK123" s="3"/>
      <c r="AL123" s="15">
        <f t="shared" si="7"/>
        <v>0</v>
      </c>
      <c r="AM123" s="15">
        <f t="shared" si="9"/>
        <v>-97.9</v>
      </c>
      <c r="AN123">
        <v>-97.9</v>
      </c>
      <c r="AO123" s="15">
        <f t="shared" si="10"/>
        <v>0</v>
      </c>
    </row>
    <row r="124" spans="1:41" x14ac:dyDescent="0.25">
      <c r="A124">
        <v>117</v>
      </c>
      <c r="B124" s="10" t="s">
        <v>615</v>
      </c>
      <c r="C124" s="10" t="s">
        <v>1084</v>
      </c>
      <c r="D124" s="3" t="s">
        <v>616</v>
      </c>
      <c r="E124" s="3"/>
      <c r="F124" s="3" t="s">
        <v>617</v>
      </c>
      <c r="G124" s="3" t="s">
        <v>618</v>
      </c>
      <c r="H124" s="3" t="s">
        <v>14</v>
      </c>
      <c r="I124" s="3" t="s">
        <v>6</v>
      </c>
      <c r="J124" s="3"/>
      <c r="K124" s="3" t="s">
        <v>619</v>
      </c>
      <c r="L124" s="3" t="s">
        <v>620</v>
      </c>
      <c r="M124" s="3"/>
      <c r="N124" s="3"/>
      <c r="O124" s="3">
        <v>2066</v>
      </c>
      <c r="P124" s="3"/>
      <c r="Q124" s="4">
        <v>46055</v>
      </c>
      <c r="R124" s="5">
        <v>30000</v>
      </c>
      <c r="S124" s="3">
        <v>56</v>
      </c>
      <c r="T124" s="3"/>
      <c r="U124" s="3">
        <v>0</v>
      </c>
      <c r="V124" s="3" t="s">
        <v>8</v>
      </c>
      <c r="W124" s="5">
        <v>11037.7</v>
      </c>
      <c r="X124" s="5">
        <v>9657.7000000000007</v>
      </c>
      <c r="Y124" s="5">
        <v>173555.83</v>
      </c>
      <c r="Z124" s="3">
        <v>0</v>
      </c>
      <c r="AA124" s="5">
        <v>-23712.95</v>
      </c>
      <c r="AB124" s="5">
        <v>170538.28</v>
      </c>
      <c r="AD124" s="25" t="s">
        <v>1152</v>
      </c>
      <c r="AE124" s="25" t="s">
        <v>1188</v>
      </c>
      <c r="AF124" s="26">
        <v>30000</v>
      </c>
      <c r="AG124" s="32"/>
      <c r="AH124" s="19"/>
      <c r="AI124" s="5">
        <f>AF124</f>
        <v>30000</v>
      </c>
      <c r="AJ124" s="3"/>
      <c r="AK124" s="5"/>
      <c r="AL124" s="15">
        <f t="shared" si="7"/>
        <v>30000</v>
      </c>
      <c r="AM124" s="15">
        <f t="shared" si="9"/>
        <v>140538.28</v>
      </c>
      <c r="AN124">
        <v>140538.28</v>
      </c>
      <c r="AO124" s="15">
        <f t="shared" si="10"/>
        <v>0</v>
      </c>
    </row>
    <row r="125" spans="1:41" x14ac:dyDescent="0.25">
      <c r="A125">
        <v>118</v>
      </c>
      <c r="B125" s="10" t="s">
        <v>621</v>
      </c>
      <c r="C125" s="10"/>
      <c r="D125" s="3" t="s">
        <v>622</v>
      </c>
      <c r="E125" s="3" t="s">
        <v>622</v>
      </c>
      <c r="F125" s="3"/>
      <c r="G125" s="3" t="s">
        <v>623</v>
      </c>
      <c r="H125" s="3" t="s">
        <v>14</v>
      </c>
      <c r="I125" s="3" t="s">
        <v>6</v>
      </c>
      <c r="J125" s="3"/>
      <c r="K125" s="3" t="s">
        <v>624</v>
      </c>
      <c r="L125" s="3"/>
      <c r="M125" s="3"/>
      <c r="N125" s="3" t="s">
        <v>22</v>
      </c>
      <c r="O125" s="3"/>
      <c r="P125" s="3"/>
      <c r="Q125" s="4">
        <v>46081</v>
      </c>
      <c r="R125" s="5">
        <v>128.80000000000001</v>
      </c>
      <c r="S125" s="3">
        <v>42</v>
      </c>
      <c r="T125" s="3"/>
      <c r="U125" s="3">
        <v>0</v>
      </c>
      <c r="V125" s="3" t="s">
        <v>8</v>
      </c>
      <c r="W125" s="5">
        <v>128.80000000000001</v>
      </c>
      <c r="X125" s="3">
        <v>0</v>
      </c>
      <c r="Y125" s="3">
        <v>0</v>
      </c>
      <c r="Z125" s="3">
        <v>0</v>
      </c>
      <c r="AA125" s="3">
        <v>0</v>
      </c>
      <c r="AB125" s="5">
        <v>128.80000000000001</v>
      </c>
      <c r="AD125" s="25"/>
      <c r="AE125" s="25"/>
      <c r="AF125" s="25"/>
      <c r="AG125" s="32"/>
      <c r="AH125" s="18"/>
      <c r="AI125" s="3"/>
      <c r="AJ125" s="3"/>
      <c r="AK125" s="3"/>
      <c r="AL125" s="15">
        <f t="shared" si="7"/>
        <v>0</v>
      </c>
      <c r="AM125" s="15">
        <f t="shared" si="9"/>
        <v>128.80000000000001</v>
      </c>
      <c r="AN125" s="15">
        <f>AM125</f>
        <v>128.80000000000001</v>
      </c>
      <c r="AO125" s="15">
        <f t="shared" si="10"/>
        <v>0</v>
      </c>
    </row>
    <row r="126" spans="1:41" x14ac:dyDescent="0.25">
      <c r="A126">
        <v>119</v>
      </c>
      <c r="B126" s="10" t="s">
        <v>625</v>
      </c>
      <c r="C126" s="10" t="s">
        <v>1085</v>
      </c>
      <c r="D126" s="3" t="s">
        <v>626</v>
      </c>
      <c r="E126" s="3" t="s">
        <v>626</v>
      </c>
      <c r="F126" s="3"/>
      <c r="G126" s="3" t="s">
        <v>627</v>
      </c>
      <c r="H126" s="3" t="s">
        <v>14</v>
      </c>
      <c r="I126" s="3" t="s">
        <v>6</v>
      </c>
      <c r="J126" s="3" t="s">
        <v>15</v>
      </c>
      <c r="K126" s="3" t="s">
        <v>628</v>
      </c>
      <c r="L126" s="3"/>
      <c r="M126" s="3"/>
      <c r="N126" s="3" t="s">
        <v>22</v>
      </c>
      <c r="O126" s="3"/>
      <c r="P126" s="3"/>
      <c r="Q126" s="4">
        <v>46079</v>
      </c>
      <c r="R126" s="5">
        <v>143.41999999999999</v>
      </c>
      <c r="S126" s="3">
        <v>60</v>
      </c>
      <c r="T126" s="3"/>
      <c r="U126" s="3">
        <v>0</v>
      </c>
      <c r="V126" s="3" t="s">
        <v>8</v>
      </c>
      <c r="W126" s="3">
        <v>0</v>
      </c>
      <c r="X126" s="3">
        <v>0</v>
      </c>
      <c r="Y126" s="3">
        <v>0</v>
      </c>
      <c r="Z126" s="5">
        <v>143.41999999999999</v>
      </c>
      <c r="AA126" s="5">
        <v>143.41999999999999</v>
      </c>
      <c r="AB126" s="5">
        <v>286.83999999999997</v>
      </c>
      <c r="AD126" s="25"/>
      <c r="AE126" s="25"/>
      <c r="AF126" s="25"/>
      <c r="AG126" s="32"/>
      <c r="AH126" s="18"/>
      <c r="AI126" s="3"/>
      <c r="AJ126" s="5"/>
      <c r="AK126" s="5"/>
      <c r="AL126" s="15">
        <f t="shared" si="7"/>
        <v>0</v>
      </c>
      <c r="AM126" s="15">
        <f t="shared" si="9"/>
        <v>286.83999999999997</v>
      </c>
      <c r="AN126" s="15">
        <f t="shared" ref="AN126:AN127" si="12">AM126</f>
        <v>286.83999999999997</v>
      </c>
      <c r="AO126" s="15">
        <f t="shared" si="10"/>
        <v>0</v>
      </c>
    </row>
    <row r="127" spans="1:41" x14ac:dyDescent="0.25">
      <c r="A127">
        <v>120</v>
      </c>
      <c r="B127" s="10" t="s">
        <v>629</v>
      </c>
      <c r="C127" s="10" t="s">
        <v>1086</v>
      </c>
      <c r="D127" s="3" t="s">
        <v>630</v>
      </c>
      <c r="E127" s="3" t="s">
        <v>631</v>
      </c>
      <c r="F127" s="3"/>
      <c r="G127" s="3" t="s">
        <v>632</v>
      </c>
      <c r="H127" s="3" t="s">
        <v>14</v>
      </c>
      <c r="I127" s="3" t="s">
        <v>6</v>
      </c>
      <c r="J127" s="3" t="s">
        <v>15</v>
      </c>
      <c r="K127" s="3" t="s">
        <v>633</v>
      </c>
      <c r="L127" s="3"/>
      <c r="M127" s="3"/>
      <c r="N127" s="3"/>
      <c r="O127" s="3">
        <v>2196</v>
      </c>
      <c r="P127" s="3"/>
      <c r="Q127" s="4">
        <v>46081</v>
      </c>
      <c r="R127" s="5">
        <v>742.42</v>
      </c>
      <c r="S127" s="3">
        <v>85</v>
      </c>
      <c r="T127" s="3"/>
      <c r="U127" s="3">
        <v>0</v>
      </c>
      <c r="V127" s="3" t="s">
        <v>8</v>
      </c>
      <c r="W127" s="5">
        <v>742.42</v>
      </c>
      <c r="X127" s="3">
        <v>0</v>
      </c>
      <c r="Y127" s="3">
        <v>0</v>
      </c>
      <c r="Z127" s="3">
        <v>0</v>
      </c>
      <c r="AA127" s="3">
        <v>0</v>
      </c>
      <c r="AB127" s="5">
        <v>742.42</v>
      </c>
      <c r="AD127" s="25"/>
      <c r="AE127" s="25"/>
      <c r="AF127" s="25"/>
      <c r="AG127" s="32"/>
      <c r="AH127" s="18"/>
      <c r="AI127" s="3"/>
      <c r="AJ127" s="3"/>
      <c r="AK127" s="3"/>
      <c r="AL127" s="15">
        <f t="shared" si="7"/>
        <v>0</v>
      </c>
      <c r="AM127" s="15">
        <f t="shared" si="9"/>
        <v>742.42</v>
      </c>
      <c r="AN127" s="15">
        <f t="shared" si="12"/>
        <v>742.42</v>
      </c>
      <c r="AO127" s="15">
        <f t="shared" si="10"/>
        <v>0</v>
      </c>
    </row>
    <row r="128" spans="1:41" x14ac:dyDescent="0.25">
      <c r="A128">
        <v>121</v>
      </c>
      <c r="B128" s="10" t="s">
        <v>634</v>
      </c>
      <c r="C128" s="10"/>
      <c r="D128" s="3" t="s">
        <v>635</v>
      </c>
      <c r="E128" s="3" t="s">
        <v>636</v>
      </c>
      <c r="F128" s="3" t="s">
        <v>637</v>
      </c>
      <c r="G128" s="3"/>
      <c r="H128" s="3" t="s">
        <v>14</v>
      </c>
      <c r="I128" s="3" t="s">
        <v>6</v>
      </c>
      <c r="J128" s="3" t="s">
        <v>33</v>
      </c>
      <c r="K128" s="3" t="s">
        <v>638</v>
      </c>
      <c r="L128" s="3"/>
      <c r="M128" s="3"/>
      <c r="N128" s="3"/>
      <c r="O128" s="3">
        <v>1686</v>
      </c>
      <c r="P128" s="3"/>
      <c r="Q128" s="4">
        <v>46074</v>
      </c>
      <c r="R128" s="5">
        <v>5531.5</v>
      </c>
      <c r="S128" s="3">
        <v>66</v>
      </c>
      <c r="T128" s="3"/>
      <c r="U128" s="3">
        <v>0</v>
      </c>
      <c r="V128" s="3" t="s">
        <v>8</v>
      </c>
      <c r="W128" s="5">
        <v>4634.5</v>
      </c>
      <c r="X128" s="3">
        <v>0</v>
      </c>
      <c r="Y128" s="5"/>
      <c r="Z128" s="5">
        <v>149.5</v>
      </c>
      <c r="AA128" s="5">
        <v>544.54999999999995</v>
      </c>
      <c r="AB128" s="5">
        <f>SUM(W128:AA128)</f>
        <v>5328.55</v>
      </c>
      <c r="AD128" s="25"/>
      <c r="AE128" s="25"/>
      <c r="AF128" s="25"/>
      <c r="AG128" s="32"/>
      <c r="AH128" s="18"/>
      <c r="AI128" s="5"/>
      <c r="AJ128" s="5"/>
      <c r="AK128" s="5"/>
      <c r="AL128" s="15">
        <f t="shared" si="7"/>
        <v>0</v>
      </c>
      <c r="AM128" s="15">
        <f t="shared" si="9"/>
        <v>5328.55</v>
      </c>
      <c r="AN128" s="15">
        <v>5328.55</v>
      </c>
      <c r="AO128" s="15">
        <f t="shared" si="10"/>
        <v>0</v>
      </c>
    </row>
    <row r="129" spans="1:41" x14ac:dyDescent="0.25">
      <c r="A129">
        <v>122</v>
      </c>
      <c r="B129" s="10" t="s">
        <v>634</v>
      </c>
      <c r="C129" s="10"/>
      <c r="D129" s="3" t="s">
        <v>635</v>
      </c>
      <c r="E129" s="3" t="s">
        <v>636</v>
      </c>
      <c r="F129" s="3" t="s">
        <v>637</v>
      </c>
      <c r="G129" s="3"/>
      <c r="H129" s="3" t="s">
        <v>14</v>
      </c>
      <c r="I129" s="3" t="s">
        <v>6</v>
      </c>
      <c r="J129" s="3" t="s">
        <v>33</v>
      </c>
      <c r="K129" s="3" t="s">
        <v>638</v>
      </c>
      <c r="L129" s="3"/>
      <c r="M129" s="3"/>
      <c r="N129" s="3"/>
      <c r="O129" s="3">
        <v>1686</v>
      </c>
      <c r="P129" s="3"/>
      <c r="Q129" s="4">
        <v>46074</v>
      </c>
      <c r="R129" s="5">
        <v>5531.5</v>
      </c>
      <c r="S129" s="3">
        <v>66</v>
      </c>
      <c r="T129" s="3"/>
      <c r="U129" s="3">
        <v>0</v>
      </c>
      <c r="V129" s="3" t="s">
        <v>639</v>
      </c>
      <c r="W129" s="3">
        <v>0</v>
      </c>
      <c r="X129" s="3">
        <v>0</v>
      </c>
      <c r="Y129" s="3">
        <v>0</v>
      </c>
      <c r="Z129" s="5">
        <v>0</v>
      </c>
      <c r="AA129" s="5">
        <v>0</v>
      </c>
      <c r="AB129" s="5">
        <v>0</v>
      </c>
      <c r="AD129" s="25"/>
      <c r="AE129" s="25"/>
      <c r="AF129" s="25"/>
      <c r="AG129" s="32"/>
      <c r="AH129" s="18"/>
      <c r="AI129" s="3"/>
      <c r="AJ129" s="5"/>
      <c r="AK129" s="5"/>
      <c r="AL129" s="15">
        <f t="shared" si="7"/>
        <v>0</v>
      </c>
      <c r="AM129" s="15">
        <f t="shared" si="9"/>
        <v>0</v>
      </c>
      <c r="AN129">
        <v>0</v>
      </c>
      <c r="AO129" s="15">
        <f t="shared" si="10"/>
        <v>0</v>
      </c>
    </row>
    <row r="130" spans="1:41" x14ac:dyDescent="0.25">
      <c r="A130">
        <v>123</v>
      </c>
      <c r="B130" s="10" t="s">
        <v>640</v>
      </c>
      <c r="C130" s="10"/>
      <c r="D130" s="3" t="s">
        <v>641</v>
      </c>
      <c r="E130" s="3" t="s">
        <v>642</v>
      </c>
      <c r="F130" s="3"/>
      <c r="G130" s="3" t="s">
        <v>643</v>
      </c>
      <c r="H130" s="3" t="s">
        <v>14</v>
      </c>
      <c r="I130" s="3" t="s">
        <v>6</v>
      </c>
      <c r="J130" s="3"/>
      <c r="K130" s="3" t="s">
        <v>644</v>
      </c>
      <c r="L130" s="3"/>
      <c r="M130" s="3"/>
      <c r="N130" s="3" t="s">
        <v>22</v>
      </c>
      <c r="O130" s="3"/>
      <c r="P130" s="3"/>
      <c r="Q130" s="4">
        <v>46045</v>
      </c>
      <c r="R130" s="5">
        <v>21948.9</v>
      </c>
      <c r="S130" s="3">
        <v>59</v>
      </c>
      <c r="T130" s="3"/>
      <c r="U130" s="3">
        <v>0</v>
      </c>
      <c r="V130" s="3" t="s">
        <v>8</v>
      </c>
      <c r="W130" s="5">
        <v>21319.15</v>
      </c>
      <c r="X130" s="5">
        <v>3117.61</v>
      </c>
      <c r="Y130" s="5">
        <v>747.5</v>
      </c>
      <c r="Z130" s="3">
        <v>0.02</v>
      </c>
      <c r="AA130" s="3">
        <v>0</v>
      </c>
      <c r="AB130" s="5">
        <v>25184.28</v>
      </c>
      <c r="AD130" s="25" t="s">
        <v>1164</v>
      </c>
      <c r="AE130" s="25" t="s">
        <v>640</v>
      </c>
      <c r="AF130" s="33">
        <v>3117.65</v>
      </c>
      <c r="AH130" s="19">
        <f>AF130</f>
        <v>3117.65</v>
      </c>
      <c r="AI130" s="5"/>
      <c r="AJ130" s="3"/>
      <c r="AK130" s="3"/>
      <c r="AL130" s="15">
        <f t="shared" si="7"/>
        <v>3117.65</v>
      </c>
      <c r="AM130" s="15">
        <f t="shared" si="9"/>
        <v>22066.629999999997</v>
      </c>
      <c r="AN130" s="15">
        <f>AM130</f>
        <v>22066.629999999997</v>
      </c>
      <c r="AO130" s="15">
        <f t="shared" si="10"/>
        <v>0</v>
      </c>
    </row>
    <row r="131" spans="1:41" x14ac:dyDescent="0.25">
      <c r="A131">
        <v>124</v>
      </c>
      <c r="B131" s="10" t="s">
        <v>645</v>
      </c>
      <c r="C131" s="10" t="s">
        <v>1087</v>
      </c>
      <c r="D131" s="3" t="s">
        <v>646</v>
      </c>
      <c r="E131" s="3" t="s">
        <v>647</v>
      </c>
      <c r="F131" s="3"/>
      <c r="G131" s="3" t="s">
        <v>648</v>
      </c>
      <c r="H131" s="3" t="s">
        <v>14</v>
      </c>
      <c r="I131" s="3" t="s">
        <v>6</v>
      </c>
      <c r="J131" s="3"/>
      <c r="K131" s="3" t="s">
        <v>649</v>
      </c>
      <c r="L131" s="3"/>
      <c r="M131" s="3"/>
      <c r="N131" s="3" t="s">
        <v>22</v>
      </c>
      <c r="O131" s="3"/>
      <c r="P131" s="3"/>
      <c r="Q131" s="4">
        <v>46081</v>
      </c>
      <c r="R131" s="5">
        <v>18400</v>
      </c>
      <c r="S131" s="3">
        <v>71</v>
      </c>
      <c r="T131" s="3"/>
      <c r="U131" s="3">
        <v>0</v>
      </c>
      <c r="V131" s="3" t="s">
        <v>8</v>
      </c>
      <c r="W131" s="5">
        <v>20861</v>
      </c>
      <c r="X131" s="3">
        <v>0</v>
      </c>
      <c r="Y131" s="3">
        <v>0</v>
      </c>
      <c r="Z131" s="3">
        <v>0</v>
      </c>
      <c r="AA131" s="3">
        <v>0</v>
      </c>
      <c r="AB131" s="5">
        <v>20861</v>
      </c>
      <c r="AD131" s="25"/>
      <c r="AE131" s="25"/>
      <c r="AF131" s="25"/>
      <c r="AG131" s="32"/>
      <c r="AH131" s="18"/>
      <c r="AI131" s="3"/>
      <c r="AJ131" s="3"/>
      <c r="AK131" s="3"/>
      <c r="AL131" s="15">
        <f t="shared" si="7"/>
        <v>0</v>
      </c>
      <c r="AM131" s="15">
        <f t="shared" si="9"/>
        <v>20861</v>
      </c>
      <c r="AN131" s="15">
        <f t="shared" ref="AN131:AN135" si="13">AM131</f>
        <v>20861</v>
      </c>
      <c r="AO131" s="15">
        <f t="shared" si="10"/>
        <v>0</v>
      </c>
    </row>
    <row r="132" spans="1:41" x14ac:dyDescent="0.25">
      <c r="A132">
        <v>125</v>
      </c>
      <c r="B132" s="10" t="s">
        <v>650</v>
      </c>
      <c r="C132" s="10"/>
      <c r="D132" s="3" t="s">
        <v>651</v>
      </c>
      <c r="E132" s="3" t="s">
        <v>652</v>
      </c>
      <c r="F132" s="3" t="s">
        <v>653</v>
      </c>
      <c r="G132" s="3"/>
      <c r="H132" s="3" t="s">
        <v>14</v>
      </c>
      <c r="I132" s="3" t="s">
        <v>6</v>
      </c>
      <c r="J132" s="3"/>
      <c r="K132" s="3" t="s">
        <v>654</v>
      </c>
      <c r="L132" s="3"/>
      <c r="M132" s="3"/>
      <c r="N132" s="3"/>
      <c r="O132" s="3">
        <v>1400</v>
      </c>
      <c r="P132" s="3"/>
      <c r="Q132" s="4">
        <v>46058</v>
      </c>
      <c r="R132" s="5">
        <v>340000</v>
      </c>
      <c r="S132" s="3">
        <v>1456</v>
      </c>
      <c r="T132" s="3"/>
      <c r="U132" s="3">
        <v>0</v>
      </c>
      <c r="V132" s="3" t="s">
        <v>8</v>
      </c>
      <c r="W132" s="3">
        <v>0</v>
      </c>
      <c r="X132" s="5">
        <v>895</v>
      </c>
      <c r="Y132" s="3">
        <v>0</v>
      </c>
      <c r="Z132" s="3">
        <v>0</v>
      </c>
      <c r="AA132" s="3">
        <v>0</v>
      </c>
      <c r="AB132" s="5">
        <v>895</v>
      </c>
      <c r="AD132" s="25"/>
      <c r="AE132" s="25"/>
      <c r="AF132" s="25"/>
      <c r="AG132" s="32"/>
      <c r="AH132" s="19"/>
      <c r="AI132" s="3"/>
      <c r="AJ132" s="3"/>
      <c r="AK132" s="3"/>
      <c r="AL132" s="15">
        <f t="shared" si="7"/>
        <v>0</v>
      </c>
      <c r="AM132" s="15">
        <f t="shared" si="9"/>
        <v>895</v>
      </c>
      <c r="AN132" s="15">
        <f t="shared" si="13"/>
        <v>895</v>
      </c>
      <c r="AO132" s="15">
        <f t="shared" si="10"/>
        <v>0</v>
      </c>
    </row>
    <row r="133" spans="1:41" x14ac:dyDescent="0.25">
      <c r="A133">
        <v>126</v>
      </c>
      <c r="B133" s="10" t="s">
        <v>655</v>
      </c>
      <c r="C133" s="10" t="s">
        <v>1088</v>
      </c>
      <c r="D133" s="3" t="s">
        <v>656</v>
      </c>
      <c r="E133" s="3" t="s">
        <v>657</v>
      </c>
      <c r="F133" s="3" t="s">
        <v>658</v>
      </c>
      <c r="G133" s="3" t="s">
        <v>659</v>
      </c>
      <c r="H133" s="3" t="s">
        <v>14</v>
      </c>
      <c r="I133" s="3" t="s">
        <v>6</v>
      </c>
      <c r="J133" s="3"/>
      <c r="K133" s="3" t="s">
        <v>660</v>
      </c>
      <c r="L133" s="3"/>
      <c r="M133" s="3"/>
      <c r="N133" s="3" t="s">
        <v>22</v>
      </c>
      <c r="O133" s="3"/>
      <c r="P133" s="3"/>
      <c r="Q133" s="4">
        <v>46051</v>
      </c>
      <c r="R133" s="5">
        <v>13627.5</v>
      </c>
      <c r="S133" s="3">
        <v>31</v>
      </c>
      <c r="T133" s="3"/>
      <c r="U133" s="3">
        <v>0</v>
      </c>
      <c r="V133" s="3" t="s">
        <v>8</v>
      </c>
      <c r="W133" s="5">
        <v>13627.5</v>
      </c>
      <c r="X133" s="3">
        <v>0</v>
      </c>
      <c r="Y133" s="3">
        <v>0</v>
      </c>
      <c r="Z133" s="3">
        <v>0</v>
      </c>
      <c r="AA133" s="3">
        <v>0</v>
      </c>
      <c r="AB133" s="5">
        <v>13627.5</v>
      </c>
      <c r="AD133" s="25" t="s">
        <v>1149</v>
      </c>
      <c r="AE133" s="25">
        <v>118236</v>
      </c>
      <c r="AF133" s="26">
        <v>13627.5</v>
      </c>
      <c r="AG133" s="33">
        <f>W133</f>
        <v>13627.5</v>
      </c>
      <c r="AH133" s="18"/>
      <c r="AI133" s="3"/>
      <c r="AJ133" s="3"/>
      <c r="AK133" s="3"/>
      <c r="AL133" s="15">
        <f t="shared" si="7"/>
        <v>13627.5</v>
      </c>
      <c r="AM133" s="15">
        <f t="shared" si="9"/>
        <v>0</v>
      </c>
      <c r="AN133" s="15">
        <f t="shared" si="13"/>
        <v>0</v>
      </c>
      <c r="AO133" s="15">
        <f t="shared" si="10"/>
        <v>0</v>
      </c>
    </row>
    <row r="134" spans="1:41" x14ac:dyDescent="0.25">
      <c r="A134">
        <v>127</v>
      </c>
      <c r="B134" s="10">
        <v>1137</v>
      </c>
      <c r="C134" s="10"/>
      <c r="D134" s="3" t="s">
        <v>661</v>
      </c>
      <c r="E134" s="3" t="s">
        <v>662</v>
      </c>
      <c r="F134" s="3"/>
      <c r="G134" s="3" t="s">
        <v>663</v>
      </c>
      <c r="H134" s="3" t="s">
        <v>14</v>
      </c>
      <c r="I134" s="3" t="s">
        <v>6</v>
      </c>
      <c r="J134" s="3" t="s">
        <v>15</v>
      </c>
      <c r="K134" s="3" t="s">
        <v>664</v>
      </c>
      <c r="L134" s="3"/>
      <c r="M134" s="3"/>
      <c r="N134" s="3" t="s">
        <v>22</v>
      </c>
      <c r="O134" s="3"/>
      <c r="P134" s="3"/>
      <c r="Q134" s="4">
        <v>46081</v>
      </c>
      <c r="R134" s="5">
        <v>2458.6999999999998</v>
      </c>
      <c r="S134" s="3">
        <v>279</v>
      </c>
      <c r="T134" s="3"/>
      <c r="U134" s="3">
        <v>0</v>
      </c>
      <c r="V134" s="3" t="s">
        <v>8</v>
      </c>
      <c r="W134" s="5">
        <v>2458.6999999999998</v>
      </c>
      <c r="X134" s="3">
        <v>0</v>
      </c>
      <c r="Y134" s="3">
        <v>0</v>
      </c>
      <c r="Z134" s="3">
        <v>0</v>
      </c>
      <c r="AA134" s="3">
        <v>0</v>
      </c>
      <c r="AB134" s="5">
        <v>2458.6999999999998</v>
      </c>
      <c r="AD134" s="25"/>
      <c r="AE134" s="25"/>
      <c r="AF134" s="25"/>
      <c r="AG134" s="32"/>
      <c r="AH134" s="18"/>
      <c r="AI134" s="3"/>
      <c r="AJ134" s="3"/>
      <c r="AK134" s="3"/>
      <c r="AL134" s="15">
        <f t="shared" si="7"/>
        <v>0</v>
      </c>
      <c r="AM134" s="15">
        <f t="shared" si="9"/>
        <v>2458.6999999999998</v>
      </c>
      <c r="AN134" s="15">
        <f t="shared" si="13"/>
        <v>2458.6999999999998</v>
      </c>
      <c r="AO134" s="15">
        <f t="shared" si="10"/>
        <v>0</v>
      </c>
    </row>
    <row r="135" spans="1:41" x14ac:dyDescent="0.25">
      <c r="A135">
        <v>128</v>
      </c>
      <c r="B135" s="10" t="s">
        <v>665</v>
      </c>
      <c r="C135" s="10"/>
      <c r="D135" s="3" t="s">
        <v>666</v>
      </c>
      <c r="E135" s="3" t="s">
        <v>667</v>
      </c>
      <c r="F135" s="3" t="s">
        <v>668</v>
      </c>
      <c r="G135" s="3" t="s">
        <v>669</v>
      </c>
      <c r="H135" s="3" t="s">
        <v>14</v>
      </c>
      <c r="I135" s="3" t="s">
        <v>6</v>
      </c>
      <c r="J135" s="3" t="s">
        <v>15</v>
      </c>
      <c r="K135" s="3" t="s">
        <v>670</v>
      </c>
      <c r="L135" s="3"/>
      <c r="M135" s="3"/>
      <c r="N135" s="3" t="s">
        <v>22</v>
      </c>
      <c r="O135" s="3"/>
      <c r="P135" s="3"/>
      <c r="Q135" s="4">
        <v>45625</v>
      </c>
      <c r="R135" s="5">
        <v>19285.5</v>
      </c>
      <c r="S135" s="3">
        <v>200</v>
      </c>
      <c r="T135" s="3"/>
      <c r="U135" s="3">
        <v>0</v>
      </c>
      <c r="V135" s="3" t="s">
        <v>8</v>
      </c>
      <c r="W135" s="3">
        <v>0</v>
      </c>
      <c r="X135" s="3">
        <v>0</v>
      </c>
      <c r="Y135" s="3">
        <v>0</v>
      </c>
      <c r="Z135" s="3">
        <v>0</v>
      </c>
      <c r="AA135" s="5">
        <v>38548</v>
      </c>
      <c r="AB135" s="5">
        <v>38548</v>
      </c>
      <c r="AD135" s="25"/>
      <c r="AE135" s="25"/>
      <c r="AF135" s="25"/>
      <c r="AG135" s="32"/>
      <c r="AH135" s="18"/>
      <c r="AI135" s="3"/>
      <c r="AJ135" s="3"/>
      <c r="AK135" s="5"/>
      <c r="AL135" s="15">
        <f t="shared" si="7"/>
        <v>0</v>
      </c>
      <c r="AM135" s="15">
        <f t="shared" si="9"/>
        <v>38548</v>
      </c>
      <c r="AN135" s="15">
        <f t="shared" si="13"/>
        <v>38548</v>
      </c>
      <c r="AO135" s="15">
        <f t="shared" si="10"/>
        <v>0</v>
      </c>
    </row>
    <row r="136" spans="1:41" x14ac:dyDescent="0.25">
      <c r="A136">
        <v>129</v>
      </c>
      <c r="B136" s="10" t="s">
        <v>671</v>
      </c>
      <c r="C136" s="10"/>
      <c r="D136" s="3" t="s">
        <v>672</v>
      </c>
      <c r="E136" s="3" t="s">
        <v>672</v>
      </c>
      <c r="F136" s="6" t="s">
        <v>673</v>
      </c>
      <c r="G136" s="3" t="s">
        <v>674</v>
      </c>
      <c r="H136" s="3" t="s">
        <v>14</v>
      </c>
      <c r="I136" s="3" t="s">
        <v>6</v>
      </c>
      <c r="J136" s="3"/>
      <c r="K136" s="3" t="s">
        <v>675</v>
      </c>
      <c r="L136" s="3"/>
      <c r="M136" s="3"/>
      <c r="N136" s="3"/>
      <c r="O136" s="3"/>
      <c r="P136" s="3"/>
      <c r="Q136" s="4">
        <v>46055</v>
      </c>
      <c r="R136" s="5">
        <v>113.85</v>
      </c>
      <c r="S136" s="3">
        <v>54</v>
      </c>
      <c r="T136" s="3"/>
      <c r="U136" s="3">
        <v>0</v>
      </c>
      <c r="V136" s="3" t="s">
        <v>8</v>
      </c>
      <c r="W136" s="16">
        <v>113.85</v>
      </c>
      <c r="X136" s="3">
        <v>0</v>
      </c>
      <c r="Y136" s="3">
        <v>0</v>
      </c>
      <c r="Z136" s="3">
        <v>0</v>
      </c>
      <c r="AA136" s="5">
        <v>-113.79</v>
      </c>
      <c r="AB136" s="3">
        <v>0.06</v>
      </c>
      <c r="AD136" s="25" t="s">
        <v>1147</v>
      </c>
      <c r="AE136" s="25" t="s">
        <v>1150</v>
      </c>
      <c r="AF136" s="26">
        <v>113.85</v>
      </c>
      <c r="AG136" s="33"/>
      <c r="AH136" s="20">
        <f>AF136</f>
        <v>113.85</v>
      </c>
      <c r="AI136" s="3"/>
      <c r="AJ136" s="3"/>
      <c r="AK136" s="5"/>
      <c r="AL136" s="15">
        <f t="shared" ref="AL136:AL138" si="14">AH136+AI136+AJ136+AK136+AG136</f>
        <v>113.85</v>
      </c>
      <c r="AM136" s="15">
        <f t="shared" si="9"/>
        <v>-113.78999999999999</v>
      </c>
      <c r="AN136">
        <v>-113.79</v>
      </c>
      <c r="AO136" s="15">
        <f t="shared" si="10"/>
        <v>0</v>
      </c>
    </row>
    <row r="137" spans="1:41" x14ac:dyDescent="0.25">
      <c r="A137">
        <v>130</v>
      </c>
      <c r="B137" s="10" t="s">
        <v>676</v>
      </c>
      <c r="C137" s="10" t="s">
        <v>1089</v>
      </c>
      <c r="D137" s="3" t="s">
        <v>677</v>
      </c>
      <c r="E137" s="3" t="s">
        <v>678</v>
      </c>
      <c r="F137" s="3" t="s">
        <v>679</v>
      </c>
      <c r="G137" s="3" t="s">
        <v>680</v>
      </c>
      <c r="H137" s="3" t="s">
        <v>14</v>
      </c>
      <c r="I137" s="3" t="s">
        <v>6</v>
      </c>
      <c r="J137" s="3" t="s">
        <v>15</v>
      </c>
      <c r="K137" s="3" t="s">
        <v>681</v>
      </c>
      <c r="L137" s="3"/>
      <c r="M137" s="3"/>
      <c r="N137" s="3"/>
      <c r="O137" s="3">
        <v>2000</v>
      </c>
      <c r="P137" s="3"/>
      <c r="Q137" s="4">
        <v>46081</v>
      </c>
      <c r="R137" s="5">
        <v>338.25</v>
      </c>
      <c r="S137" s="3">
        <v>41</v>
      </c>
      <c r="T137" s="3"/>
      <c r="U137" s="3">
        <v>0</v>
      </c>
      <c r="V137" s="3" t="s">
        <v>8</v>
      </c>
      <c r="W137" s="5">
        <v>338.25</v>
      </c>
      <c r="X137" s="3">
        <v>0</v>
      </c>
      <c r="Y137" s="3">
        <v>0.33</v>
      </c>
      <c r="Z137" s="3">
        <v>0</v>
      </c>
      <c r="AA137" s="5">
        <v>-0.33</v>
      </c>
      <c r="AB137" s="5">
        <v>338.25</v>
      </c>
      <c r="AD137" s="25"/>
      <c r="AE137" s="25"/>
      <c r="AF137" s="25"/>
      <c r="AG137" s="32"/>
      <c r="AH137" s="18"/>
      <c r="AI137" s="3"/>
      <c r="AJ137" s="3"/>
      <c r="AK137" s="5"/>
      <c r="AL137" s="15">
        <f t="shared" si="14"/>
        <v>0</v>
      </c>
      <c r="AM137" s="15">
        <f t="shared" ref="AM137:AM195" si="15">AB137-AL137</f>
        <v>338.25</v>
      </c>
      <c r="AN137" s="15">
        <f>AM137</f>
        <v>338.25</v>
      </c>
      <c r="AO137" s="15">
        <f t="shared" si="10"/>
        <v>0</v>
      </c>
    </row>
    <row r="138" spans="1:41" x14ac:dyDescent="0.25">
      <c r="A138">
        <v>131</v>
      </c>
      <c r="B138" s="10" t="s">
        <v>682</v>
      </c>
      <c r="C138" s="10" t="s">
        <v>1090</v>
      </c>
      <c r="D138" s="21" t="s">
        <v>683</v>
      </c>
      <c r="E138" s="21" t="s">
        <v>684</v>
      </c>
      <c r="F138" s="21" t="s">
        <v>685</v>
      </c>
      <c r="G138" s="21" t="s">
        <v>686</v>
      </c>
      <c r="H138" s="21" t="s">
        <v>14</v>
      </c>
      <c r="I138" s="21" t="s">
        <v>6</v>
      </c>
      <c r="J138" s="21"/>
      <c r="K138" s="21" t="s">
        <v>687</v>
      </c>
      <c r="L138" s="21"/>
      <c r="M138" s="21"/>
      <c r="N138" s="21" t="s">
        <v>22</v>
      </c>
      <c r="O138" s="21"/>
      <c r="P138" s="21"/>
      <c r="Q138" s="22">
        <v>46049</v>
      </c>
      <c r="R138" s="23">
        <v>79159.33</v>
      </c>
      <c r="S138" s="21">
        <v>116</v>
      </c>
      <c r="T138" s="21"/>
      <c r="U138" s="21">
        <v>0</v>
      </c>
      <c r="V138" s="21" t="s">
        <v>8</v>
      </c>
      <c r="W138" s="23">
        <v>79009.83</v>
      </c>
      <c r="X138" s="5">
        <v>805</v>
      </c>
      <c r="Y138" s="3">
        <v>0</v>
      </c>
      <c r="Z138" s="3">
        <v>0.01</v>
      </c>
      <c r="AA138" s="3">
        <v>0</v>
      </c>
      <c r="AB138" s="5">
        <v>79814.84</v>
      </c>
      <c r="AD138" s="25" t="s">
        <v>1156</v>
      </c>
      <c r="AE138" s="25" t="s">
        <v>1161</v>
      </c>
      <c r="AF138" s="26">
        <v>1437.51</v>
      </c>
      <c r="AG138" s="33">
        <f>AF139</f>
        <v>76939.83</v>
      </c>
      <c r="AH138" s="19">
        <f>AF138</f>
        <v>1437.51</v>
      </c>
      <c r="AI138" s="3"/>
      <c r="AJ138" s="3"/>
      <c r="AK138" s="3"/>
      <c r="AL138" s="15">
        <f t="shared" si="14"/>
        <v>78377.34</v>
      </c>
      <c r="AM138" s="15">
        <f t="shared" si="15"/>
        <v>1437.5</v>
      </c>
      <c r="AN138">
        <v>1437.5</v>
      </c>
      <c r="AO138" s="15">
        <f t="shared" si="10"/>
        <v>0</v>
      </c>
    </row>
    <row r="139" spans="1:41" x14ac:dyDescent="0.25">
      <c r="A139">
        <v>132</v>
      </c>
      <c r="B139" s="10"/>
      <c r="C139" s="10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2"/>
      <c r="R139" s="23"/>
      <c r="S139" s="21"/>
      <c r="T139" s="21"/>
      <c r="U139" s="21"/>
      <c r="V139" s="21"/>
      <c r="W139" s="23"/>
      <c r="X139" s="5"/>
      <c r="Y139" s="3"/>
      <c r="Z139" s="3"/>
      <c r="AA139" s="3"/>
      <c r="AB139" s="5"/>
      <c r="AD139" s="25" t="s">
        <v>1165</v>
      </c>
      <c r="AE139" s="25" t="s">
        <v>1161</v>
      </c>
      <c r="AF139" s="26">
        <v>76939.83</v>
      </c>
      <c r="AG139" s="32"/>
      <c r="AH139" s="19"/>
      <c r="AI139" s="3"/>
      <c r="AJ139" s="3"/>
      <c r="AK139" s="3"/>
      <c r="AL139" s="15"/>
      <c r="AM139" s="15"/>
      <c r="AO139" s="15"/>
    </row>
    <row r="140" spans="1:41" x14ac:dyDescent="0.25">
      <c r="A140">
        <v>133</v>
      </c>
      <c r="B140" s="10" t="s">
        <v>688</v>
      </c>
      <c r="C140" s="10" t="s">
        <v>1091</v>
      </c>
      <c r="D140" s="3" t="s">
        <v>689</v>
      </c>
      <c r="E140" s="3" t="s">
        <v>690</v>
      </c>
      <c r="F140" s="3" t="s">
        <v>691</v>
      </c>
      <c r="G140" s="3" t="s">
        <v>692</v>
      </c>
      <c r="H140" s="3" t="s">
        <v>14</v>
      </c>
      <c r="I140" s="3" t="s">
        <v>6</v>
      </c>
      <c r="J140" s="3"/>
      <c r="K140" s="3" t="s">
        <v>693</v>
      </c>
      <c r="L140" s="3"/>
      <c r="M140" s="3"/>
      <c r="N140" s="3"/>
      <c r="O140" s="3"/>
      <c r="P140" s="3"/>
      <c r="Q140" s="4">
        <v>46062</v>
      </c>
      <c r="R140" s="5">
        <v>14934.9</v>
      </c>
      <c r="S140" s="3">
        <v>284</v>
      </c>
      <c r="T140" s="3" t="s">
        <v>694</v>
      </c>
      <c r="U140" s="3">
        <v>0</v>
      </c>
      <c r="V140" s="3" t="s">
        <v>8</v>
      </c>
      <c r="W140" s="5">
        <v>14934.9</v>
      </c>
      <c r="X140" s="3">
        <v>0</v>
      </c>
      <c r="Y140" s="3">
        <v>0</v>
      </c>
      <c r="Z140" s="3">
        <v>0</v>
      </c>
      <c r="AA140" s="3">
        <v>0</v>
      </c>
      <c r="AB140" s="5">
        <v>14934.9</v>
      </c>
      <c r="AD140" s="25" t="s">
        <v>1175</v>
      </c>
      <c r="AE140" s="25" t="s">
        <v>1176</v>
      </c>
      <c r="AF140" s="26">
        <v>14934.9</v>
      </c>
      <c r="AG140" s="33">
        <f>W140</f>
        <v>14934.9</v>
      </c>
      <c r="AH140" s="18"/>
      <c r="AI140" s="3"/>
      <c r="AJ140" s="3"/>
      <c r="AK140" s="3"/>
      <c r="AL140" s="15">
        <f t="shared" ref="AL140:AL159" si="16">AH140+AI140+AJ140+AK140+AG140</f>
        <v>14934.9</v>
      </c>
      <c r="AM140" s="15">
        <f t="shared" si="15"/>
        <v>0</v>
      </c>
      <c r="AN140">
        <v>0</v>
      </c>
      <c r="AO140" s="15">
        <f t="shared" si="10"/>
        <v>0</v>
      </c>
    </row>
    <row r="141" spans="1:41" x14ac:dyDescent="0.25">
      <c r="A141">
        <v>134</v>
      </c>
      <c r="B141" s="10" t="s">
        <v>695</v>
      </c>
      <c r="C141" s="10" t="s">
        <v>1092</v>
      </c>
      <c r="D141" s="3" t="s">
        <v>696</v>
      </c>
      <c r="E141" s="3" t="s">
        <v>697</v>
      </c>
      <c r="F141" s="3" t="s">
        <v>698</v>
      </c>
      <c r="G141" s="3" t="s">
        <v>699</v>
      </c>
      <c r="H141" s="3" t="s">
        <v>14</v>
      </c>
      <c r="I141" s="3" t="s">
        <v>6</v>
      </c>
      <c r="J141" s="3"/>
      <c r="K141" s="3" t="s">
        <v>700</v>
      </c>
      <c r="L141" s="3"/>
      <c r="M141" s="3"/>
      <c r="N141" s="3"/>
      <c r="O141" s="3">
        <v>2136</v>
      </c>
      <c r="P141" s="3"/>
      <c r="Q141" s="4">
        <v>46081</v>
      </c>
      <c r="R141" s="5">
        <v>1682.26</v>
      </c>
      <c r="S141" s="3">
        <v>66</v>
      </c>
      <c r="T141" s="3"/>
      <c r="U141" s="3">
        <v>0</v>
      </c>
      <c r="V141" s="3" t="s">
        <v>8</v>
      </c>
      <c r="W141" s="5">
        <v>1682.26</v>
      </c>
      <c r="X141" s="3">
        <v>0</v>
      </c>
      <c r="Y141" s="3">
        <v>0</v>
      </c>
      <c r="Z141" s="3">
        <v>0</v>
      </c>
      <c r="AA141" s="3">
        <v>0</v>
      </c>
      <c r="AB141" s="5">
        <v>1682.26</v>
      </c>
      <c r="AD141" s="25"/>
      <c r="AE141" s="25"/>
      <c r="AF141" s="25"/>
      <c r="AG141" s="32"/>
      <c r="AH141" s="18"/>
      <c r="AI141" s="3"/>
      <c r="AJ141" s="3"/>
      <c r="AK141" s="3"/>
      <c r="AL141" s="15">
        <f t="shared" si="16"/>
        <v>0</v>
      </c>
      <c r="AM141" s="15">
        <f t="shared" si="15"/>
        <v>1682.26</v>
      </c>
      <c r="AN141" s="15">
        <f>AM141</f>
        <v>1682.26</v>
      </c>
      <c r="AO141" s="15">
        <f t="shared" si="10"/>
        <v>0</v>
      </c>
    </row>
    <row r="142" spans="1:41" x14ac:dyDescent="0.25">
      <c r="A142">
        <v>135</v>
      </c>
      <c r="B142" s="10" t="s">
        <v>701</v>
      </c>
      <c r="C142" s="10"/>
      <c r="D142" s="3" t="s">
        <v>702</v>
      </c>
      <c r="E142" s="3" t="s">
        <v>703</v>
      </c>
      <c r="F142" s="3" t="s">
        <v>704</v>
      </c>
      <c r="G142" s="3" t="s">
        <v>705</v>
      </c>
      <c r="H142" s="3" t="s">
        <v>14</v>
      </c>
      <c r="I142" s="3" t="s">
        <v>6</v>
      </c>
      <c r="J142" s="3"/>
      <c r="K142" s="3" t="s">
        <v>706</v>
      </c>
      <c r="L142" s="3"/>
      <c r="M142" s="3"/>
      <c r="N142" s="3"/>
      <c r="O142" s="3"/>
      <c r="P142" s="3"/>
      <c r="Q142" s="4">
        <v>46056</v>
      </c>
      <c r="R142" s="5">
        <v>583.03</v>
      </c>
      <c r="S142" s="3">
        <v>113</v>
      </c>
      <c r="T142" s="3"/>
      <c r="U142" s="3">
        <v>0</v>
      </c>
      <c r="V142" s="3" t="s">
        <v>8</v>
      </c>
      <c r="W142" s="16">
        <v>583.03</v>
      </c>
      <c r="X142" s="3">
        <v>0</v>
      </c>
      <c r="Y142" s="3">
        <v>0</v>
      </c>
      <c r="Z142" s="3">
        <v>0</v>
      </c>
      <c r="AA142" s="3">
        <v>0</v>
      </c>
      <c r="AB142" s="5">
        <v>583.03</v>
      </c>
      <c r="AD142" s="25" t="s">
        <v>1149</v>
      </c>
      <c r="AE142" s="25" t="s">
        <v>1150</v>
      </c>
      <c r="AF142" s="26">
        <v>583.03</v>
      </c>
      <c r="AG142" s="34">
        <f>AF142</f>
        <v>583.03</v>
      </c>
      <c r="AH142" s="18"/>
      <c r="AI142" s="3"/>
      <c r="AJ142" s="3"/>
      <c r="AK142" s="3"/>
      <c r="AL142" s="15">
        <f t="shared" si="16"/>
        <v>583.03</v>
      </c>
      <c r="AM142" s="15">
        <f t="shared" si="15"/>
        <v>0</v>
      </c>
      <c r="AN142">
        <v>0</v>
      </c>
      <c r="AO142" s="15">
        <f t="shared" si="10"/>
        <v>0</v>
      </c>
    </row>
    <row r="143" spans="1:41" x14ac:dyDescent="0.25">
      <c r="A143">
        <v>136</v>
      </c>
      <c r="B143" s="10" t="s">
        <v>707</v>
      </c>
      <c r="C143" s="10"/>
      <c r="D143" s="3" t="s">
        <v>708</v>
      </c>
      <c r="E143" s="3" t="s">
        <v>709</v>
      </c>
      <c r="F143" s="3" t="s">
        <v>710</v>
      </c>
      <c r="G143" s="3" t="s">
        <v>711</v>
      </c>
      <c r="H143" s="3" t="s">
        <v>249</v>
      </c>
      <c r="I143" s="3" t="s">
        <v>6</v>
      </c>
      <c r="J143" s="3" t="s">
        <v>15</v>
      </c>
      <c r="K143" s="3" t="s">
        <v>712</v>
      </c>
      <c r="L143" s="3"/>
      <c r="M143" s="3"/>
      <c r="N143" s="3" t="s">
        <v>22</v>
      </c>
      <c r="O143" s="3"/>
      <c r="P143" s="3"/>
      <c r="Q143" s="4">
        <v>45716</v>
      </c>
      <c r="R143" s="5">
        <v>154.88999999999999</v>
      </c>
      <c r="S143" s="3">
        <v>53</v>
      </c>
      <c r="T143" s="3"/>
      <c r="U143" s="3">
        <v>0</v>
      </c>
      <c r="V143" s="3" t="s">
        <v>8</v>
      </c>
      <c r="W143" s="3">
        <v>0</v>
      </c>
      <c r="X143" s="3">
        <v>0</v>
      </c>
      <c r="Y143" s="3">
        <v>0</v>
      </c>
      <c r="Z143" s="3">
        <v>0</v>
      </c>
      <c r="AA143" s="5">
        <v>0</v>
      </c>
      <c r="AB143" s="5">
        <v>0</v>
      </c>
      <c r="AD143" s="25"/>
      <c r="AE143" s="25"/>
      <c r="AF143" s="25"/>
      <c r="AG143" s="32"/>
      <c r="AH143" s="18"/>
      <c r="AI143" s="3"/>
      <c r="AJ143" s="3"/>
      <c r="AK143" s="5"/>
      <c r="AL143" s="15">
        <f t="shared" si="16"/>
        <v>0</v>
      </c>
      <c r="AM143" s="15">
        <v>0</v>
      </c>
      <c r="AN143">
        <v>0</v>
      </c>
      <c r="AO143" s="15">
        <f t="shared" si="10"/>
        <v>0</v>
      </c>
    </row>
    <row r="144" spans="1:41" x14ac:dyDescent="0.25">
      <c r="A144">
        <v>137</v>
      </c>
      <c r="B144" s="10" t="s">
        <v>713</v>
      </c>
      <c r="C144" s="10"/>
      <c r="D144" s="3" t="s">
        <v>714</v>
      </c>
      <c r="E144" s="3" t="s">
        <v>715</v>
      </c>
      <c r="F144" s="3" t="s">
        <v>716</v>
      </c>
      <c r="G144" s="3" t="s">
        <v>717</v>
      </c>
      <c r="H144" s="3" t="s">
        <v>14</v>
      </c>
      <c r="I144" s="3" t="s">
        <v>6</v>
      </c>
      <c r="J144" s="3" t="s">
        <v>33</v>
      </c>
      <c r="K144" s="3" t="s">
        <v>718</v>
      </c>
      <c r="L144" s="3"/>
      <c r="M144" s="3"/>
      <c r="N144" s="3" t="s">
        <v>22</v>
      </c>
      <c r="O144" s="3"/>
      <c r="P144" s="3"/>
      <c r="Q144" s="3"/>
      <c r="R144" s="3">
        <v>0</v>
      </c>
      <c r="S144" s="3">
        <v>523</v>
      </c>
      <c r="T144" s="3"/>
      <c r="U144" s="3">
        <v>0</v>
      </c>
      <c r="V144" s="3" t="s">
        <v>8</v>
      </c>
      <c r="W144" s="3">
        <v>0</v>
      </c>
      <c r="X144" s="3">
        <v>0</v>
      </c>
      <c r="Y144" s="3">
        <v>0</v>
      </c>
      <c r="Z144" s="5">
        <v>1505.1</v>
      </c>
      <c r="AA144" s="3">
        <v>0</v>
      </c>
      <c r="AB144" s="5">
        <v>1505.1</v>
      </c>
      <c r="AD144" s="25"/>
      <c r="AE144" s="25"/>
      <c r="AF144" s="25"/>
      <c r="AG144" s="32"/>
      <c r="AH144" s="18"/>
      <c r="AI144" s="3"/>
      <c r="AJ144" s="5"/>
      <c r="AK144" s="3"/>
      <c r="AL144" s="15">
        <f t="shared" si="16"/>
        <v>0</v>
      </c>
      <c r="AM144" s="15">
        <f t="shared" si="15"/>
        <v>1505.1</v>
      </c>
      <c r="AN144" s="15">
        <f>AM144</f>
        <v>1505.1</v>
      </c>
      <c r="AO144" s="15">
        <f t="shared" si="10"/>
        <v>0</v>
      </c>
    </row>
    <row r="145" spans="1:41" x14ac:dyDescent="0.25">
      <c r="A145">
        <v>138</v>
      </c>
      <c r="B145" s="10" t="s">
        <v>719</v>
      </c>
      <c r="C145" s="10" t="s">
        <v>1093</v>
      </c>
      <c r="D145" s="3" t="s">
        <v>720</v>
      </c>
      <c r="E145" s="3" t="s">
        <v>721</v>
      </c>
      <c r="F145" s="3" t="s">
        <v>722</v>
      </c>
      <c r="G145" s="3" t="s">
        <v>723</v>
      </c>
      <c r="H145" s="3" t="s">
        <v>14</v>
      </c>
      <c r="I145" s="3" t="s">
        <v>6</v>
      </c>
      <c r="J145" s="3" t="s">
        <v>15</v>
      </c>
      <c r="K145" s="3" t="s">
        <v>724</v>
      </c>
      <c r="L145" s="3"/>
      <c r="M145" s="3"/>
      <c r="N145" s="3"/>
      <c r="O145" s="3">
        <v>1462</v>
      </c>
      <c r="P145" s="3"/>
      <c r="Q145" s="4">
        <v>46081</v>
      </c>
      <c r="R145" s="5">
        <v>60140.26</v>
      </c>
      <c r="S145" s="3">
        <v>549</v>
      </c>
      <c r="T145" s="3"/>
      <c r="U145" s="3">
        <v>0</v>
      </c>
      <c r="V145" s="3" t="s">
        <v>8</v>
      </c>
      <c r="W145" s="5">
        <v>60140.26</v>
      </c>
      <c r="X145" s="3">
        <v>0</v>
      </c>
      <c r="Y145" s="3">
        <v>0</v>
      </c>
      <c r="Z145" s="3">
        <v>0</v>
      </c>
      <c r="AA145" s="3">
        <v>0</v>
      </c>
      <c r="AB145" s="5">
        <v>60140.26</v>
      </c>
      <c r="AD145" s="25"/>
      <c r="AE145" s="25"/>
      <c r="AF145" s="25"/>
      <c r="AG145" s="32"/>
      <c r="AH145" s="18"/>
      <c r="AI145" s="3"/>
      <c r="AJ145" s="3"/>
      <c r="AK145" s="3"/>
      <c r="AL145" s="15">
        <f t="shared" si="16"/>
        <v>0</v>
      </c>
      <c r="AM145" s="15">
        <f t="shared" si="15"/>
        <v>60140.26</v>
      </c>
      <c r="AN145" s="15">
        <f t="shared" ref="AN145:AN147" si="17">AM145</f>
        <v>60140.26</v>
      </c>
      <c r="AO145" s="15">
        <f t="shared" si="10"/>
        <v>0</v>
      </c>
    </row>
    <row r="146" spans="1:41" x14ac:dyDescent="0.25">
      <c r="A146">
        <v>139</v>
      </c>
      <c r="B146" s="10" t="s">
        <v>725</v>
      </c>
      <c r="C146" s="10" t="s">
        <v>1094</v>
      </c>
      <c r="D146" s="3" t="s">
        <v>726</v>
      </c>
      <c r="E146" s="3" t="s">
        <v>727</v>
      </c>
      <c r="F146" s="3" t="s">
        <v>728</v>
      </c>
      <c r="G146" s="3" t="s">
        <v>729</v>
      </c>
      <c r="H146" s="3" t="s">
        <v>14</v>
      </c>
      <c r="I146" s="3" t="s">
        <v>6</v>
      </c>
      <c r="J146" s="3" t="s">
        <v>15</v>
      </c>
      <c r="K146" s="3" t="s">
        <v>730</v>
      </c>
      <c r="L146" s="3"/>
      <c r="M146" s="3"/>
      <c r="N146" s="3"/>
      <c r="O146" s="3"/>
      <c r="P146" s="3"/>
      <c r="Q146" s="4">
        <v>46081</v>
      </c>
      <c r="R146" s="5">
        <v>698.74</v>
      </c>
      <c r="S146" s="3">
        <v>78</v>
      </c>
      <c r="T146" s="3"/>
      <c r="U146" s="3">
        <v>0</v>
      </c>
      <c r="V146" s="3" t="s">
        <v>8</v>
      </c>
      <c r="W146" s="5">
        <v>349.37</v>
      </c>
      <c r="X146" s="3">
        <v>0</v>
      </c>
      <c r="Y146" s="3">
        <v>0</v>
      </c>
      <c r="Z146" s="3">
        <v>0</v>
      </c>
      <c r="AA146" s="3">
        <v>0</v>
      </c>
      <c r="AB146" s="5">
        <v>349.37</v>
      </c>
      <c r="AD146" s="25"/>
      <c r="AE146" s="25"/>
      <c r="AF146" s="25"/>
      <c r="AG146" s="32"/>
      <c r="AH146" s="18"/>
      <c r="AI146" s="3"/>
      <c r="AJ146" s="3"/>
      <c r="AK146" s="3"/>
      <c r="AL146" s="15">
        <f t="shared" si="16"/>
        <v>0</v>
      </c>
      <c r="AM146" s="15">
        <f t="shared" si="15"/>
        <v>349.37</v>
      </c>
      <c r="AN146" s="15">
        <f t="shared" si="17"/>
        <v>349.37</v>
      </c>
      <c r="AO146" s="15">
        <f t="shared" si="10"/>
        <v>0</v>
      </c>
    </row>
    <row r="147" spans="1:41" x14ac:dyDescent="0.25">
      <c r="A147">
        <v>140</v>
      </c>
      <c r="B147" s="10" t="s">
        <v>731</v>
      </c>
      <c r="C147" s="10" t="s">
        <v>1095</v>
      </c>
      <c r="D147" s="3" t="s">
        <v>732</v>
      </c>
      <c r="E147" s="3" t="s">
        <v>733</v>
      </c>
      <c r="F147" s="3" t="s">
        <v>734</v>
      </c>
      <c r="G147" s="3" t="s">
        <v>735</v>
      </c>
      <c r="H147" s="3" t="s">
        <v>14</v>
      </c>
      <c r="I147" s="3" t="s">
        <v>6</v>
      </c>
      <c r="J147" s="3"/>
      <c r="K147" s="3" t="s">
        <v>736</v>
      </c>
      <c r="L147" s="3"/>
      <c r="M147" s="3"/>
      <c r="N147" s="3"/>
      <c r="O147" s="3">
        <v>2037</v>
      </c>
      <c r="P147" s="3"/>
      <c r="Q147" s="4">
        <v>46080</v>
      </c>
      <c r="R147" s="5">
        <v>938.4</v>
      </c>
      <c r="S147" s="3">
        <v>106</v>
      </c>
      <c r="T147" s="3"/>
      <c r="U147" s="3">
        <v>0</v>
      </c>
      <c r="V147" s="3" t="s">
        <v>8</v>
      </c>
      <c r="W147" s="5">
        <v>938.4</v>
      </c>
      <c r="X147" s="3">
        <v>0</v>
      </c>
      <c r="Y147" s="3">
        <v>0</v>
      </c>
      <c r="Z147" s="3">
        <v>0</v>
      </c>
      <c r="AA147" s="3">
        <v>0</v>
      </c>
      <c r="AB147" s="5">
        <v>938.4</v>
      </c>
      <c r="AD147" s="25"/>
      <c r="AE147" s="25"/>
      <c r="AF147" s="25"/>
      <c r="AG147" s="32"/>
      <c r="AH147" s="18"/>
      <c r="AI147" s="3"/>
      <c r="AJ147" s="3"/>
      <c r="AK147" s="3"/>
      <c r="AL147" s="15">
        <f t="shared" si="16"/>
        <v>0</v>
      </c>
      <c r="AM147" s="15">
        <f t="shared" si="15"/>
        <v>938.4</v>
      </c>
      <c r="AN147" s="15">
        <f t="shared" si="17"/>
        <v>938.4</v>
      </c>
      <c r="AO147" s="15">
        <f t="shared" si="10"/>
        <v>0</v>
      </c>
    </row>
    <row r="148" spans="1:41" x14ac:dyDescent="0.25">
      <c r="A148">
        <v>141</v>
      </c>
      <c r="B148" s="10" t="s">
        <v>737</v>
      </c>
      <c r="C148" s="10" t="s">
        <v>1096</v>
      </c>
      <c r="D148" s="3" t="s">
        <v>738</v>
      </c>
      <c r="E148" s="3" t="s">
        <v>739</v>
      </c>
      <c r="F148" s="3"/>
      <c r="G148" s="3" t="s">
        <v>740</v>
      </c>
      <c r="H148" s="3" t="s">
        <v>14</v>
      </c>
      <c r="I148" s="3"/>
      <c r="J148" s="3"/>
      <c r="K148" s="3" t="s">
        <v>741</v>
      </c>
      <c r="L148" s="3"/>
      <c r="M148" s="3"/>
      <c r="N148" s="3"/>
      <c r="O148" s="3">
        <v>2144</v>
      </c>
      <c r="P148" s="3"/>
      <c r="Q148" s="4">
        <v>46077</v>
      </c>
      <c r="R148" s="5">
        <v>2817.5</v>
      </c>
      <c r="S148" s="3">
        <v>179</v>
      </c>
      <c r="T148" s="3"/>
      <c r="U148" s="3">
        <v>0</v>
      </c>
      <c r="V148" s="3" t="s">
        <v>8</v>
      </c>
      <c r="W148" s="5">
        <v>2817.5</v>
      </c>
      <c r="X148" s="3">
        <v>0</v>
      </c>
      <c r="Y148" s="3">
        <v>0</v>
      </c>
      <c r="Z148" s="3">
        <v>0</v>
      </c>
      <c r="AA148" s="3">
        <v>0</v>
      </c>
      <c r="AB148" s="5">
        <v>2817.5</v>
      </c>
      <c r="AD148" s="25" t="s">
        <v>1163</v>
      </c>
      <c r="AE148" s="25" t="s">
        <v>737</v>
      </c>
      <c r="AF148" s="26">
        <v>2817.5</v>
      </c>
      <c r="AG148" s="32"/>
      <c r="AH148" s="19">
        <f>AF148</f>
        <v>2817.5</v>
      </c>
      <c r="AI148" s="3"/>
      <c r="AJ148" s="3"/>
      <c r="AK148" s="3"/>
      <c r="AL148" s="15">
        <f t="shared" si="16"/>
        <v>2817.5</v>
      </c>
      <c r="AM148" s="15">
        <f t="shared" si="15"/>
        <v>0</v>
      </c>
      <c r="AN148">
        <v>0</v>
      </c>
      <c r="AO148" s="15">
        <f t="shared" si="10"/>
        <v>0</v>
      </c>
    </row>
    <row r="149" spans="1:41" x14ac:dyDescent="0.25">
      <c r="A149">
        <v>142</v>
      </c>
      <c r="B149" s="10" t="s">
        <v>742</v>
      </c>
      <c r="C149" s="10" t="s">
        <v>1097</v>
      </c>
      <c r="D149" s="3" t="s">
        <v>743</v>
      </c>
      <c r="E149" s="3" t="s">
        <v>744</v>
      </c>
      <c r="F149" s="3" t="s">
        <v>745</v>
      </c>
      <c r="G149" s="3" t="s">
        <v>746</v>
      </c>
      <c r="H149" s="3" t="s">
        <v>14</v>
      </c>
      <c r="I149" s="3" t="s">
        <v>6</v>
      </c>
      <c r="J149" s="3" t="s">
        <v>15</v>
      </c>
      <c r="K149" s="3" t="s">
        <v>747</v>
      </c>
      <c r="L149" s="3"/>
      <c r="M149" s="3"/>
      <c r="N149" s="3" t="s">
        <v>22</v>
      </c>
      <c r="O149" s="3"/>
      <c r="P149" s="3"/>
      <c r="Q149" s="4">
        <v>46081</v>
      </c>
      <c r="R149" s="5">
        <v>232.14</v>
      </c>
      <c r="S149" s="3">
        <v>68</v>
      </c>
      <c r="T149" s="3"/>
      <c r="U149" s="3">
        <v>0</v>
      </c>
      <c r="V149" s="3" t="s">
        <v>8</v>
      </c>
      <c r="W149" s="5">
        <v>232.14</v>
      </c>
      <c r="X149" s="3">
        <v>0</v>
      </c>
      <c r="Y149" s="3">
        <v>0</v>
      </c>
      <c r="Z149" s="3">
        <v>0</v>
      </c>
      <c r="AA149" s="3">
        <v>0</v>
      </c>
      <c r="AB149" s="5">
        <v>232.14</v>
      </c>
      <c r="AD149" s="25"/>
      <c r="AE149" s="25"/>
      <c r="AF149" s="25"/>
      <c r="AG149" s="32"/>
      <c r="AH149" s="18"/>
      <c r="AI149" s="3"/>
      <c r="AJ149" s="3"/>
      <c r="AK149" s="3"/>
      <c r="AL149" s="15">
        <f t="shared" si="16"/>
        <v>0</v>
      </c>
      <c r="AM149" s="15">
        <f t="shared" si="15"/>
        <v>232.14</v>
      </c>
      <c r="AN149" s="15">
        <f>AM149</f>
        <v>232.14</v>
      </c>
      <c r="AO149" s="15">
        <f t="shared" si="10"/>
        <v>0</v>
      </c>
    </row>
    <row r="150" spans="1:41" x14ac:dyDescent="0.25">
      <c r="A150">
        <v>143</v>
      </c>
      <c r="B150" s="10">
        <v>1119</v>
      </c>
      <c r="C150" s="10"/>
      <c r="D150" s="3" t="s">
        <v>748</v>
      </c>
      <c r="E150" s="3" t="s">
        <v>749</v>
      </c>
      <c r="F150" s="3" t="s">
        <v>750</v>
      </c>
      <c r="G150" s="3" t="s">
        <v>751</v>
      </c>
      <c r="H150" s="3" t="s">
        <v>14</v>
      </c>
      <c r="I150" s="3" t="s">
        <v>6</v>
      </c>
      <c r="J150" s="3" t="s">
        <v>33</v>
      </c>
      <c r="K150" s="3" t="s">
        <v>752</v>
      </c>
      <c r="L150" s="3" t="s">
        <v>753</v>
      </c>
      <c r="M150" s="3" t="s">
        <v>754</v>
      </c>
      <c r="N150" s="3"/>
      <c r="O150" s="3">
        <v>3910</v>
      </c>
      <c r="P150" s="3"/>
      <c r="Q150" s="4">
        <v>45847</v>
      </c>
      <c r="R150" s="5">
        <v>5000</v>
      </c>
      <c r="S150" s="3">
        <v>300</v>
      </c>
      <c r="T150" s="3"/>
      <c r="U150" s="3">
        <v>0</v>
      </c>
      <c r="V150" s="3" t="s">
        <v>8</v>
      </c>
      <c r="W150" s="3">
        <v>0</v>
      </c>
      <c r="X150" s="3">
        <v>0</v>
      </c>
      <c r="Y150" s="3">
        <v>0</v>
      </c>
      <c r="Z150" s="3">
        <v>0</v>
      </c>
      <c r="AA150" s="5">
        <v>88002.8</v>
      </c>
      <c r="AB150" s="5">
        <v>88002.8</v>
      </c>
      <c r="AD150" s="25"/>
      <c r="AE150" s="25"/>
      <c r="AF150" s="25"/>
      <c r="AG150" s="32"/>
      <c r="AH150" s="18"/>
      <c r="AI150" s="3"/>
      <c r="AJ150" s="3"/>
      <c r="AK150" s="5"/>
      <c r="AL150" s="15">
        <f t="shared" si="16"/>
        <v>0</v>
      </c>
      <c r="AM150" s="15">
        <f t="shared" si="15"/>
        <v>88002.8</v>
      </c>
      <c r="AN150" s="15">
        <f>AM150</f>
        <v>88002.8</v>
      </c>
      <c r="AO150" s="15">
        <f t="shared" si="10"/>
        <v>0</v>
      </c>
    </row>
    <row r="151" spans="1:41" x14ac:dyDescent="0.25">
      <c r="A151">
        <v>144</v>
      </c>
      <c r="B151" s="10">
        <v>2275</v>
      </c>
      <c r="C151" s="10" t="s">
        <v>1098</v>
      </c>
      <c r="D151" s="3" t="s">
        <v>755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>
        <v>0</v>
      </c>
      <c r="S151" s="3">
        <v>31</v>
      </c>
      <c r="T151" s="3"/>
      <c r="U151" s="3">
        <v>0</v>
      </c>
      <c r="V151" s="3" t="s">
        <v>8</v>
      </c>
      <c r="W151" s="5">
        <v>13436.6</v>
      </c>
      <c r="X151" s="3">
        <v>0</v>
      </c>
      <c r="Y151" s="3">
        <v>0</v>
      </c>
      <c r="Z151" s="3">
        <v>0</v>
      </c>
      <c r="AA151" s="3">
        <v>0</v>
      </c>
      <c r="AB151" s="5">
        <v>13436.6</v>
      </c>
      <c r="AD151" s="25"/>
      <c r="AE151" s="25"/>
      <c r="AF151" s="25"/>
      <c r="AG151" s="32"/>
      <c r="AH151" s="18"/>
      <c r="AI151" s="3"/>
      <c r="AJ151" s="3"/>
      <c r="AK151" s="3"/>
      <c r="AL151" s="15">
        <f t="shared" si="16"/>
        <v>0</v>
      </c>
      <c r="AM151" s="15">
        <f t="shared" si="15"/>
        <v>13436.6</v>
      </c>
      <c r="AN151">
        <v>13436.6</v>
      </c>
      <c r="AO151" s="15">
        <f t="shared" si="10"/>
        <v>0</v>
      </c>
    </row>
    <row r="152" spans="1:41" x14ac:dyDescent="0.25">
      <c r="A152">
        <v>145</v>
      </c>
      <c r="B152" s="10" t="s">
        <v>756</v>
      </c>
      <c r="C152" s="10"/>
      <c r="D152" s="3" t="s">
        <v>757</v>
      </c>
      <c r="E152" s="3" t="s">
        <v>758</v>
      </c>
      <c r="F152" s="3" t="s">
        <v>759</v>
      </c>
      <c r="G152" s="3" t="s">
        <v>760</v>
      </c>
      <c r="H152" s="3" t="s">
        <v>236</v>
      </c>
      <c r="I152" s="3" t="s">
        <v>6</v>
      </c>
      <c r="J152" s="3" t="s">
        <v>33</v>
      </c>
      <c r="K152" s="3" t="s">
        <v>761</v>
      </c>
      <c r="L152" s="3"/>
      <c r="M152" s="3"/>
      <c r="N152" s="3"/>
      <c r="O152" s="3">
        <v>2128</v>
      </c>
      <c r="P152" s="3"/>
      <c r="Q152" s="4">
        <v>43231</v>
      </c>
      <c r="R152" s="5">
        <v>164934.66</v>
      </c>
      <c r="S152" s="3">
        <v>1540</v>
      </c>
      <c r="T152" s="3"/>
      <c r="U152" s="3">
        <v>0</v>
      </c>
      <c r="V152" s="3" t="s">
        <v>8</v>
      </c>
      <c r="W152" s="3">
        <v>0</v>
      </c>
      <c r="X152" s="3">
        <v>0</v>
      </c>
      <c r="Y152" s="3">
        <v>0</v>
      </c>
      <c r="Z152" s="3">
        <v>0</v>
      </c>
      <c r="AA152" s="5">
        <v>0</v>
      </c>
      <c r="AB152" s="5">
        <v>0</v>
      </c>
      <c r="AD152" s="25"/>
      <c r="AE152" s="25"/>
      <c r="AF152" s="25"/>
      <c r="AG152" s="32"/>
      <c r="AH152" s="18"/>
      <c r="AI152" s="3"/>
      <c r="AJ152" s="3"/>
      <c r="AK152" s="5"/>
      <c r="AL152" s="15">
        <f t="shared" si="16"/>
        <v>0</v>
      </c>
      <c r="AM152" s="15">
        <f t="shared" si="15"/>
        <v>0</v>
      </c>
      <c r="AO152" s="15">
        <f t="shared" ref="AO152:AO194" si="18">AM152-AN152</f>
        <v>0</v>
      </c>
    </row>
    <row r="153" spans="1:41" x14ac:dyDescent="0.25">
      <c r="A153">
        <v>146</v>
      </c>
      <c r="B153" s="10">
        <v>682</v>
      </c>
      <c r="C153" s="10" t="s">
        <v>1099</v>
      </c>
      <c r="D153" s="3" t="s">
        <v>762</v>
      </c>
      <c r="E153" s="3" t="s">
        <v>763</v>
      </c>
      <c r="F153" s="3" t="s">
        <v>764</v>
      </c>
      <c r="G153" s="3" t="s">
        <v>765</v>
      </c>
      <c r="H153" s="3" t="s">
        <v>14</v>
      </c>
      <c r="I153" s="3" t="s">
        <v>6</v>
      </c>
      <c r="J153" s="3" t="s">
        <v>15</v>
      </c>
      <c r="K153" s="3"/>
      <c r="L153" s="3"/>
      <c r="M153" s="3"/>
      <c r="N153" s="3"/>
      <c r="O153" s="3"/>
      <c r="P153" s="3"/>
      <c r="Q153" s="4">
        <v>46081</v>
      </c>
      <c r="R153" s="5">
        <v>5559.8</v>
      </c>
      <c r="S153" s="3">
        <v>261</v>
      </c>
      <c r="T153" s="3"/>
      <c r="U153" s="3">
        <v>0</v>
      </c>
      <c r="V153" s="3" t="s">
        <v>8</v>
      </c>
      <c r="W153" s="5">
        <v>5559.8</v>
      </c>
      <c r="X153" s="3">
        <v>0</v>
      </c>
      <c r="Y153" s="3">
        <v>0</v>
      </c>
      <c r="Z153" s="3">
        <v>0</v>
      </c>
      <c r="AA153" s="3">
        <v>0</v>
      </c>
      <c r="AB153" s="5">
        <v>5559.8</v>
      </c>
      <c r="AD153" s="25"/>
      <c r="AE153" s="25"/>
      <c r="AF153" s="25"/>
      <c r="AG153" s="32"/>
      <c r="AH153" s="18"/>
      <c r="AI153" s="3"/>
      <c r="AJ153" s="3"/>
      <c r="AK153" s="3"/>
      <c r="AL153" s="15">
        <f t="shared" si="16"/>
        <v>0</v>
      </c>
      <c r="AM153" s="15">
        <f t="shared" si="15"/>
        <v>5559.8</v>
      </c>
      <c r="AN153" s="15">
        <f>AM153</f>
        <v>5559.8</v>
      </c>
      <c r="AO153" s="15">
        <f t="shared" si="18"/>
        <v>0</v>
      </c>
    </row>
    <row r="154" spans="1:41" x14ac:dyDescent="0.25">
      <c r="A154">
        <v>147</v>
      </c>
      <c r="B154" s="10">
        <v>2276</v>
      </c>
      <c r="C154" s="10" t="s">
        <v>1100</v>
      </c>
      <c r="D154" s="3" t="s">
        <v>766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>
        <v>0</v>
      </c>
      <c r="S154" s="3">
        <v>31</v>
      </c>
      <c r="T154" s="3"/>
      <c r="U154" s="3">
        <v>0</v>
      </c>
      <c r="V154" s="3" t="s">
        <v>8</v>
      </c>
      <c r="W154" s="5">
        <v>19807.599999999999</v>
      </c>
      <c r="X154" s="3">
        <v>0</v>
      </c>
      <c r="Y154" s="3">
        <v>0</v>
      </c>
      <c r="Z154" s="3">
        <v>0</v>
      </c>
      <c r="AA154" s="3">
        <v>0</v>
      </c>
      <c r="AB154" s="5">
        <v>19807.599999999999</v>
      </c>
      <c r="AD154" s="25"/>
      <c r="AE154" s="25"/>
      <c r="AF154" s="25"/>
      <c r="AG154" s="32"/>
      <c r="AH154" s="18"/>
      <c r="AI154" s="3"/>
      <c r="AJ154" s="3"/>
      <c r="AK154" s="3"/>
      <c r="AL154" s="15">
        <f t="shared" si="16"/>
        <v>0</v>
      </c>
      <c r="AM154" s="15">
        <f t="shared" si="15"/>
        <v>19807.599999999999</v>
      </c>
      <c r="AN154" s="15">
        <v>19807.599999999999</v>
      </c>
      <c r="AO154" s="15">
        <f t="shared" si="18"/>
        <v>0</v>
      </c>
    </row>
    <row r="155" spans="1:41" x14ac:dyDescent="0.25">
      <c r="A155">
        <v>148</v>
      </c>
      <c r="B155" s="10" t="s">
        <v>767</v>
      </c>
      <c r="C155" s="10" t="s">
        <v>1101</v>
      </c>
      <c r="D155" s="3" t="s">
        <v>768</v>
      </c>
      <c r="E155" s="3" t="s">
        <v>769</v>
      </c>
      <c r="F155" s="3" t="s">
        <v>770</v>
      </c>
      <c r="G155" s="3" t="s">
        <v>771</v>
      </c>
      <c r="H155" s="3" t="s">
        <v>14</v>
      </c>
      <c r="I155" s="3"/>
      <c r="J155" s="3"/>
      <c r="K155" s="3" t="s">
        <v>772</v>
      </c>
      <c r="L155" s="3"/>
      <c r="M155" s="3"/>
      <c r="N155" s="3"/>
      <c r="O155" s="3">
        <v>1465</v>
      </c>
      <c r="P155" s="3"/>
      <c r="Q155" s="4">
        <v>46052</v>
      </c>
      <c r="R155" s="5">
        <v>21721.360000000001</v>
      </c>
      <c r="S155" s="3">
        <v>172</v>
      </c>
      <c r="T155" s="3"/>
      <c r="U155" s="3">
        <v>0</v>
      </c>
      <c r="V155" s="3" t="s">
        <v>8</v>
      </c>
      <c r="W155" s="5">
        <v>10860.68</v>
      </c>
      <c r="X155" s="5">
        <v>10860.68</v>
      </c>
      <c r="Y155" s="3">
        <v>0</v>
      </c>
      <c r="Z155" s="3">
        <v>0</v>
      </c>
      <c r="AA155" s="3">
        <v>0</v>
      </c>
      <c r="AB155" s="5">
        <v>21721.360000000001</v>
      </c>
      <c r="AD155" s="25" t="s">
        <v>1154</v>
      </c>
      <c r="AE155" s="25" t="s">
        <v>1171</v>
      </c>
      <c r="AF155" s="26">
        <v>10860.68</v>
      </c>
      <c r="AG155" s="32"/>
      <c r="AH155" s="19">
        <f>X155</f>
        <v>10860.68</v>
      </c>
      <c r="AI155" s="3"/>
      <c r="AJ155" s="3"/>
      <c r="AK155" s="3"/>
      <c r="AL155" s="15">
        <f t="shared" si="16"/>
        <v>10860.68</v>
      </c>
      <c r="AM155" s="15">
        <f t="shared" si="15"/>
        <v>10860.68</v>
      </c>
      <c r="AN155">
        <v>10860.68</v>
      </c>
      <c r="AO155" s="15">
        <f t="shared" si="18"/>
        <v>0</v>
      </c>
    </row>
    <row r="156" spans="1:41" x14ac:dyDescent="0.25">
      <c r="A156">
        <v>149</v>
      </c>
      <c r="B156" s="10" t="s">
        <v>773</v>
      </c>
      <c r="C156" s="10" t="s">
        <v>1102</v>
      </c>
      <c r="D156" s="3" t="s">
        <v>774</v>
      </c>
      <c r="E156" s="3" t="s">
        <v>774</v>
      </c>
      <c r="F156" s="3" t="s">
        <v>775</v>
      </c>
      <c r="G156" s="3" t="s">
        <v>776</v>
      </c>
      <c r="H156" s="3" t="s">
        <v>14</v>
      </c>
      <c r="I156" s="3" t="s">
        <v>6</v>
      </c>
      <c r="J156" s="3" t="s">
        <v>15</v>
      </c>
      <c r="K156" s="3" t="s">
        <v>777</v>
      </c>
      <c r="L156" s="3"/>
      <c r="M156" s="3"/>
      <c r="N156" s="3"/>
      <c r="O156" s="3">
        <v>2196</v>
      </c>
      <c r="P156" s="3"/>
      <c r="Q156" s="4">
        <v>46081</v>
      </c>
      <c r="R156" s="5">
        <v>162.97999999999999</v>
      </c>
      <c r="S156" s="3">
        <v>60</v>
      </c>
      <c r="T156" s="3"/>
      <c r="U156" s="3">
        <v>0</v>
      </c>
      <c r="V156" s="3" t="s">
        <v>8</v>
      </c>
      <c r="W156" s="5">
        <v>162.97999999999999</v>
      </c>
      <c r="X156" s="3">
        <v>0</v>
      </c>
      <c r="Y156" s="3">
        <v>0</v>
      </c>
      <c r="Z156" s="3">
        <v>0</v>
      </c>
      <c r="AA156" s="3">
        <v>0</v>
      </c>
      <c r="AB156" s="5">
        <v>162.97999999999999</v>
      </c>
      <c r="AD156" s="25"/>
      <c r="AE156" s="25"/>
      <c r="AF156" s="25"/>
      <c r="AG156" s="32"/>
      <c r="AH156" s="18"/>
      <c r="AI156" s="3"/>
      <c r="AJ156" s="3"/>
      <c r="AK156" s="3"/>
      <c r="AL156" s="15">
        <f t="shared" si="16"/>
        <v>0</v>
      </c>
      <c r="AM156" s="15">
        <f t="shared" si="15"/>
        <v>162.97999999999999</v>
      </c>
      <c r="AN156" s="15">
        <f>AM156</f>
        <v>162.97999999999999</v>
      </c>
      <c r="AO156" s="15">
        <f t="shared" si="18"/>
        <v>0</v>
      </c>
    </row>
    <row r="157" spans="1:41" x14ac:dyDescent="0.25">
      <c r="A157">
        <v>150</v>
      </c>
      <c r="B157" s="10" t="s">
        <v>778</v>
      </c>
      <c r="C157" s="10" t="s">
        <v>1103</v>
      </c>
      <c r="D157" s="3" t="s">
        <v>779</v>
      </c>
      <c r="E157" s="3" t="s">
        <v>314</v>
      </c>
      <c r="F157" s="3" t="s">
        <v>315</v>
      </c>
      <c r="G157" s="3" t="s">
        <v>316</v>
      </c>
      <c r="H157" s="3" t="s">
        <v>14</v>
      </c>
      <c r="I157" s="3" t="s">
        <v>6</v>
      </c>
      <c r="J157" s="3"/>
      <c r="K157" s="3" t="s">
        <v>780</v>
      </c>
      <c r="L157" s="3"/>
      <c r="M157" s="3"/>
      <c r="N157" s="3"/>
      <c r="O157" s="3">
        <v>1540</v>
      </c>
      <c r="P157" s="3"/>
      <c r="Q157" s="4">
        <v>46081</v>
      </c>
      <c r="R157" s="5">
        <v>8345.5</v>
      </c>
      <c r="S157" s="3">
        <v>43</v>
      </c>
      <c r="T157" s="3"/>
      <c r="U157" s="3">
        <v>0</v>
      </c>
      <c r="V157" s="3" t="s">
        <v>8</v>
      </c>
      <c r="W157" s="5">
        <v>8345.5</v>
      </c>
      <c r="X157" s="3">
        <v>0</v>
      </c>
      <c r="Y157" s="3">
        <v>0</v>
      </c>
      <c r="Z157" s="3">
        <v>0</v>
      </c>
      <c r="AA157" s="3">
        <v>0</v>
      </c>
      <c r="AB157" s="5">
        <v>8345.5</v>
      </c>
      <c r="AD157" s="25"/>
      <c r="AE157" s="25"/>
      <c r="AF157" s="25"/>
      <c r="AG157" s="32"/>
      <c r="AH157" s="18"/>
      <c r="AI157" s="3"/>
      <c r="AJ157" s="3"/>
      <c r="AK157" s="3"/>
      <c r="AL157" s="15">
        <f t="shared" si="16"/>
        <v>0</v>
      </c>
      <c r="AM157" s="15">
        <f t="shared" si="15"/>
        <v>8345.5</v>
      </c>
      <c r="AN157" s="15">
        <f t="shared" ref="AN157:AN158" si="19">AM157</f>
        <v>8345.5</v>
      </c>
      <c r="AO157" s="15">
        <f t="shared" si="18"/>
        <v>0</v>
      </c>
    </row>
    <row r="158" spans="1:41" x14ac:dyDescent="0.25">
      <c r="A158">
        <v>151</v>
      </c>
      <c r="B158" s="10" t="s">
        <v>781</v>
      </c>
      <c r="C158" s="10" t="s">
        <v>1104</v>
      </c>
      <c r="D158" s="3" t="s">
        <v>782</v>
      </c>
      <c r="E158" s="3" t="s">
        <v>783</v>
      </c>
      <c r="F158" s="3"/>
      <c r="G158" s="3" t="s">
        <v>784</v>
      </c>
      <c r="H158" s="3" t="s">
        <v>14</v>
      </c>
      <c r="I158" s="3" t="s">
        <v>6</v>
      </c>
      <c r="J158" s="3" t="s">
        <v>15</v>
      </c>
      <c r="K158" s="3" t="s">
        <v>785</v>
      </c>
      <c r="L158" s="3"/>
      <c r="M158" s="3"/>
      <c r="N158" s="3" t="s">
        <v>22</v>
      </c>
      <c r="O158" s="3"/>
      <c r="P158" s="3"/>
      <c r="Q158" s="4">
        <v>46081</v>
      </c>
      <c r="R158" s="5">
        <v>297.85000000000002</v>
      </c>
      <c r="S158" s="3">
        <v>68</v>
      </c>
      <c r="T158" s="3"/>
      <c r="U158" s="3">
        <v>0</v>
      </c>
      <c r="V158" s="3" t="s">
        <v>8</v>
      </c>
      <c r="W158" s="5">
        <v>297.85000000000002</v>
      </c>
      <c r="X158" s="3">
        <v>0</v>
      </c>
      <c r="Y158" s="3">
        <v>0</v>
      </c>
      <c r="Z158" s="3">
        <v>0</v>
      </c>
      <c r="AA158" s="3">
        <v>0</v>
      </c>
      <c r="AB158" s="5">
        <v>297.85000000000002</v>
      </c>
      <c r="AD158" s="25"/>
      <c r="AE158" s="25"/>
      <c r="AF158" s="25"/>
      <c r="AG158" s="32"/>
      <c r="AH158" s="18"/>
      <c r="AI158" s="3"/>
      <c r="AJ158" s="3"/>
      <c r="AK158" s="3"/>
      <c r="AL158" s="15">
        <f t="shared" si="16"/>
        <v>0</v>
      </c>
      <c r="AM158" s="15">
        <f t="shared" si="15"/>
        <v>297.85000000000002</v>
      </c>
      <c r="AN158" s="15">
        <f t="shared" si="19"/>
        <v>297.85000000000002</v>
      </c>
      <c r="AO158" s="15">
        <f t="shared" si="18"/>
        <v>0</v>
      </c>
    </row>
    <row r="159" spans="1:41" x14ac:dyDescent="0.25">
      <c r="A159">
        <v>152</v>
      </c>
      <c r="B159" s="10" t="s">
        <v>786</v>
      </c>
      <c r="C159" s="10"/>
      <c r="D159" s="3" t="s">
        <v>787</v>
      </c>
      <c r="E159" s="3" t="s">
        <v>788</v>
      </c>
      <c r="F159" s="3" t="s">
        <v>789</v>
      </c>
      <c r="G159" s="3" t="s">
        <v>790</v>
      </c>
      <c r="H159" s="3" t="s">
        <v>82</v>
      </c>
      <c r="I159" s="3" t="s">
        <v>6</v>
      </c>
      <c r="J159" s="3" t="s">
        <v>15</v>
      </c>
      <c r="K159" s="3" t="s">
        <v>791</v>
      </c>
      <c r="L159" s="3"/>
      <c r="M159" s="3"/>
      <c r="N159" s="3"/>
      <c r="O159" s="6" t="s">
        <v>792</v>
      </c>
      <c r="P159" s="3"/>
      <c r="Q159" s="4">
        <v>43565</v>
      </c>
      <c r="R159" s="3">
        <v>0</v>
      </c>
      <c r="S159" s="3">
        <v>432</v>
      </c>
      <c r="T159" s="3" t="s">
        <v>793</v>
      </c>
      <c r="U159" s="3">
        <v>0</v>
      </c>
      <c r="V159" s="3" t="s">
        <v>8</v>
      </c>
      <c r="W159" s="3">
        <v>0</v>
      </c>
      <c r="X159" s="3">
        <v>0</v>
      </c>
      <c r="Y159" s="3">
        <v>0</v>
      </c>
      <c r="Z159" s="3">
        <v>0</v>
      </c>
      <c r="AA159" s="3">
        <v>0.01</v>
      </c>
      <c r="AB159" s="3">
        <v>0.01</v>
      </c>
      <c r="AD159" s="25"/>
      <c r="AE159" s="25"/>
      <c r="AF159" s="25"/>
      <c r="AG159" s="32"/>
      <c r="AH159" s="18"/>
      <c r="AI159" s="3"/>
      <c r="AJ159" s="3"/>
      <c r="AK159" s="3"/>
      <c r="AL159" s="15">
        <f t="shared" si="16"/>
        <v>0</v>
      </c>
      <c r="AM159" s="15">
        <f t="shared" si="15"/>
        <v>0.01</v>
      </c>
      <c r="AO159" s="15">
        <f t="shared" si="18"/>
        <v>0.01</v>
      </c>
    </row>
    <row r="160" spans="1:41" x14ac:dyDescent="0.25">
      <c r="A160">
        <v>153</v>
      </c>
      <c r="B160" s="10" t="s">
        <v>794</v>
      </c>
      <c r="C160" s="10" t="s">
        <v>1105</v>
      </c>
      <c r="D160" s="3" t="s">
        <v>795</v>
      </c>
      <c r="E160" s="3" t="s">
        <v>796</v>
      </c>
      <c r="F160" s="3" t="s">
        <v>797</v>
      </c>
      <c r="G160" s="3" t="s">
        <v>798</v>
      </c>
      <c r="H160" s="3" t="s">
        <v>14</v>
      </c>
      <c r="I160" s="3" t="s">
        <v>6</v>
      </c>
      <c r="J160" s="3"/>
      <c r="K160" s="3" t="s">
        <v>799</v>
      </c>
      <c r="L160" s="3"/>
      <c r="M160" s="3"/>
      <c r="N160" s="3"/>
      <c r="O160" s="6" t="s">
        <v>800</v>
      </c>
      <c r="P160" s="3"/>
      <c r="Q160" s="4">
        <v>46080</v>
      </c>
      <c r="R160" s="5">
        <v>71630.789999999994</v>
      </c>
      <c r="S160" s="3">
        <v>346</v>
      </c>
      <c r="T160" s="3"/>
      <c r="U160" s="3">
        <v>0</v>
      </c>
      <c r="V160" s="3" t="s">
        <v>8</v>
      </c>
      <c r="W160" s="5">
        <v>5017</v>
      </c>
      <c r="X160" s="3">
        <v>0</v>
      </c>
      <c r="Y160" s="3">
        <v>0</v>
      </c>
      <c r="Z160" s="3">
        <v>0</v>
      </c>
      <c r="AA160" s="5">
        <v>-0.01</v>
      </c>
      <c r="AB160" s="5">
        <v>5016.99</v>
      </c>
      <c r="AD160" s="25" t="s">
        <v>1167</v>
      </c>
      <c r="AE160" s="25" t="s">
        <v>1168</v>
      </c>
      <c r="AF160" s="26">
        <v>5017</v>
      </c>
      <c r="AG160" s="33">
        <f>W160</f>
        <v>5017</v>
      </c>
      <c r="AH160" s="18"/>
      <c r="AI160" s="3"/>
      <c r="AJ160" s="3"/>
      <c r="AK160" s="5"/>
      <c r="AL160" s="15">
        <f>AH160+AI160+AJ160+AK160+AG160</f>
        <v>5017</v>
      </c>
      <c r="AM160" s="15">
        <f t="shared" si="15"/>
        <v>-1.0000000000218279E-2</v>
      </c>
      <c r="AN160">
        <v>0</v>
      </c>
      <c r="AO160" s="15">
        <f t="shared" si="18"/>
        <v>-1.0000000000218279E-2</v>
      </c>
    </row>
    <row r="161" spans="1:41" x14ac:dyDescent="0.25">
      <c r="A161">
        <v>154</v>
      </c>
      <c r="B161" s="10" t="s">
        <v>801</v>
      </c>
      <c r="C161" s="3" t="s">
        <v>1106</v>
      </c>
      <c r="D161" s="3" t="s">
        <v>802</v>
      </c>
      <c r="E161" s="3" t="s">
        <v>803</v>
      </c>
      <c r="F161" s="3" t="s">
        <v>804</v>
      </c>
      <c r="G161" s="3" t="s">
        <v>805</v>
      </c>
      <c r="H161" s="3" t="s">
        <v>14</v>
      </c>
      <c r="I161" s="3"/>
      <c r="J161" s="3"/>
      <c r="K161" s="3" t="s">
        <v>806</v>
      </c>
      <c r="L161" s="3"/>
      <c r="M161" s="3"/>
      <c r="N161" s="3"/>
      <c r="O161" s="3">
        <v>1462</v>
      </c>
      <c r="P161" s="3"/>
      <c r="Q161" s="4">
        <v>46055</v>
      </c>
      <c r="R161" s="5">
        <v>25968.959999999999</v>
      </c>
      <c r="S161" s="3">
        <v>1218</v>
      </c>
      <c r="T161" s="3"/>
      <c r="U161" s="3">
        <v>0</v>
      </c>
      <c r="V161" s="3" t="s">
        <v>8</v>
      </c>
      <c r="W161" s="5">
        <v>26116.12</v>
      </c>
      <c r="X161" s="5">
        <v>23990.9</v>
      </c>
      <c r="Y161" s="3">
        <v>0</v>
      </c>
      <c r="Z161" s="3">
        <v>0</v>
      </c>
      <c r="AA161" s="3">
        <v>0.02</v>
      </c>
      <c r="AB161" s="5">
        <v>50107.040000000001</v>
      </c>
      <c r="AD161" s="25" t="s">
        <v>1147</v>
      </c>
      <c r="AE161" s="25" t="s">
        <v>1185</v>
      </c>
      <c r="AF161" s="26">
        <v>23990.9</v>
      </c>
      <c r="AG161" s="32"/>
      <c r="AH161" s="19">
        <f>AF161</f>
        <v>23990.9</v>
      </c>
      <c r="AI161" s="3"/>
      <c r="AJ161" s="3"/>
      <c r="AK161" s="3"/>
      <c r="AL161" s="15">
        <f t="shared" ref="AL161:AL195" si="20">AH161+AI161+AJ161+AK161+AG161</f>
        <v>23990.9</v>
      </c>
      <c r="AM161" s="15">
        <f t="shared" si="15"/>
        <v>26116.14</v>
      </c>
      <c r="AN161">
        <v>26116.14</v>
      </c>
      <c r="AO161" s="15">
        <f t="shared" si="18"/>
        <v>0</v>
      </c>
    </row>
    <row r="162" spans="1:41" x14ac:dyDescent="0.25">
      <c r="A162">
        <v>155</v>
      </c>
      <c r="B162" s="10" t="s">
        <v>807</v>
      </c>
      <c r="C162" s="10" t="s">
        <v>1107</v>
      </c>
      <c r="D162" s="3" t="s">
        <v>808</v>
      </c>
      <c r="E162" s="3" t="s">
        <v>809</v>
      </c>
      <c r="F162" s="3" t="s">
        <v>810</v>
      </c>
      <c r="G162" s="3" t="s">
        <v>811</v>
      </c>
      <c r="H162" s="3" t="s">
        <v>14</v>
      </c>
      <c r="I162" s="3"/>
      <c r="J162" s="3" t="s">
        <v>15</v>
      </c>
      <c r="K162" s="3" t="s">
        <v>812</v>
      </c>
      <c r="L162" s="3"/>
      <c r="M162" s="3"/>
      <c r="N162" s="3"/>
      <c r="O162" s="3">
        <v>2090</v>
      </c>
      <c r="P162" s="3"/>
      <c r="Q162" s="4">
        <v>46081</v>
      </c>
      <c r="R162" s="5">
        <v>188.7</v>
      </c>
      <c r="S162" s="3">
        <v>76</v>
      </c>
      <c r="T162" s="3"/>
      <c r="U162" s="3">
        <v>0</v>
      </c>
      <c r="V162" s="3" t="s">
        <v>8</v>
      </c>
      <c r="W162" s="5">
        <v>188.7</v>
      </c>
      <c r="X162" s="3">
        <v>0</v>
      </c>
      <c r="Y162" s="3">
        <v>0</v>
      </c>
      <c r="Z162" s="3">
        <v>0</v>
      </c>
      <c r="AA162" s="3">
        <v>0</v>
      </c>
      <c r="AB162" s="5">
        <v>188.7</v>
      </c>
      <c r="AD162" s="25"/>
      <c r="AE162" s="25"/>
      <c r="AF162" s="25"/>
      <c r="AG162" s="32"/>
      <c r="AH162" s="18"/>
      <c r="AI162" s="3"/>
      <c r="AJ162" s="3"/>
      <c r="AK162" s="3"/>
      <c r="AL162" s="15">
        <f t="shared" si="20"/>
        <v>0</v>
      </c>
      <c r="AM162" s="15">
        <f t="shared" si="15"/>
        <v>188.7</v>
      </c>
      <c r="AN162" s="15">
        <f>AM162</f>
        <v>188.7</v>
      </c>
      <c r="AO162" s="15">
        <f t="shared" si="18"/>
        <v>0</v>
      </c>
    </row>
    <row r="163" spans="1:41" x14ac:dyDescent="0.25">
      <c r="A163">
        <v>156</v>
      </c>
      <c r="B163" s="10" t="s">
        <v>813</v>
      </c>
      <c r="C163" s="10" t="s">
        <v>1108</v>
      </c>
      <c r="D163" s="3" t="s">
        <v>814</v>
      </c>
      <c r="E163" s="3" t="s">
        <v>815</v>
      </c>
      <c r="F163" s="3" t="s">
        <v>816</v>
      </c>
      <c r="G163" s="3" t="s">
        <v>817</v>
      </c>
      <c r="H163" s="3" t="s">
        <v>14</v>
      </c>
      <c r="I163" s="3" t="s">
        <v>6</v>
      </c>
      <c r="J163" s="3"/>
      <c r="K163" s="3" t="s">
        <v>818</v>
      </c>
      <c r="L163" s="3"/>
      <c r="M163" s="3"/>
      <c r="N163" s="3"/>
      <c r="O163" s="3">
        <v>8305</v>
      </c>
      <c r="P163" s="3"/>
      <c r="Q163" s="4">
        <v>46080</v>
      </c>
      <c r="R163" s="5">
        <v>9359.0499999999993</v>
      </c>
      <c r="S163" s="3">
        <v>293</v>
      </c>
      <c r="T163" s="3"/>
      <c r="U163" s="3">
        <v>0</v>
      </c>
      <c r="V163" s="3" t="s">
        <v>8</v>
      </c>
      <c r="W163" s="5">
        <v>16364.48</v>
      </c>
      <c r="X163" s="5">
        <v>48581.06</v>
      </c>
      <c r="Y163" s="3">
        <v>0</v>
      </c>
      <c r="Z163" s="3">
        <v>0</v>
      </c>
      <c r="AA163" s="5">
        <v>-402.56</v>
      </c>
      <c r="AB163" s="5">
        <v>64542.98</v>
      </c>
      <c r="AD163" s="25"/>
      <c r="AE163" s="25"/>
      <c r="AF163" s="25"/>
      <c r="AG163" s="32"/>
      <c r="AH163" s="19"/>
      <c r="AI163" s="3"/>
      <c r="AJ163" s="3"/>
      <c r="AK163" s="5"/>
      <c r="AL163" s="15">
        <f t="shared" si="20"/>
        <v>0</v>
      </c>
      <c r="AM163" s="15">
        <f t="shared" si="15"/>
        <v>64542.98</v>
      </c>
      <c r="AN163" s="15">
        <f>AM163</f>
        <v>64542.98</v>
      </c>
      <c r="AO163" s="15">
        <f t="shared" si="18"/>
        <v>0</v>
      </c>
    </row>
    <row r="164" spans="1:41" x14ac:dyDescent="0.25">
      <c r="A164">
        <v>157</v>
      </c>
      <c r="B164" s="10" t="s">
        <v>819</v>
      </c>
      <c r="C164" s="10" t="s">
        <v>1109</v>
      </c>
      <c r="D164" s="3" t="s">
        <v>820</v>
      </c>
      <c r="E164" s="3" t="s">
        <v>821</v>
      </c>
      <c r="F164" s="3" t="s">
        <v>822</v>
      </c>
      <c r="G164" s="3" t="s">
        <v>823</v>
      </c>
      <c r="H164" s="3" t="s">
        <v>14</v>
      </c>
      <c r="I164" s="3" t="s">
        <v>6</v>
      </c>
      <c r="J164" s="3" t="s">
        <v>15</v>
      </c>
      <c r="K164" s="3" t="s">
        <v>824</v>
      </c>
      <c r="L164" s="3"/>
      <c r="M164" s="3"/>
      <c r="N164" s="3"/>
      <c r="O164" s="3">
        <v>2067</v>
      </c>
      <c r="P164" s="3"/>
      <c r="Q164" s="4">
        <v>46081</v>
      </c>
      <c r="R164" s="5">
        <v>204.7</v>
      </c>
      <c r="S164" s="3">
        <v>107</v>
      </c>
      <c r="T164" s="3"/>
      <c r="U164" s="3">
        <v>0</v>
      </c>
      <c r="V164" s="3" t="s">
        <v>8</v>
      </c>
      <c r="W164" s="5">
        <v>204.7</v>
      </c>
      <c r="X164" s="3">
        <v>0</v>
      </c>
      <c r="Y164" s="3">
        <v>0</v>
      </c>
      <c r="Z164" s="3">
        <v>0</v>
      </c>
      <c r="AA164" s="3">
        <v>0</v>
      </c>
      <c r="AB164" s="5">
        <v>204.7</v>
      </c>
      <c r="AD164" s="25"/>
      <c r="AE164" s="25"/>
      <c r="AF164" s="25"/>
      <c r="AG164" s="32"/>
      <c r="AH164" s="18"/>
      <c r="AI164" s="3"/>
      <c r="AJ164" s="3"/>
      <c r="AK164" s="3"/>
      <c r="AL164" s="15">
        <f t="shared" si="20"/>
        <v>0</v>
      </c>
      <c r="AM164" s="15">
        <f t="shared" si="15"/>
        <v>204.7</v>
      </c>
      <c r="AN164" s="15">
        <f>AM164</f>
        <v>204.7</v>
      </c>
      <c r="AO164" s="15">
        <f t="shared" si="18"/>
        <v>0</v>
      </c>
    </row>
    <row r="165" spans="1:41" x14ac:dyDescent="0.25">
      <c r="A165">
        <v>158</v>
      </c>
      <c r="B165" s="10" t="s">
        <v>825</v>
      </c>
      <c r="C165" s="10" t="s">
        <v>1110</v>
      </c>
      <c r="D165" s="3" t="s">
        <v>826</v>
      </c>
      <c r="E165" s="3" t="s">
        <v>827</v>
      </c>
      <c r="F165" s="3"/>
      <c r="G165" s="3" t="s">
        <v>828</v>
      </c>
      <c r="H165" s="3" t="s">
        <v>14</v>
      </c>
      <c r="I165" s="3" t="s">
        <v>6</v>
      </c>
      <c r="J165" s="3"/>
      <c r="K165" s="3" t="s">
        <v>829</v>
      </c>
      <c r="L165" s="3"/>
      <c r="M165" s="3"/>
      <c r="N165" s="3" t="s">
        <v>22</v>
      </c>
      <c r="O165" s="3">
        <v>1401</v>
      </c>
      <c r="P165" s="3"/>
      <c r="Q165" s="4">
        <v>46060</v>
      </c>
      <c r="R165" s="5">
        <v>11641.45</v>
      </c>
      <c r="S165" s="3">
        <v>56</v>
      </c>
      <c r="T165" s="3"/>
      <c r="U165" s="3">
        <v>0</v>
      </c>
      <c r="V165" s="3" t="s">
        <v>8</v>
      </c>
      <c r="W165" s="5">
        <v>5828.2</v>
      </c>
      <c r="X165" s="5">
        <v>5828.2</v>
      </c>
      <c r="Y165" s="3">
        <v>0</v>
      </c>
      <c r="Z165" s="3">
        <v>0</v>
      </c>
      <c r="AA165" s="3">
        <v>0</v>
      </c>
      <c r="AB165" s="5">
        <v>11656.4</v>
      </c>
      <c r="AD165" s="25" t="s">
        <v>1151</v>
      </c>
      <c r="AE165" s="25" t="s">
        <v>826</v>
      </c>
      <c r="AF165" s="26">
        <v>5828.2</v>
      </c>
      <c r="AH165" s="19">
        <f>X165</f>
        <v>5828.2</v>
      </c>
      <c r="AI165" s="3"/>
      <c r="AJ165" s="3"/>
      <c r="AK165" s="3"/>
      <c r="AL165" s="15">
        <f t="shared" si="20"/>
        <v>5828.2</v>
      </c>
      <c r="AM165" s="15">
        <f t="shared" si="15"/>
        <v>5828.2</v>
      </c>
      <c r="AN165">
        <v>5828.2</v>
      </c>
      <c r="AO165" s="15">
        <f t="shared" si="18"/>
        <v>0</v>
      </c>
    </row>
    <row r="166" spans="1:41" x14ac:dyDescent="0.25">
      <c r="A166">
        <v>159</v>
      </c>
      <c r="B166" s="10" t="s">
        <v>830</v>
      </c>
      <c r="C166" s="10" t="s">
        <v>1111</v>
      </c>
      <c r="D166" s="3" t="s">
        <v>831</v>
      </c>
      <c r="E166" s="3" t="s">
        <v>832</v>
      </c>
      <c r="F166" s="3" t="s">
        <v>833</v>
      </c>
      <c r="G166" s="3" t="s">
        <v>834</v>
      </c>
      <c r="H166" s="3" t="s">
        <v>14</v>
      </c>
      <c r="I166" s="3" t="s">
        <v>6</v>
      </c>
      <c r="J166" s="3" t="s">
        <v>15</v>
      </c>
      <c r="K166" s="3" t="s">
        <v>835</v>
      </c>
      <c r="L166" s="3"/>
      <c r="M166" s="3"/>
      <c r="N166" s="3"/>
      <c r="O166" s="3">
        <v>2130</v>
      </c>
      <c r="P166" s="3"/>
      <c r="Q166" s="4">
        <v>46081</v>
      </c>
      <c r="R166" s="5">
        <v>227.7</v>
      </c>
      <c r="S166" s="3">
        <v>55</v>
      </c>
      <c r="T166" s="3"/>
      <c r="U166" s="3">
        <v>0</v>
      </c>
      <c r="V166" s="3" t="s">
        <v>8</v>
      </c>
      <c r="W166" s="5">
        <v>227.7</v>
      </c>
      <c r="X166" s="3">
        <v>0</v>
      </c>
      <c r="Y166" s="3">
        <v>0</v>
      </c>
      <c r="Z166" s="3">
        <v>0</v>
      </c>
      <c r="AA166" s="3">
        <v>0</v>
      </c>
      <c r="AB166" s="5">
        <v>227.7</v>
      </c>
      <c r="AD166" s="25"/>
      <c r="AE166" s="25"/>
      <c r="AF166" s="25"/>
      <c r="AG166" s="32"/>
      <c r="AH166" s="18"/>
      <c r="AI166" s="3"/>
      <c r="AJ166" s="3"/>
      <c r="AK166" s="3"/>
      <c r="AL166" s="15">
        <f t="shared" si="20"/>
        <v>0</v>
      </c>
      <c r="AM166" s="15">
        <f t="shared" si="15"/>
        <v>227.7</v>
      </c>
      <c r="AN166" s="15">
        <f>AM166</f>
        <v>227.7</v>
      </c>
      <c r="AO166" s="15">
        <f t="shared" si="18"/>
        <v>0</v>
      </c>
    </row>
    <row r="167" spans="1:41" x14ac:dyDescent="0.25">
      <c r="A167">
        <v>160</v>
      </c>
      <c r="B167" s="10" t="s">
        <v>836</v>
      </c>
      <c r="C167" s="10" t="s">
        <v>1112</v>
      </c>
      <c r="D167" s="3" t="s">
        <v>837</v>
      </c>
      <c r="E167" s="3"/>
      <c r="F167" s="3"/>
      <c r="G167" s="3"/>
      <c r="H167" s="3" t="s">
        <v>14</v>
      </c>
      <c r="I167" s="3" t="s">
        <v>6</v>
      </c>
      <c r="J167" s="3"/>
      <c r="K167" s="3" t="s">
        <v>838</v>
      </c>
      <c r="L167" s="3"/>
      <c r="M167" s="3"/>
      <c r="N167" s="3"/>
      <c r="O167" s="3">
        <v>3600</v>
      </c>
      <c r="P167" s="3"/>
      <c r="Q167" s="4">
        <v>46078</v>
      </c>
      <c r="R167" s="5">
        <v>1309.52</v>
      </c>
      <c r="S167" s="3">
        <v>204</v>
      </c>
      <c r="T167" s="3"/>
      <c r="U167" s="3">
        <v>0</v>
      </c>
      <c r="V167" s="3" t="s">
        <v>8</v>
      </c>
      <c r="W167" s="5">
        <v>7202.4</v>
      </c>
      <c r="X167" s="5">
        <v>6547.64</v>
      </c>
      <c r="Y167" s="3">
        <v>0</v>
      </c>
      <c r="Z167" s="3">
        <v>0</v>
      </c>
      <c r="AA167" s="3">
        <v>0.9</v>
      </c>
      <c r="AB167" s="5">
        <v>13750.94</v>
      </c>
      <c r="AD167" s="25" t="s">
        <v>1154</v>
      </c>
      <c r="AE167" s="25" t="s">
        <v>1155</v>
      </c>
      <c r="AF167" s="26">
        <v>654.76</v>
      </c>
      <c r="AG167" s="32"/>
      <c r="AH167" s="19">
        <f>AF167</f>
        <v>654.76</v>
      </c>
      <c r="AI167" s="3"/>
      <c r="AJ167" s="3"/>
      <c r="AK167" s="3"/>
      <c r="AL167" s="15">
        <f t="shared" si="20"/>
        <v>654.76</v>
      </c>
      <c r="AM167" s="15">
        <f t="shared" si="15"/>
        <v>13096.18</v>
      </c>
      <c r="AN167">
        <v>13095.28</v>
      </c>
      <c r="AO167" s="15">
        <f t="shared" si="18"/>
        <v>0.8999999999996362</v>
      </c>
    </row>
    <row r="168" spans="1:41" x14ac:dyDescent="0.25">
      <c r="A168">
        <v>161</v>
      </c>
      <c r="B168" s="10" t="s">
        <v>839</v>
      </c>
      <c r="C168" s="10"/>
      <c r="D168" s="3" t="s">
        <v>840</v>
      </c>
      <c r="E168" s="3" t="s">
        <v>841</v>
      </c>
      <c r="F168" s="3" t="s">
        <v>842</v>
      </c>
      <c r="G168" s="3" t="s">
        <v>843</v>
      </c>
      <c r="H168" s="3" t="s">
        <v>14</v>
      </c>
      <c r="I168" s="3"/>
      <c r="J168" s="3" t="s">
        <v>15</v>
      </c>
      <c r="K168" s="3" t="s">
        <v>844</v>
      </c>
      <c r="L168" s="3"/>
      <c r="M168" s="3" t="s">
        <v>69</v>
      </c>
      <c r="N168" s="3"/>
      <c r="O168" s="3">
        <v>1501</v>
      </c>
      <c r="P168" s="3"/>
      <c r="Q168" s="4">
        <v>46081</v>
      </c>
      <c r="R168" s="5">
        <v>165.8</v>
      </c>
      <c r="S168" s="3">
        <v>108</v>
      </c>
      <c r="T168" s="3"/>
      <c r="U168" s="3">
        <v>0</v>
      </c>
      <c r="V168" s="3" t="s">
        <v>8</v>
      </c>
      <c r="W168" s="5">
        <v>165.8</v>
      </c>
      <c r="X168" s="3">
        <v>0.01</v>
      </c>
      <c r="Y168" s="3">
        <v>0</v>
      </c>
      <c r="Z168" s="3">
        <v>0</v>
      </c>
      <c r="AA168" s="5">
        <v>-0.01</v>
      </c>
      <c r="AB168" s="5">
        <v>165.8</v>
      </c>
      <c r="AD168" s="25"/>
      <c r="AE168" s="25"/>
      <c r="AF168" s="25"/>
      <c r="AG168" s="32"/>
      <c r="AH168" s="18"/>
      <c r="AI168" s="3"/>
      <c r="AJ168" s="3"/>
      <c r="AK168" s="5"/>
      <c r="AL168" s="15">
        <f t="shared" si="20"/>
        <v>0</v>
      </c>
      <c r="AM168" s="15">
        <f t="shared" si="15"/>
        <v>165.8</v>
      </c>
      <c r="AN168" s="15">
        <f>AM168</f>
        <v>165.8</v>
      </c>
      <c r="AO168" s="15">
        <f t="shared" si="18"/>
        <v>0</v>
      </c>
    </row>
    <row r="169" spans="1:41" x14ac:dyDescent="0.25">
      <c r="A169">
        <v>162</v>
      </c>
      <c r="B169" s="10">
        <v>1113</v>
      </c>
      <c r="C169" s="10"/>
      <c r="D169" s="3" t="s">
        <v>845</v>
      </c>
      <c r="E169" s="3" t="s">
        <v>846</v>
      </c>
      <c r="F169" s="3" t="s">
        <v>847</v>
      </c>
      <c r="G169" s="3" t="s">
        <v>848</v>
      </c>
      <c r="H169" s="3" t="s">
        <v>14</v>
      </c>
      <c r="I169" s="3" t="s">
        <v>6</v>
      </c>
      <c r="J169" s="3"/>
      <c r="K169" s="3" t="s">
        <v>849</v>
      </c>
      <c r="L169" s="3"/>
      <c r="M169" s="3"/>
      <c r="N169" s="3" t="s">
        <v>22</v>
      </c>
      <c r="O169" s="3"/>
      <c r="P169" s="3"/>
      <c r="Q169" s="4">
        <v>46077</v>
      </c>
      <c r="R169" s="5">
        <v>655.56</v>
      </c>
      <c r="S169" s="3">
        <v>96</v>
      </c>
      <c r="T169" s="3"/>
      <c r="U169" s="3">
        <v>0</v>
      </c>
      <c r="V169" s="3" t="s">
        <v>8</v>
      </c>
      <c r="W169" s="5">
        <v>165</v>
      </c>
      <c r="X169" s="3">
        <v>0</v>
      </c>
      <c r="Y169" s="3">
        <v>0</v>
      </c>
      <c r="Z169" s="3">
        <v>0</v>
      </c>
      <c r="AA169" s="3">
        <v>0</v>
      </c>
      <c r="AB169" s="5">
        <v>165</v>
      </c>
      <c r="AD169" s="25"/>
      <c r="AE169" s="25"/>
      <c r="AF169" s="25"/>
      <c r="AG169" s="32"/>
      <c r="AH169" s="18"/>
      <c r="AI169" s="3"/>
      <c r="AJ169" s="3"/>
      <c r="AK169" s="3"/>
      <c r="AL169" s="15">
        <f t="shared" si="20"/>
        <v>0</v>
      </c>
      <c r="AM169" s="15">
        <f t="shared" si="15"/>
        <v>165</v>
      </c>
      <c r="AN169" s="15">
        <f>AM169</f>
        <v>165</v>
      </c>
      <c r="AO169" s="15">
        <f t="shared" si="18"/>
        <v>0</v>
      </c>
    </row>
    <row r="170" spans="1:41" x14ac:dyDescent="0.25">
      <c r="A170">
        <v>163</v>
      </c>
      <c r="B170" s="10" t="s">
        <v>850</v>
      </c>
      <c r="C170" s="10" t="s">
        <v>1113</v>
      </c>
      <c r="D170" s="3" t="s">
        <v>851</v>
      </c>
      <c r="E170" s="3" t="s">
        <v>852</v>
      </c>
      <c r="F170" s="3" t="s">
        <v>853</v>
      </c>
      <c r="G170" s="3" t="s">
        <v>854</v>
      </c>
      <c r="H170" s="3" t="s">
        <v>14</v>
      </c>
      <c r="I170" s="3" t="s">
        <v>6</v>
      </c>
      <c r="J170" s="3" t="s">
        <v>15</v>
      </c>
      <c r="K170" s="3" t="s">
        <v>855</v>
      </c>
      <c r="L170" s="3">
        <v>1900</v>
      </c>
      <c r="M170" s="3"/>
      <c r="N170" s="3" t="s">
        <v>22</v>
      </c>
      <c r="O170" s="3"/>
      <c r="P170" s="3"/>
      <c r="Q170" s="4">
        <v>46056</v>
      </c>
      <c r="R170" s="5">
        <v>23840.65</v>
      </c>
      <c r="S170" s="3">
        <v>181</v>
      </c>
      <c r="T170" s="3"/>
      <c r="U170" s="3">
        <v>0</v>
      </c>
      <c r="V170" s="3" t="s">
        <v>8</v>
      </c>
      <c r="W170" s="5">
        <v>23840.65</v>
      </c>
      <c r="X170" s="3">
        <v>0</v>
      </c>
      <c r="Y170" s="3">
        <v>0</v>
      </c>
      <c r="Z170" s="3">
        <v>0</v>
      </c>
      <c r="AA170" s="3">
        <v>0</v>
      </c>
      <c r="AB170" s="5">
        <v>23840.65</v>
      </c>
      <c r="AD170" s="25" t="s">
        <v>1183</v>
      </c>
      <c r="AE170" s="25" t="s">
        <v>1184</v>
      </c>
      <c r="AF170" s="26">
        <v>23840.65</v>
      </c>
      <c r="AG170" s="33">
        <f>AF170</f>
        <v>23840.65</v>
      </c>
      <c r="AH170" s="18"/>
      <c r="AI170" s="3"/>
      <c r="AJ170" s="3"/>
      <c r="AK170" s="3"/>
      <c r="AL170" s="15">
        <f t="shared" si="20"/>
        <v>23840.65</v>
      </c>
      <c r="AM170" s="15">
        <f t="shared" si="15"/>
        <v>0</v>
      </c>
      <c r="AN170">
        <v>0</v>
      </c>
      <c r="AO170" s="15">
        <f t="shared" si="18"/>
        <v>0</v>
      </c>
    </row>
    <row r="171" spans="1:41" x14ac:dyDescent="0.25">
      <c r="A171">
        <v>164</v>
      </c>
      <c r="B171" s="10" t="s">
        <v>856</v>
      </c>
      <c r="C171" s="10" t="s">
        <v>1114</v>
      </c>
      <c r="D171" s="3" t="s">
        <v>857</v>
      </c>
      <c r="E171" s="3" t="s">
        <v>857</v>
      </c>
      <c r="F171" s="3"/>
      <c r="G171" s="3" t="s">
        <v>858</v>
      </c>
      <c r="H171" s="3" t="s">
        <v>14</v>
      </c>
      <c r="I171" s="3" t="s">
        <v>6</v>
      </c>
      <c r="J171" s="3"/>
      <c r="K171" s="3" t="s">
        <v>859</v>
      </c>
      <c r="L171" s="3"/>
      <c r="M171" s="3"/>
      <c r="N171" s="3" t="s">
        <v>22</v>
      </c>
      <c r="O171" s="3"/>
      <c r="P171" s="3"/>
      <c r="Q171" s="3"/>
      <c r="R171" s="3">
        <v>0</v>
      </c>
      <c r="S171" s="3">
        <v>61</v>
      </c>
      <c r="T171" s="3"/>
      <c r="U171" s="3">
        <v>0</v>
      </c>
      <c r="V171" s="3" t="s">
        <v>8</v>
      </c>
      <c r="W171" s="5">
        <v>616.4</v>
      </c>
      <c r="X171" s="5">
        <v>3109.6</v>
      </c>
      <c r="Y171" s="3">
        <v>0</v>
      </c>
      <c r="Z171" s="3">
        <v>0</v>
      </c>
      <c r="AA171" s="3">
        <v>0</v>
      </c>
      <c r="AB171" s="5">
        <v>3726</v>
      </c>
      <c r="AD171" s="25"/>
      <c r="AE171" s="25"/>
      <c r="AF171" s="25"/>
      <c r="AG171" s="32"/>
      <c r="AH171" s="19"/>
      <c r="AI171" s="3"/>
      <c r="AJ171" s="3"/>
      <c r="AK171" s="3"/>
      <c r="AL171" s="15">
        <f t="shared" si="20"/>
        <v>0</v>
      </c>
      <c r="AM171" s="15">
        <f t="shared" si="15"/>
        <v>3726</v>
      </c>
      <c r="AN171" s="15">
        <f>AM171</f>
        <v>3726</v>
      </c>
      <c r="AO171" s="15">
        <f t="shared" si="18"/>
        <v>0</v>
      </c>
    </row>
    <row r="172" spans="1:41" x14ac:dyDescent="0.25">
      <c r="A172">
        <v>165</v>
      </c>
      <c r="B172" s="10">
        <v>2273</v>
      </c>
      <c r="C172" s="10" t="s">
        <v>1115</v>
      </c>
      <c r="D172" s="3" t="s">
        <v>860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>
        <v>0</v>
      </c>
      <c r="S172" s="3">
        <v>31</v>
      </c>
      <c r="T172" s="3"/>
      <c r="U172" s="3">
        <v>0</v>
      </c>
      <c r="V172" s="3" t="s">
        <v>8</v>
      </c>
      <c r="W172" s="5">
        <v>76392.2</v>
      </c>
      <c r="X172" s="3">
        <v>0</v>
      </c>
      <c r="Y172" s="3">
        <v>0</v>
      </c>
      <c r="Z172" s="3">
        <v>0</v>
      </c>
      <c r="AA172" s="3">
        <v>0</v>
      </c>
      <c r="AB172" s="5">
        <v>76392.2</v>
      </c>
      <c r="AD172" s="25"/>
      <c r="AE172" s="25"/>
      <c r="AF172" s="25"/>
      <c r="AG172" s="32"/>
      <c r="AH172" s="18"/>
      <c r="AI172" s="3"/>
      <c r="AJ172" s="3"/>
      <c r="AK172" s="3"/>
      <c r="AL172" s="15">
        <f t="shared" si="20"/>
        <v>0</v>
      </c>
      <c r="AM172" s="15">
        <f t="shared" si="15"/>
        <v>76392.2</v>
      </c>
      <c r="AN172">
        <v>76392.2</v>
      </c>
      <c r="AO172" s="15">
        <f t="shared" si="18"/>
        <v>0</v>
      </c>
    </row>
    <row r="173" spans="1:41" x14ac:dyDescent="0.25">
      <c r="A173">
        <v>166</v>
      </c>
      <c r="B173" s="10">
        <v>2274</v>
      </c>
      <c r="C173" s="10" t="s">
        <v>1116</v>
      </c>
      <c r="D173" s="3" t="s">
        <v>861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>
        <v>0</v>
      </c>
      <c r="S173" s="3">
        <v>31</v>
      </c>
      <c r="T173" s="3"/>
      <c r="U173" s="3">
        <v>0</v>
      </c>
      <c r="V173" s="3" t="s">
        <v>8</v>
      </c>
      <c r="W173" s="5">
        <v>66458.5</v>
      </c>
      <c r="X173" s="3">
        <v>0</v>
      </c>
      <c r="Y173" s="3">
        <v>0</v>
      </c>
      <c r="Z173" s="3">
        <v>0</v>
      </c>
      <c r="AA173" s="3">
        <v>0</v>
      </c>
      <c r="AB173" s="5">
        <v>66458.5</v>
      </c>
      <c r="AD173" s="25"/>
      <c r="AE173" s="25"/>
      <c r="AF173" s="25"/>
      <c r="AG173" s="32"/>
      <c r="AH173" s="18"/>
      <c r="AI173" s="3"/>
      <c r="AJ173" s="3"/>
      <c r="AK173" s="3"/>
      <c r="AL173" s="15">
        <f t="shared" si="20"/>
        <v>0</v>
      </c>
      <c r="AM173" s="15">
        <f t="shared" si="15"/>
        <v>66458.5</v>
      </c>
      <c r="AN173">
        <v>66458.5</v>
      </c>
      <c r="AO173" s="15">
        <f t="shared" si="18"/>
        <v>0</v>
      </c>
    </row>
    <row r="174" spans="1:41" x14ac:dyDescent="0.25">
      <c r="A174">
        <v>167</v>
      </c>
      <c r="B174" s="10" t="s">
        <v>862</v>
      </c>
      <c r="C174" s="10" t="s">
        <v>1117</v>
      </c>
      <c r="D174" s="3" t="s">
        <v>863</v>
      </c>
      <c r="E174" s="3" t="s">
        <v>864</v>
      </c>
      <c r="F174" s="3"/>
      <c r="G174" s="3" t="s">
        <v>865</v>
      </c>
      <c r="H174" s="3" t="s">
        <v>14</v>
      </c>
      <c r="I174" s="3" t="s">
        <v>6</v>
      </c>
      <c r="J174" s="3"/>
      <c r="K174" s="3" t="s">
        <v>866</v>
      </c>
      <c r="L174" s="3"/>
      <c r="M174" s="3"/>
      <c r="N174" s="3" t="s">
        <v>22</v>
      </c>
      <c r="O174" s="3"/>
      <c r="P174" s="3"/>
      <c r="Q174" s="3"/>
      <c r="R174" s="3">
        <v>0</v>
      </c>
      <c r="S174" s="3">
        <v>53</v>
      </c>
      <c r="T174" s="3"/>
      <c r="U174" s="3">
        <v>0</v>
      </c>
      <c r="V174" s="3" t="s">
        <v>8</v>
      </c>
      <c r="W174" s="5">
        <v>31424.9</v>
      </c>
      <c r="X174" s="5">
        <v>85852.1</v>
      </c>
      <c r="Y174" s="3">
        <v>0</v>
      </c>
      <c r="Z174" s="3">
        <v>0</v>
      </c>
      <c r="AA174" s="3">
        <v>0</v>
      </c>
      <c r="AB174" s="5">
        <v>117277</v>
      </c>
      <c r="AD174" s="25"/>
      <c r="AE174" s="25"/>
      <c r="AF174" s="25"/>
      <c r="AG174" s="32"/>
      <c r="AH174" s="19"/>
      <c r="AI174" s="3"/>
      <c r="AJ174" s="3"/>
      <c r="AK174" s="3"/>
      <c r="AL174" s="15">
        <f t="shared" si="20"/>
        <v>0</v>
      </c>
      <c r="AM174" s="15">
        <f t="shared" si="15"/>
        <v>117277</v>
      </c>
      <c r="AN174" s="15">
        <f>AM174</f>
        <v>117277</v>
      </c>
      <c r="AO174" s="15">
        <f t="shared" si="18"/>
        <v>0</v>
      </c>
    </row>
    <row r="175" spans="1:41" x14ac:dyDescent="0.25">
      <c r="A175">
        <v>168</v>
      </c>
      <c r="B175" s="10" t="s">
        <v>867</v>
      </c>
      <c r="C175" s="10" t="s">
        <v>1118</v>
      </c>
      <c r="D175" s="3" t="s">
        <v>868</v>
      </c>
      <c r="E175" s="3" t="s">
        <v>869</v>
      </c>
      <c r="F175" s="3" t="s">
        <v>870</v>
      </c>
      <c r="G175" s="3" t="s">
        <v>871</v>
      </c>
      <c r="H175" s="3" t="s">
        <v>14</v>
      </c>
      <c r="I175" s="3" t="s">
        <v>6</v>
      </c>
      <c r="J175" s="3" t="s">
        <v>15</v>
      </c>
      <c r="K175" s="3" t="s">
        <v>872</v>
      </c>
      <c r="L175" s="3"/>
      <c r="M175" s="3"/>
      <c r="N175" s="3" t="s">
        <v>22</v>
      </c>
      <c r="O175" s="3"/>
      <c r="P175" s="3"/>
      <c r="Q175" s="4">
        <v>46080</v>
      </c>
      <c r="R175" s="5">
        <v>69723.350000000006</v>
      </c>
      <c r="S175" s="3">
        <v>344</v>
      </c>
      <c r="T175" s="3"/>
      <c r="U175" s="3">
        <v>0</v>
      </c>
      <c r="V175" s="3" t="s">
        <v>8</v>
      </c>
      <c r="W175" s="5">
        <v>101242.55</v>
      </c>
      <c r="X175" s="3">
        <v>0</v>
      </c>
      <c r="Y175" s="3">
        <v>0</v>
      </c>
      <c r="Z175" s="3">
        <v>0</v>
      </c>
      <c r="AA175" s="3">
        <v>0</v>
      </c>
      <c r="AB175" s="5">
        <v>101242.55</v>
      </c>
      <c r="AD175" s="25" t="str">
        <f>[2]Sheet1!$B$50</f>
        <v>31/03/2026</v>
      </c>
      <c r="AE175" s="25" t="str">
        <f>[2]Sheet1!$C$50</f>
        <v>TT NO BORDERS LOGISTICS</v>
      </c>
      <c r="AF175" s="26">
        <f>AG175</f>
        <v>101242.55</v>
      </c>
      <c r="AG175" s="33">
        <f>[2]Sheet1!$D$50</f>
        <v>101242.55</v>
      </c>
      <c r="AH175" s="18"/>
      <c r="AI175" s="3"/>
      <c r="AJ175" s="3"/>
      <c r="AK175" s="3"/>
      <c r="AL175" s="15">
        <f t="shared" si="20"/>
        <v>101242.55</v>
      </c>
      <c r="AM175" s="15">
        <f t="shared" si="15"/>
        <v>0</v>
      </c>
      <c r="AN175" s="15">
        <f>AM175</f>
        <v>0</v>
      </c>
      <c r="AO175" s="15">
        <f t="shared" si="18"/>
        <v>0</v>
      </c>
    </row>
    <row r="176" spans="1:41" x14ac:dyDescent="0.25">
      <c r="A176">
        <v>169</v>
      </c>
      <c r="B176" s="10" t="s">
        <v>873</v>
      </c>
      <c r="C176" s="10" t="s">
        <v>1119</v>
      </c>
      <c r="D176" s="3" t="s">
        <v>874</v>
      </c>
      <c r="E176" s="3" t="s">
        <v>875</v>
      </c>
      <c r="F176" s="3" t="s">
        <v>876</v>
      </c>
      <c r="G176" s="3" t="s">
        <v>877</v>
      </c>
      <c r="H176" s="3" t="s">
        <v>14</v>
      </c>
      <c r="I176" s="3" t="s">
        <v>6</v>
      </c>
      <c r="J176" s="3" t="s">
        <v>15</v>
      </c>
      <c r="K176" s="3" t="s">
        <v>878</v>
      </c>
      <c r="L176" s="3"/>
      <c r="M176" s="3"/>
      <c r="N176" s="3" t="s">
        <v>22</v>
      </c>
      <c r="O176" s="3"/>
      <c r="P176" s="3"/>
      <c r="Q176" s="4">
        <v>46081</v>
      </c>
      <c r="R176" s="5">
        <v>7664.75</v>
      </c>
      <c r="S176" s="3">
        <v>117</v>
      </c>
      <c r="T176" s="3"/>
      <c r="U176" s="3">
        <v>0</v>
      </c>
      <c r="V176" s="3" t="s">
        <v>8</v>
      </c>
      <c r="W176" s="5">
        <v>7664.75</v>
      </c>
      <c r="X176" s="3">
        <v>0</v>
      </c>
      <c r="Y176" s="3">
        <v>0</v>
      </c>
      <c r="Z176" s="3">
        <v>0</v>
      </c>
      <c r="AA176" s="3">
        <v>0</v>
      </c>
      <c r="AB176" s="5">
        <v>7664.75</v>
      </c>
      <c r="AD176" s="25"/>
      <c r="AE176" s="25"/>
      <c r="AF176" s="25"/>
      <c r="AG176" s="32"/>
      <c r="AH176" s="18"/>
      <c r="AI176" s="3"/>
      <c r="AJ176" s="3"/>
      <c r="AK176" s="3"/>
      <c r="AL176" s="15">
        <f t="shared" si="20"/>
        <v>0</v>
      </c>
      <c r="AM176" s="15">
        <f t="shared" si="15"/>
        <v>7664.75</v>
      </c>
      <c r="AN176" s="15">
        <f>AM176</f>
        <v>7664.75</v>
      </c>
      <c r="AO176" s="15">
        <f t="shared" si="18"/>
        <v>0</v>
      </c>
    </row>
    <row r="177" spans="1:41" x14ac:dyDescent="0.25">
      <c r="A177">
        <v>170</v>
      </c>
      <c r="B177" s="10" t="s">
        <v>879</v>
      </c>
      <c r="C177" s="10" t="s">
        <v>1120</v>
      </c>
      <c r="D177" s="3" t="s">
        <v>880</v>
      </c>
      <c r="E177" s="3" t="s">
        <v>880</v>
      </c>
      <c r="F177" s="3" t="s">
        <v>881</v>
      </c>
      <c r="G177" s="3" t="s">
        <v>882</v>
      </c>
      <c r="H177" s="3" t="s">
        <v>14</v>
      </c>
      <c r="I177" s="3" t="s">
        <v>6</v>
      </c>
      <c r="J177" s="3" t="s">
        <v>15</v>
      </c>
      <c r="K177" s="3" t="s">
        <v>883</v>
      </c>
      <c r="L177" s="3"/>
      <c r="M177" s="3"/>
      <c r="N177" s="3" t="s">
        <v>22</v>
      </c>
      <c r="O177" s="3"/>
      <c r="P177" s="3"/>
      <c r="Q177" s="4">
        <v>46081</v>
      </c>
      <c r="R177" s="5">
        <v>90.85</v>
      </c>
      <c r="S177" s="3">
        <v>175</v>
      </c>
      <c r="T177" s="3"/>
      <c r="U177" s="3">
        <v>0</v>
      </c>
      <c r="V177" s="3" t="s">
        <v>8</v>
      </c>
      <c r="W177" s="3">
        <v>0</v>
      </c>
      <c r="X177" s="3">
        <v>0</v>
      </c>
      <c r="Y177" s="3">
        <v>0</v>
      </c>
      <c r="Z177" s="3">
        <v>0</v>
      </c>
      <c r="AA177" s="5">
        <v>90.85</v>
      </c>
      <c r="AB177" s="5">
        <v>90.85</v>
      </c>
      <c r="AD177" s="25"/>
      <c r="AE177" s="25"/>
      <c r="AF177" s="25"/>
      <c r="AG177" s="32"/>
      <c r="AH177" s="18"/>
      <c r="AI177" s="3"/>
      <c r="AJ177" s="3"/>
      <c r="AK177" s="5"/>
      <c r="AL177" s="15">
        <f t="shared" si="20"/>
        <v>0</v>
      </c>
      <c r="AM177" s="15">
        <f t="shared" si="15"/>
        <v>90.85</v>
      </c>
      <c r="AN177" s="15">
        <f>AM177</f>
        <v>90.85</v>
      </c>
      <c r="AO177" s="15">
        <f t="shared" si="18"/>
        <v>0</v>
      </c>
    </row>
    <row r="178" spans="1:41" x14ac:dyDescent="0.25">
      <c r="A178">
        <v>171</v>
      </c>
      <c r="B178" s="10" t="s">
        <v>884</v>
      </c>
      <c r="C178" s="10"/>
      <c r="D178" s="3" t="s">
        <v>885</v>
      </c>
      <c r="E178" s="3" t="s">
        <v>885</v>
      </c>
      <c r="F178" s="3" t="s">
        <v>886</v>
      </c>
      <c r="G178" s="3" t="s">
        <v>887</v>
      </c>
      <c r="H178" s="3" t="s">
        <v>14</v>
      </c>
      <c r="I178" s="3" t="s">
        <v>6</v>
      </c>
      <c r="J178" s="3" t="s">
        <v>15</v>
      </c>
      <c r="K178" s="3" t="s">
        <v>888</v>
      </c>
      <c r="L178" s="3"/>
      <c r="M178" s="3"/>
      <c r="N178" s="3" t="s">
        <v>22</v>
      </c>
      <c r="O178" s="3"/>
      <c r="P178" s="3"/>
      <c r="Q178" s="4">
        <v>46060</v>
      </c>
      <c r="R178" s="5">
        <v>589.95000000000005</v>
      </c>
      <c r="S178" s="3">
        <v>200</v>
      </c>
      <c r="T178" s="3"/>
      <c r="U178" s="3">
        <v>0</v>
      </c>
      <c r="V178" s="3" t="s">
        <v>8</v>
      </c>
      <c r="W178" s="3">
        <v>0</v>
      </c>
      <c r="X178" s="5">
        <v>589.95000000000005</v>
      </c>
      <c r="Y178" s="3">
        <v>0</v>
      </c>
      <c r="Z178" s="3">
        <v>0</v>
      </c>
      <c r="AA178" s="3">
        <v>0</v>
      </c>
      <c r="AB178" s="5">
        <v>589.95000000000005</v>
      </c>
      <c r="AD178" s="25" t="s">
        <v>1151</v>
      </c>
      <c r="AE178" s="25" t="s">
        <v>885</v>
      </c>
      <c r="AF178" s="26">
        <v>589.95000000000005</v>
      </c>
      <c r="AG178" s="32"/>
      <c r="AH178" s="19">
        <f>AF178</f>
        <v>589.95000000000005</v>
      </c>
      <c r="AI178" s="3"/>
      <c r="AJ178" s="3"/>
      <c r="AK178" s="3"/>
      <c r="AL178" s="15">
        <f t="shared" si="20"/>
        <v>589.95000000000005</v>
      </c>
      <c r="AM178" s="15">
        <f t="shared" si="15"/>
        <v>0</v>
      </c>
      <c r="AN178">
        <v>0</v>
      </c>
      <c r="AO178" s="15">
        <f t="shared" si="18"/>
        <v>0</v>
      </c>
    </row>
    <row r="179" spans="1:41" x14ac:dyDescent="0.25">
      <c r="A179">
        <v>172</v>
      </c>
      <c r="B179" s="10">
        <v>1067</v>
      </c>
      <c r="C179" s="10" t="s">
        <v>1121</v>
      </c>
      <c r="D179" s="3" t="s">
        <v>889</v>
      </c>
      <c r="E179" s="3" t="s">
        <v>890</v>
      </c>
      <c r="F179" s="6" t="s">
        <v>891</v>
      </c>
      <c r="G179" s="3" t="s">
        <v>892</v>
      </c>
      <c r="H179" s="3" t="s">
        <v>14</v>
      </c>
      <c r="I179" s="3" t="s">
        <v>6</v>
      </c>
      <c r="J179" s="3" t="s">
        <v>33</v>
      </c>
      <c r="K179" s="3" t="s">
        <v>893</v>
      </c>
      <c r="L179" s="3"/>
      <c r="M179" s="3"/>
      <c r="N179" s="3"/>
      <c r="O179" s="3">
        <v>1610</v>
      </c>
      <c r="P179" s="3"/>
      <c r="Q179" s="4">
        <v>46031</v>
      </c>
      <c r="R179" s="5">
        <v>893.55</v>
      </c>
      <c r="S179" s="3">
        <v>45</v>
      </c>
      <c r="T179" s="3"/>
      <c r="U179" s="3">
        <v>0</v>
      </c>
      <c r="V179" s="3" t="s">
        <v>8</v>
      </c>
      <c r="W179" s="5">
        <v>893.55</v>
      </c>
      <c r="X179" s="5">
        <v>893.55</v>
      </c>
      <c r="Y179" s="16">
        <v>893.55</v>
      </c>
      <c r="Z179" s="3">
        <v>0</v>
      </c>
      <c r="AA179" s="3">
        <v>0</v>
      </c>
      <c r="AB179" s="5">
        <v>2680.65</v>
      </c>
      <c r="AD179" s="25" t="s">
        <v>1152</v>
      </c>
      <c r="AE179" s="25" t="s">
        <v>1158</v>
      </c>
      <c r="AF179" s="26">
        <v>893.55</v>
      </c>
      <c r="AG179" s="32"/>
      <c r="AH179" s="19"/>
      <c r="AI179" s="16">
        <f>AF179</f>
        <v>893.55</v>
      </c>
      <c r="AJ179" s="3"/>
      <c r="AK179" s="3"/>
      <c r="AL179" s="15">
        <f t="shared" si="20"/>
        <v>893.55</v>
      </c>
      <c r="AM179" s="15">
        <f t="shared" si="15"/>
        <v>1787.1000000000001</v>
      </c>
      <c r="AN179">
        <v>1787.1</v>
      </c>
      <c r="AO179" s="15">
        <f t="shared" si="18"/>
        <v>0</v>
      </c>
    </row>
    <row r="180" spans="1:41" x14ac:dyDescent="0.25">
      <c r="A180">
        <v>173</v>
      </c>
      <c r="B180" s="10" t="s">
        <v>894</v>
      </c>
      <c r="C180" s="10" t="s">
        <v>1122</v>
      </c>
      <c r="D180" s="3" t="s">
        <v>895</v>
      </c>
      <c r="E180" s="3" t="s">
        <v>896</v>
      </c>
      <c r="F180" s="3" t="s">
        <v>897</v>
      </c>
      <c r="G180" s="3" t="s">
        <v>898</v>
      </c>
      <c r="H180" s="3" t="s">
        <v>14</v>
      </c>
      <c r="I180" s="3" t="s">
        <v>6</v>
      </c>
      <c r="J180" s="3" t="s">
        <v>15</v>
      </c>
      <c r="K180" s="3" t="s">
        <v>899</v>
      </c>
      <c r="L180" s="3"/>
      <c r="M180" s="3"/>
      <c r="N180" s="3"/>
      <c r="O180" s="3">
        <v>1613</v>
      </c>
      <c r="P180" s="3"/>
      <c r="Q180" s="4">
        <v>46081</v>
      </c>
      <c r="R180" s="5">
        <v>1478.53</v>
      </c>
      <c r="S180" s="3">
        <v>227</v>
      </c>
      <c r="T180" s="3"/>
      <c r="U180" s="3">
        <v>0</v>
      </c>
      <c r="V180" s="3" t="s">
        <v>8</v>
      </c>
      <c r="W180" s="5">
        <v>1478.53</v>
      </c>
      <c r="X180" s="3">
        <v>0</v>
      </c>
      <c r="Y180" s="3">
        <v>0</v>
      </c>
      <c r="Z180" s="3">
        <v>0</v>
      </c>
      <c r="AA180" s="3">
        <v>0</v>
      </c>
      <c r="AB180" s="5">
        <v>1478.53</v>
      </c>
      <c r="AD180" s="25"/>
      <c r="AE180" s="25"/>
      <c r="AF180" s="25"/>
      <c r="AG180" s="32"/>
      <c r="AH180" s="18"/>
      <c r="AI180" s="3"/>
      <c r="AJ180" s="3"/>
      <c r="AK180" s="3"/>
      <c r="AL180" s="15">
        <f t="shared" si="20"/>
        <v>0</v>
      </c>
      <c r="AM180" s="15">
        <f t="shared" si="15"/>
        <v>1478.53</v>
      </c>
      <c r="AN180" s="15">
        <f>AM180</f>
        <v>1478.53</v>
      </c>
      <c r="AO180" s="15">
        <f t="shared" si="18"/>
        <v>0</v>
      </c>
    </row>
    <row r="181" spans="1:41" x14ac:dyDescent="0.25">
      <c r="A181">
        <v>174</v>
      </c>
      <c r="B181" s="10" t="s">
        <v>900</v>
      </c>
      <c r="C181" s="10" t="s">
        <v>1123</v>
      </c>
      <c r="D181" s="3" t="s">
        <v>901</v>
      </c>
      <c r="E181" s="3"/>
      <c r="F181" s="3"/>
      <c r="G181" s="3"/>
      <c r="H181" s="3" t="s">
        <v>14</v>
      </c>
      <c r="I181" s="3"/>
      <c r="J181" s="3"/>
      <c r="K181" s="3" t="s">
        <v>902</v>
      </c>
      <c r="L181" s="3"/>
      <c r="M181" s="3"/>
      <c r="N181" s="3" t="s">
        <v>22</v>
      </c>
      <c r="O181" s="3"/>
      <c r="P181" s="3"/>
      <c r="Q181" s="3"/>
      <c r="R181" s="3">
        <v>0</v>
      </c>
      <c r="S181" s="3">
        <v>182</v>
      </c>
      <c r="T181" s="3"/>
      <c r="U181" s="3">
        <v>0</v>
      </c>
      <c r="V181" s="3" t="s">
        <v>8</v>
      </c>
      <c r="W181" s="5">
        <v>224.25</v>
      </c>
      <c r="X181" s="5">
        <v>224.25</v>
      </c>
      <c r="Y181" s="5">
        <v>224.25</v>
      </c>
      <c r="Z181" s="3">
        <v>0</v>
      </c>
      <c r="AA181" s="3">
        <v>0</v>
      </c>
      <c r="AB181" s="5">
        <v>672.75</v>
      </c>
      <c r="AD181" s="25"/>
      <c r="AE181" s="25"/>
      <c r="AF181" s="25"/>
      <c r="AG181" s="32"/>
      <c r="AH181" s="19"/>
      <c r="AI181" s="5"/>
      <c r="AJ181" s="3"/>
      <c r="AK181" s="3"/>
      <c r="AL181" s="15">
        <f t="shared" si="20"/>
        <v>0</v>
      </c>
      <c r="AM181" s="15">
        <f t="shared" si="15"/>
        <v>672.75</v>
      </c>
      <c r="AN181" s="15">
        <f t="shared" ref="AN181:AN191" si="21">AM181</f>
        <v>672.75</v>
      </c>
      <c r="AO181" s="15">
        <f t="shared" si="18"/>
        <v>0</v>
      </c>
    </row>
    <row r="182" spans="1:41" x14ac:dyDescent="0.25">
      <c r="A182">
        <v>175</v>
      </c>
      <c r="B182" s="10" t="s">
        <v>903</v>
      </c>
      <c r="C182" s="10"/>
      <c r="D182" s="3" t="s">
        <v>904</v>
      </c>
      <c r="E182" s="3" t="s">
        <v>905</v>
      </c>
      <c r="F182" s="3" t="s">
        <v>906</v>
      </c>
      <c r="G182" s="3" t="s">
        <v>907</v>
      </c>
      <c r="H182" s="3" t="s">
        <v>14</v>
      </c>
      <c r="I182" s="3" t="s">
        <v>6</v>
      </c>
      <c r="J182" s="3" t="s">
        <v>33</v>
      </c>
      <c r="K182" s="3" t="s">
        <v>908</v>
      </c>
      <c r="L182" s="3"/>
      <c r="M182" s="3"/>
      <c r="N182" s="3"/>
      <c r="O182" s="3">
        <v>2055</v>
      </c>
      <c r="P182" s="3"/>
      <c r="Q182" s="4">
        <v>46008</v>
      </c>
      <c r="R182" s="5">
        <v>115</v>
      </c>
      <c r="S182" s="3">
        <v>602</v>
      </c>
      <c r="T182" s="3"/>
      <c r="U182" s="3">
        <v>0</v>
      </c>
      <c r="V182" s="3" t="s">
        <v>8</v>
      </c>
      <c r="W182" s="5">
        <v>115</v>
      </c>
      <c r="X182" s="5">
        <v>115</v>
      </c>
      <c r="Y182" s="5">
        <v>115</v>
      </c>
      <c r="Z182" s="3">
        <v>0</v>
      </c>
      <c r="AA182" s="3">
        <v>0</v>
      </c>
      <c r="AB182" s="5">
        <v>345</v>
      </c>
      <c r="AD182" s="25"/>
      <c r="AE182" s="25"/>
      <c r="AF182" s="25"/>
      <c r="AG182" s="32"/>
      <c r="AH182" s="19"/>
      <c r="AI182" s="5"/>
      <c r="AJ182" s="3"/>
      <c r="AK182" s="3"/>
      <c r="AL182" s="15">
        <f t="shared" si="20"/>
        <v>0</v>
      </c>
      <c r="AM182" s="15">
        <f t="shared" si="15"/>
        <v>345</v>
      </c>
      <c r="AN182" s="15">
        <f t="shared" si="21"/>
        <v>345</v>
      </c>
      <c r="AO182" s="15">
        <f t="shared" si="18"/>
        <v>0</v>
      </c>
    </row>
    <row r="183" spans="1:41" x14ac:dyDescent="0.25">
      <c r="A183">
        <v>176</v>
      </c>
      <c r="B183" s="10" t="s">
        <v>909</v>
      </c>
      <c r="C183" s="10" t="s">
        <v>1124</v>
      </c>
      <c r="D183" s="3" t="s">
        <v>910</v>
      </c>
      <c r="E183" s="3" t="s">
        <v>314</v>
      </c>
      <c r="F183" s="3" t="s">
        <v>911</v>
      </c>
      <c r="G183" s="3" t="s">
        <v>316</v>
      </c>
      <c r="H183" s="3" t="s">
        <v>14</v>
      </c>
      <c r="I183" s="3" t="s">
        <v>6</v>
      </c>
      <c r="J183" s="3" t="s">
        <v>33</v>
      </c>
      <c r="K183" s="3" t="s">
        <v>912</v>
      </c>
      <c r="L183" s="3"/>
      <c r="M183" s="3"/>
      <c r="N183" s="3"/>
      <c r="O183" s="3">
        <v>4000</v>
      </c>
      <c r="P183" s="3"/>
      <c r="Q183" s="4">
        <v>46081</v>
      </c>
      <c r="R183" s="5">
        <v>8547.09</v>
      </c>
      <c r="S183" s="3">
        <v>210</v>
      </c>
      <c r="T183" s="3"/>
      <c r="U183" s="3">
        <v>0</v>
      </c>
      <c r="V183" s="3" t="s">
        <v>8</v>
      </c>
      <c r="W183" s="5">
        <v>8547.09</v>
      </c>
      <c r="X183" s="3">
        <v>0</v>
      </c>
      <c r="Y183" s="3">
        <v>0</v>
      </c>
      <c r="Z183" s="3">
        <v>0</v>
      </c>
      <c r="AA183" s="3">
        <v>0</v>
      </c>
      <c r="AB183" s="5">
        <v>8547.09</v>
      </c>
      <c r="AD183" s="25"/>
      <c r="AE183" s="25"/>
      <c r="AF183" s="25"/>
      <c r="AG183" s="32"/>
      <c r="AH183" s="18"/>
      <c r="AI183" s="3"/>
      <c r="AJ183" s="3"/>
      <c r="AK183" s="3"/>
      <c r="AL183" s="15">
        <f t="shared" si="20"/>
        <v>0</v>
      </c>
      <c r="AM183" s="15">
        <f t="shared" si="15"/>
        <v>8547.09</v>
      </c>
      <c r="AN183" s="15">
        <f t="shared" si="21"/>
        <v>8547.09</v>
      </c>
      <c r="AO183" s="15">
        <f t="shared" si="18"/>
        <v>0</v>
      </c>
    </row>
    <row r="184" spans="1:41" x14ac:dyDescent="0.25">
      <c r="A184">
        <v>177</v>
      </c>
      <c r="B184" s="10" t="s">
        <v>913</v>
      </c>
      <c r="C184" s="10" t="s">
        <v>1125</v>
      </c>
      <c r="D184" s="3" t="s">
        <v>914</v>
      </c>
      <c r="E184" s="3" t="s">
        <v>314</v>
      </c>
      <c r="F184" s="3" t="s">
        <v>915</v>
      </c>
      <c r="G184" s="3" t="s">
        <v>316</v>
      </c>
      <c r="H184" s="3" t="s">
        <v>14</v>
      </c>
      <c r="I184" s="3" t="s">
        <v>6</v>
      </c>
      <c r="J184" s="3" t="s">
        <v>33</v>
      </c>
      <c r="K184" s="3" t="s">
        <v>916</v>
      </c>
      <c r="L184" s="3"/>
      <c r="M184" s="3"/>
      <c r="N184" s="3"/>
      <c r="O184" s="3">
        <v>1451</v>
      </c>
      <c r="P184" s="3"/>
      <c r="Q184" s="4">
        <v>46081</v>
      </c>
      <c r="R184" s="5">
        <v>14970.66</v>
      </c>
      <c r="S184" s="3">
        <v>280</v>
      </c>
      <c r="T184" s="3"/>
      <c r="U184" s="3">
        <v>0</v>
      </c>
      <c r="V184" s="3" t="s">
        <v>8</v>
      </c>
      <c r="W184" s="5">
        <v>14970.65</v>
      </c>
      <c r="X184" s="3">
        <v>0</v>
      </c>
      <c r="Y184" s="3">
        <v>0</v>
      </c>
      <c r="Z184" s="3">
        <v>0</v>
      </c>
      <c r="AA184" s="3">
        <v>0</v>
      </c>
      <c r="AB184" s="5">
        <v>14970.65</v>
      </c>
      <c r="AD184" s="25"/>
      <c r="AE184" s="25"/>
      <c r="AF184" s="25"/>
      <c r="AG184" s="32"/>
      <c r="AH184" s="18"/>
      <c r="AI184" s="3"/>
      <c r="AJ184" s="3"/>
      <c r="AK184" s="3"/>
      <c r="AL184" s="15">
        <f t="shared" si="20"/>
        <v>0</v>
      </c>
      <c r="AM184" s="15">
        <f t="shared" si="15"/>
        <v>14970.65</v>
      </c>
      <c r="AN184" s="15">
        <f t="shared" si="21"/>
        <v>14970.65</v>
      </c>
      <c r="AO184" s="15">
        <f t="shared" si="18"/>
        <v>0</v>
      </c>
    </row>
    <row r="185" spans="1:41" x14ac:dyDescent="0.25">
      <c r="A185">
        <v>178</v>
      </c>
      <c r="B185" s="10" t="s">
        <v>917</v>
      </c>
      <c r="C185" s="10" t="s">
        <v>1126</v>
      </c>
      <c r="D185" s="3" t="s">
        <v>918</v>
      </c>
      <c r="E185" s="3" t="s">
        <v>314</v>
      </c>
      <c r="F185" s="3" t="s">
        <v>919</v>
      </c>
      <c r="G185" s="3" t="s">
        <v>316</v>
      </c>
      <c r="H185" s="3" t="s">
        <v>14</v>
      </c>
      <c r="I185" s="3" t="s">
        <v>6</v>
      </c>
      <c r="J185" s="3" t="s">
        <v>33</v>
      </c>
      <c r="K185" s="3" t="s">
        <v>920</v>
      </c>
      <c r="L185" s="3"/>
      <c r="M185" s="3"/>
      <c r="N185" s="3"/>
      <c r="O185" s="3">
        <v>8466</v>
      </c>
      <c r="P185" s="3"/>
      <c r="Q185" s="4">
        <v>46081</v>
      </c>
      <c r="R185" s="5">
        <v>6746.73</v>
      </c>
      <c r="S185" s="3">
        <v>213</v>
      </c>
      <c r="T185" s="3"/>
      <c r="U185" s="3">
        <v>0</v>
      </c>
      <c r="V185" s="3" t="s">
        <v>8</v>
      </c>
      <c r="W185" s="5">
        <v>6746.73</v>
      </c>
      <c r="X185" s="3">
        <v>0</v>
      </c>
      <c r="Y185" s="3">
        <v>0</v>
      </c>
      <c r="Z185" s="3">
        <v>0</v>
      </c>
      <c r="AA185" s="3">
        <v>0</v>
      </c>
      <c r="AB185" s="5">
        <v>6746.73</v>
      </c>
      <c r="AD185" s="25"/>
      <c r="AE185" s="25"/>
      <c r="AF185" s="25"/>
      <c r="AG185" s="32"/>
      <c r="AH185" s="18"/>
      <c r="AI185" s="3"/>
      <c r="AJ185" s="3"/>
      <c r="AK185" s="3"/>
      <c r="AL185" s="15">
        <f t="shared" si="20"/>
        <v>0</v>
      </c>
      <c r="AM185" s="15">
        <f t="shared" si="15"/>
        <v>6746.73</v>
      </c>
      <c r="AN185" s="15">
        <f t="shared" si="21"/>
        <v>6746.73</v>
      </c>
      <c r="AO185" s="15">
        <f t="shared" si="18"/>
        <v>0</v>
      </c>
    </row>
    <row r="186" spans="1:41" x14ac:dyDescent="0.25">
      <c r="A186">
        <v>179</v>
      </c>
      <c r="B186" s="10" t="s">
        <v>921</v>
      </c>
      <c r="C186" s="10" t="s">
        <v>1127</v>
      </c>
      <c r="D186" s="3" t="s">
        <v>922</v>
      </c>
      <c r="E186" s="3" t="s">
        <v>314</v>
      </c>
      <c r="F186" s="3" t="s">
        <v>923</v>
      </c>
      <c r="G186" s="3" t="s">
        <v>316</v>
      </c>
      <c r="H186" s="3" t="s">
        <v>14</v>
      </c>
      <c r="I186" s="3" t="s">
        <v>6</v>
      </c>
      <c r="J186" s="3" t="s">
        <v>33</v>
      </c>
      <c r="K186" s="3" t="s">
        <v>924</v>
      </c>
      <c r="L186" s="3"/>
      <c r="M186" s="3"/>
      <c r="N186" s="3"/>
      <c r="O186" s="3">
        <v>2570</v>
      </c>
      <c r="P186" s="3"/>
      <c r="Q186" s="4">
        <v>46081</v>
      </c>
      <c r="R186" s="5">
        <v>7011.14</v>
      </c>
      <c r="S186" s="3">
        <v>294</v>
      </c>
      <c r="T186" s="3"/>
      <c r="U186" s="3">
        <v>0</v>
      </c>
      <c r="V186" s="3" t="s">
        <v>8</v>
      </c>
      <c r="W186" s="5">
        <v>8368.25</v>
      </c>
      <c r="X186" s="3">
        <v>0</v>
      </c>
      <c r="Y186" s="3">
        <v>0</v>
      </c>
      <c r="Z186" s="3">
        <v>0</v>
      </c>
      <c r="AA186" s="5">
        <v>-7.0000000000000007E-2</v>
      </c>
      <c r="AB186" s="5">
        <v>8368.18</v>
      </c>
      <c r="AD186" s="25"/>
      <c r="AE186" s="25"/>
      <c r="AF186" s="25"/>
      <c r="AG186" s="32"/>
      <c r="AH186" s="18"/>
      <c r="AI186" s="3"/>
      <c r="AJ186" s="3"/>
      <c r="AK186" s="5"/>
      <c r="AL186" s="15">
        <f t="shared" si="20"/>
        <v>0</v>
      </c>
      <c r="AM186" s="15">
        <f t="shared" si="15"/>
        <v>8368.18</v>
      </c>
      <c r="AN186" s="15">
        <f t="shared" si="21"/>
        <v>8368.18</v>
      </c>
      <c r="AO186" s="15">
        <f t="shared" si="18"/>
        <v>0</v>
      </c>
    </row>
    <row r="187" spans="1:41" x14ac:dyDescent="0.25">
      <c r="A187">
        <v>180</v>
      </c>
      <c r="B187" s="10" t="s">
        <v>925</v>
      </c>
      <c r="C187" s="10" t="s">
        <v>1128</v>
      </c>
      <c r="D187" s="3" t="s">
        <v>926</v>
      </c>
      <c r="E187" s="3" t="s">
        <v>314</v>
      </c>
      <c r="F187" s="3" t="s">
        <v>927</v>
      </c>
      <c r="G187" s="3" t="s">
        <v>316</v>
      </c>
      <c r="H187" s="3" t="s">
        <v>14</v>
      </c>
      <c r="I187" s="3" t="s">
        <v>6</v>
      </c>
      <c r="J187" s="3" t="s">
        <v>33</v>
      </c>
      <c r="K187" s="3" t="s">
        <v>928</v>
      </c>
      <c r="L187" s="3"/>
      <c r="M187" s="3"/>
      <c r="N187" s="3"/>
      <c r="O187" s="3">
        <v>6056</v>
      </c>
      <c r="P187" s="3"/>
      <c r="Q187" s="4">
        <v>46081</v>
      </c>
      <c r="R187" s="5">
        <v>2070.63</v>
      </c>
      <c r="S187" s="3">
        <v>61</v>
      </c>
      <c r="T187" s="3" t="s">
        <v>929</v>
      </c>
      <c r="U187" s="3">
        <v>0</v>
      </c>
      <c r="V187" s="3" t="s">
        <v>8</v>
      </c>
      <c r="W187" s="5">
        <v>2070.63</v>
      </c>
      <c r="X187" s="3">
        <v>0</v>
      </c>
      <c r="Y187" s="3">
        <v>0</v>
      </c>
      <c r="Z187" s="3">
        <v>0</v>
      </c>
      <c r="AA187" s="3">
        <v>0</v>
      </c>
      <c r="AB187" s="5">
        <v>2070.63</v>
      </c>
      <c r="AD187" s="25"/>
      <c r="AE187" s="25"/>
      <c r="AF187" s="25"/>
      <c r="AG187" s="32"/>
      <c r="AH187" s="18"/>
      <c r="AI187" s="3"/>
      <c r="AJ187" s="3"/>
      <c r="AK187" s="3"/>
      <c r="AL187" s="15">
        <f t="shared" si="20"/>
        <v>0</v>
      </c>
      <c r="AM187" s="15">
        <f t="shared" si="15"/>
        <v>2070.63</v>
      </c>
      <c r="AN187" s="15">
        <f t="shared" si="21"/>
        <v>2070.63</v>
      </c>
      <c r="AO187" s="15">
        <f t="shared" si="18"/>
        <v>0</v>
      </c>
    </row>
    <row r="188" spans="1:41" x14ac:dyDescent="0.25">
      <c r="A188">
        <v>181</v>
      </c>
      <c r="B188" s="10" t="s">
        <v>930</v>
      </c>
      <c r="C188" s="10" t="s">
        <v>1129</v>
      </c>
      <c r="D188" s="3" t="s">
        <v>931</v>
      </c>
      <c r="E188" s="3" t="s">
        <v>314</v>
      </c>
      <c r="F188" s="3" t="s">
        <v>932</v>
      </c>
      <c r="G188" s="3" t="s">
        <v>316</v>
      </c>
      <c r="H188" s="3" t="s">
        <v>14</v>
      </c>
      <c r="I188" s="3" t="s">
        <v>6</v>
      </c>
      <c r="J188" s="3" t="s">
        <v>33</v>
      </c>
      <c r="K188" s="3" t="s">
        <v>933</v>
      </c>
      <c r="L188" s="3"/>
      <c r="M188" s="3"/>
      <c r="N188" s="3"/>
      <c r="O188" s="6" t="s">
        <v>399</v>
      </c>
      <c r="P188" s="3"/>
      <c r="Q188" s="4">
        <v>46081</v>
      </c>
      <c r="R188" s="5">
        <v>7546.12</v>
      </c>
      <c r="S188" s="3">
        <v>317</v>
      </c>
      <c r="T188" s="3"/>
      <c r="U188" s="3">
        <v>0</v>
      </c>
      <c r="V188" s="3" t="s">
        <v>8</v>
      </c>
      <c r="W188" s="5">
        <v>8563.8700000000008</v>
      </c>
      <c r="X188" s="3">
        <v>0</v>
      </c>
      <c r="Y188" s="3">
        <v>0</v>
      </c>
      <c r="Z188" s="3">
        <v>0</v>
      </c>
      <c r="AA188" s="3">
        <v>0</v>
      </c>
      <c r="AB188" s="5">
        <v>8563.8700000000008</v>
      </c>
      <c r="AD188" s="25"/>
      <c r="AE188" s="25"/>
      <c r="AF188" s="25"/>
      <c r="AG188" s="32"/>
      <c r="AH188" s="18"/>
      <c r="AI188" s="3"/>
      <c r="AJ188" s="3"/>
      <c r="AK188" s="3"/>
      <c r="AL188" s="15">
        <f t="shared" si="20"/>
        <v>0</v>
      </c>
      <c r="AM188" s="15">
        <f t="shared" si="15"/>
        <v>8563.8700000000008</v>
      </c>
      <c r="AN188" s="15">
        <f t="shared" si="21"/>
        <v>8563.8700000000008</v>
      </c>
      <c r="AO188" s="15">
        <f t="shared" si="18"/>
        <v>0</v>
      </c>
    </row>
    <row r="189" spans="1:41" x14ac:dyDescent="0.25">
      <c r="A189">
        <v>182</v>
      </c>
      <c r="B189" s="10" t="s">
        <v>934</v>
      </c>
      <c r="C189" s="10" t="s">
        <v>1130</v>
      </c>
      <c r="D189" s="3" t="s">
        <v>935</v>
      </c>
      <c r="E189" s="3" t="s">
        <v>314</v>
      </c>
      <c r="F189" s="3" t="s">
        <v>936</v>
      </c>
      <c r="G189" s="3" t="s">
        <v>316</v>
      </c>
      <c r="H189" s="3" t="s">
        <v>14</v>
      </c>
      <c r="I189" s="3" t="s">
        <v>6</v>
      </c>
      <c r="J189" s="3" t="s">
        <v>33</v>
      </c>
      <c r="K189" s="3" t="s">
        <v>937</v>
      </c>
      <c r="L189" s="3"/>
      <c r="M189" s="3"/>
      <c r="N189" s="3"/>
      <c r="O189" s="3">
        <v>8240</v>
      </c>
      <c r="P189" s="3"/>
      <c r="Q189" s="4">
        <v>46081</v>
      </c>
      <c r="R189" s="5">
        <v>2748.44</v>
      </c>
      <c r="S189" s="3">
        <v>66</v>
      </c>
      <c r="T189" s="3"/>
      <c r="U189" s="3">
        <v>0</v>
      </c>
      <c r="V189" s="3" t="s">
        <v>8</v>
      </c>
      <c r="W189" s="5">
        <v>2748.44</v>
      </c>
      <c r="X189" s="3">
        <v>0</v>
      </c>
      <c r="Y189" s="3">
        <v>0</v>
      </c>
      <c r="Z189" s="3">
        <v>0</v>
      </c>
      <c r="AA189" s="3">
        <v>0</v>
      </c>
      <c r="AB189" s="5">
        <v>2748.44</v>
      </c>
      <c r="AD189" s="25"/>
      <c r="AE189" s="25"/>
      <c r="AF189" s="25"/>
      <c r="AG189" s="32"/>
      <c r="AH189" s="18"/>
      <c r="AI189" s="3"/>
      <c r="AJ189" s="3"/>
      <c r="AK189" s="3"/>
      <c r="AL189" s="15">
        <f t="shared" si="20"/>
        <v>0</v>
      </c>
      <c r="AM189" s="15">
        <f t="shared" si="15"/>
        <v>2748.44</v>
      </c>
      <c r="AN189" s="15">
        <f t="shared" si="21"/>
        <v>2748.44</v>
      </c>
      <c r="AO189" s="15">
        <f t="shared" si="18"/>
        <v>0</v>
      </c>
    </row>
    <row r="190" spans="1:41" x14ac:dyDescent="0.25">
      <c r="A190">
        <v>183</v>
      </c>
      <c r="B190" s="10" t="s">
        <v>938</v>
      </c>
      <c r="C190" s="10" t="s">
        <v>1131</v>
      </c>
      <c r="D190" s="3" t="s">
        <v>939</v>
      </c>
      <c r="E190" s="3" t="s">
        <v>314</v>
      </c>
      <c r="F190" s="3" t="s">
        <v>940</v>
      </c>
      <c r="G190" s="3" t="s">
        <v>316</v>
      </c>
      <c r="H190" s="3" t="s">
        <v>14</v>
      </c>
      <c r="I190" s="3" t="s">
        <v>6</v>
      </c>
      <c r="J190" s="3" t="s">
        <v>33</v>
      </c>
      <c r="K190" s="3" t="s">
        <v>941</v>
      </c>
      <c r="L190" s="3"/>
      <c r="M190" s="3"/>
      <c r="N190" s="3"/>
      <c r="O190" s="3">
        <v>7532</v>
      </c>
      <c r="P190" s="3"/>
      <c r="Q190" s="4">
        <v>46081</v>
      </c>
      <c r="R190" s="5">
        <v>7334.45</v>
      </c>
      <c r="S190" s="3">
        <v>109</v>
      </c>
      <c r="T190" s="3"/>
      <c r="U190" s="3">
        <v>0</v>
      </c>
      <c r="V190" s="3" t="s">
        <v>8</v>
      </c>
      <c r="W190" s="5">
        <v>7334.45</v>
      </c>
      <c r="X190" s="3">
        <v>0</v>
      </c>
      <c r="Y190" s="3">
        <v>0</v>
      </c>
      <c r="Z190" s="3">
        <v>0</v>
      </c>
      <c r="AA190" s="3">
        <v>0</v>
      </c>
      <c r="AB190" s="5">
        <v>7334.45</v>
      </c>
      <c r="AD190" s="25"/>
      <c r="AE190" s="25"/>
      <c r="AF190" s="25"/>
      <c r="AG190" s="32"/>
      <c r="AH190" s="18"/>
      <c r="AI190" s="3"/>
      <c r="AJ190" s="3"/>
      <c r="AK190" s="3"/>
      <c r="AL190" s="15">
        <f t="shared" si="20"/>
        <v>0</v>
      </c>
      <c r="AM190" s="15">
        <f t="shared" si="15"/>
        <v>7334.45</v>
      </c>
      <c r="AN190" s="15">
        <f t="shared" si="21"/>
        <v>7334.45</v>
      </c>
      <c r="AO190" s="15">
        <f t="shared" si="18"/>
        <v>0</v>
      </c>
    </row>
    <row r="191" spans="1:41" x14ac:dyDescent="0.25">
      <c r="A191">
        <v>184</v>
      </c>
      <c r="B191" s="10" t="s">
        <v>942</v>
      </c>
      <c r="C191" s="10" t="s">
        <v>1132</v>
      </c>
      <c r="D191" s="3" t="s">
        <v>943</v>
      </c>
      <c r="E191" s="3" t="s">
        <v>314</v>
      </c>
      <c r="F191" s="3" t="s">
        <v>944</v>
      </c>
      <c r="G191" s="3" t="s">
        <v>316</v>
      </c>
      <c r="H191" s="3" t="s">
        <v>14</v>
      </c>
      <c r="I191" s="3" t="s">
        <v>6</v>
      </c>
      <c r="J191" s="3" t="s">
        <v>33</v>
      </c>
      <c r="K191" s="3" t="s">
        <v>945</v>
      </c>
      <c r="L191" s="3"/>
      <c r="M191" s="3"/>
      <c r="N191" s="3"/>
      <c r="O191" s="3">
        <v>1035</v>
      </c>
      <c r="P191" s="3"/>
      <c r="Q191" s="4">
        <v>46081</v>
      </c>
      <c r="R191" s="5">
        <v>6243.43</v>
      </c>
      <c r="S191" s="3">
        <v>181</v>
      </c>
      <c r="T191" s="3"/>
      <c r="U191" s="3">
        <v>0</v>
      </c>
      <c r="V191" s="3" t="s">
        <v>8</v>
      </c>
      <c r="W191" s="5">
        <v>6243.39</v>
      </c>
      <c r="X191" s="3">
        <v>0</v>
      </c>
      <c r="Y191" s="3">
        <v>0</v>
      </c>
      <c r="Z191" s="3">
        <v>0</v>
      </c>
      <c r="AA191" s="3">
        <v>0</v>
      </c>
      <c r="AB191" s="5">
        <v>6243.39</v>
      </c>
      <c r="AD191" s="25"/>
      <c r="AE191" s="25"/>
      <c r="AF191" s="25"/>
      <c r="AG191" s="32"/>
      <c r="AH191" s="18"/>
      <c r="AI191" s="3"/>
      <c r="AJ191" s="3"/>
      <c r="AK191" s="3"/>
      <c r="AL191" s="15">
        <f t="shared" si="20"/>
        <v>0</v>
      </c>
      <c r="AM191" s="15">
        <f t="shared" si="15"/>
        <v>6243.39</v>
      </c>
      <c r="AN191" s="15">
        <f t="shared" si="21"/>
        <v>6243.39</v>
      </c>
      <c r="AO191" s="15">
        <f t="shared" si="18"/>
        <v>0</v>
      </c>
    </row>
    <row r="192" spans="1:41" x14ac:dyDescent="0.25">
      <c r="A192">
        <v>185</v>
      </c>
      <c r="B192" s="10">
        <v>2271</v>
      </c>
      <c r="C192" s="10" t="s">
        <v>1133</v>
      </c>
      <c r="D192" s="3" t="s">
        <v>946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>
        <v>0</v>
      </c>
      <c r="S192" s="3">
        <v>31</v>
      </c>
      <c r="T192" s="3"/>
      <c r="U192" s="3">
        <v>0</v>
      </c>
      <c r="V192" s="3" t="s">
        <v>8</v>
      </c>
      <c r="W192" s="5">
        <v>26148.7</v>
      </c>
      <c r="X192" s="3">
        <v>0</v>
      </c>
      <c r="Y192" s="3">
        <v>0</v>
      </c>
      <c r="Z192" s="3">
        <v>0</v>
      </c>
      <c r="AA192" s="3">
        <v>0</v>
      </c>
      <c r="AB192" s="5">
        <v>26148.7</v>
      </c>
      <c r="AD192" s="25"/>
      <c r="AE192" s="25"/>
      <c r="AF192" s="25"/>
      <c r="AG192" s="32"/>
      <c r="AH192" s="18"/>
      <c r="AI192" s="3"/>
      <c r="AJ192" s="3"/>
      <c r="AK192" s="3"/>
      <c r="AL192" s="15">
        <f t="shared" si="20"/>
        <v>0</v>
      </c>
      <c r="AM192" s="15">
        <f t="shared" si="15"/>
        <v>26148.7</v>
      </c>
      <c r="AN192" s="15">
        <v>26148.7</v>
      </c>
      <c r="AO192" s="15">
        <f t="shared" si="18"/>
        <v>0</v>
      </c>
    </row>
    <row r="193" spans="1:41" x14ac:dyDescent="0.25">
      <c r="A193">
        <v>186</v>
      </c>
      <c r="B193" s="10">
        <v>1162</v>
      </c>
      <c r="C193" s="10" t="s">
        <v>1134</v>
      </c>
      <c r="D193" s="3" t="s">
        <v>947</v>
      </c>
      <c r="E193" s="3" t="s">
        <v>948</v>
      </c>
      <c r="F193" s="3" t="s">
        <v>949</v>
      </c>
      <c r="G193" s="3" t="s">
        <v>950</v>
      </c>
      <c r="H193" s="3" t="s">
        <v>14</v>
      </c>
      <c r="I193" s="3" t="s">
        <v>6</v>
      </c>
      <c r="J193" s="3" t="s">
        <v>33</v>
      </c>
      <c r="K193" s="3" t="s">
        <v>951</v>
      </c>
      <c r="L193" s="3"/>
      <c r="M193" s="3"/>
      <c r="N193" s="3"/>
      <c r="O193" s="3"/>
      <c r="P193" s="3"/>
      <c r="Q193" s="4">
        <v>46063</v>
      </c>
      <c r="R193" s="5">
        <v>147380.65</v>
      </c>
      <c r="S193" s="3">
        <v>460</v>
      </c>
      <c r="T193" s="3"/>
      <c r="U193" s="3">
        <v>0</v>
      </c>
      <c r="V193" s="3" t="s">
        <v>8</v>
      </c>
      <c r="W193" s="5">
        <v>187171.36</v>
      </c>
      <c r="X193" s="5">
        <v>135453.88</v>
      </c>
      <c r="Y193" s="5">
        <v>4340.17</v>
      </c>
      <c r="Z193" s="3">
        <v>0</v>
      </c>
      <c r="AA193" s="5">
        <v>-371.36</v>
      </c>
      <c r="AB193" s="5">
        <v>326594.05</v>
      </c>
      <c r="AD193" s="25" t="s">
        <v>1183</v>
      </c>
      <c r="AE193" s="25" t="s">
        <v>1193</v>
      </c>
      <c r="AF193" s="26">
        <v>134422.32999999999</v>
      </c>
      <c r="AG193" s="32"/>
      <c r="AH193" s="19">
        <f>AF193</f>
        <v>134422.32999999999</v>
      </c>
      <c r="AI193" s="5"/>
      <c r="AJ193" s="3"/>
      <c r="AK193" s="5"/>
      <c r="AL193" s="15">
        <f t="shared" si="20"/>
        <v>134422.32999999999</v>
      </c>
      <c r="AM193" s="15">
        <f t="shared" si="15"/>
        <v>192171.72</v>
      </c>
      <c r="AN193">
        <v>192171.72</v>
      </c>
      <c r="AO193" s="15">
        <f t="shared" si="18"/>
        <v>0</v>
      </c>
    </row>
    <row r="194" spans="1:41" x14ac:dyDescent="0.25">
      <c r="A194">
        <v>187</v>
      </c>
      <c r="B194" s="10" t="s">
        <v>952</v>
      </c>
      <c r="C194" s="10" t="s">
        <v>1135</v>
      </c>
      <c r="D194" s="3" t="s">
        <v>953</v>
      </c>
      <c r="E194" s="3" t="s">
        <v>953</v>
      </c>
      <c r="F194" s="3"/>
      <c r="G194" s="3" t="s">
        <v>954</v>
      </c>
      <c r="H194" s="3" t="s">
        <v>14</v>
      </c>
      <c r="I194" s="3" t="s">
        <v>6</v>
      </c>
      <c r="J194" s="3"/>
      <c r="K194" s="3" t="s">
        <v>955</v>
      </c>
      <c r="L194" s="3"/>
      <c r="M194" s="3"/>
      <c r="N194" s="3" t="s">
        <v>22</v>
      </c>
      <c r="O194" s="3"/>
      <c r="P194" s="3"/>
      <c r="Q194" s="4">
        <v>46081</v>
      </c>
      <c r="R194" s="5">
        <v>79.349999999999994</v>
      </c>
      <c r="S194" s="3">
        <v>72</v>
      </c>
      <c r="T194" s="3"/>
      <c r="U194" s="3">
        <v>0</v>
      </c>
      <c r="V194" s="3" t="s">
        <v>8</v>
      </c>
      <c r="W194" s="5">
        <v>79.349999999999994</v>
      </c>
      <c r="X194" s="3">
        <v>0</v>
      </c>
      <c r="Y194" s="3">
        <v>0</v>
      </c>
      <c r="Z194" s="3">
        <v>0</v>
      </c>
      <c r="AA194" s="3">
        <v>0</v>
      </c>
      <c r="AB194" s="5">
        <v>79.349999999999994</v>
      </c>
      <c r="AD194" s="25"/>
      <c r="AE194" s="25"/>
      <c r="AF194" s="25"/>
      <c r="AG194" s="32"/>
      <c r="AH194" s="18"/>
      <c r="AI194" s="3"/>
      <c r="AJ194" s="3"/>
      <c r="AK194" s="3"/>
      <c r="AL194" s="15">
        <f t="shared" si="20"/>
        <v>0</v>
      </c>
      <c r="AM194" s="15">
        <f t="shared" si="15"/>
        <v>79.349999999999994</v>
      </c>
      <c r="AN194" s="15">
        <f>AM194</f>
        <v>79.349999999999994</v>
      </c>
      <c r="AO194" s="15">
        <f t="shared" si="18"/>
        <v>0</v>
      </c>
    </row>
    <row r="195" spans="1:41" x14ac:dyDescent="0.25">
      <c r="A195">
        <v>188</v>
      </c>
      <c r="B195" s="10" t="s">
        <v>956</v>
      </c>
      <c r="C195" s="10" t="s">
        <v>1136</v>
      </c>
      <c r="D195" s="3" t="s">
        <v>957</v>
      </c>
      <c r="E195" s="3" t="s">
        <v>958</v>
      </c>
      <c r="F195" s="6" t="s">
        <v>959</v>
      </c>
      <c r="G195" s="3" t="s">
        <v>960</v>
      </c>
      <c r="H195" s="3" t="s">
        <v>14</v>
      </c>
      <c r="I195" s="3" t="s">
        <v>6</v>
      </c>
      <c r="J195" s="3"/>
      <c r="K195" s="3" t="s">
        <v>961</v>
      </c>
      <c r="L195" s="3"/>
      <c r="M195" s="3"/>
      <c r="N195" s="3" t="s">
        <v>22</v>
      </c>
      <c r="O195" s="3">
        <v>2191</v>
      </c>
      <c r="P195" s="3"/>
      <c r="Q195" s="4">
        <v>46081</v>
      </c>
      <c r="R195" s="5">
        <v>4400.6099999999997</v>
      </c>
      <c r="S195" s="3">
        <v>278</v>
      </c>
      <c r="T195" s="3"/>
      <c r="U195" s="3">
        <v>0</v>
      </c>
      <c r="V195" s="3" t="s">
        <v>8</v>
      </c>
      <c r="W195" s="5">
        <v>4400.6099999999997</v>
      </c>
      <c r="X195" s="5">
        <v>4400.6099999999997</v>
      </c>
      <c r="Y195" s="3">
        <v>0</v>
      </c>
      <c r="Z195" s="3">
        <v>0</v>
      </c>
      <c r="AA195" s="3">
        <v>0</v>
      </c>
      <c r="AB195" s="5">
        <v>8801.2199999999993</v>
      </c>
      <c r="AD195" s="25"/>
      <c r="AE195" s="25"/>
      <c r="AF195" s="25"/>
      <c r="AG195" s="32"/>
      <c r="AH195" s="19"/>
      <c r="AI195" s="3"/>
      <c r="AJ195" s="3"/>
      <c r="AK195" s="3"/>
      <c r="AL195" s="15">
        <f t="shared" si="20"/>
        <v>0</v>
      </c>
      <c r="AM195" s="15">
        <f t="shared" si="15"/>
        <v>8801.2199999999993</v>
      </c>
      <c r="AN195" s="15">
        <f>AM195</f>
        <v>8801.2199999999993</v>
      </c>
      <c r="AO195" s="15">
        <f>AM195-AN195</f>
        <v>0</v>
      </c>
    </row>
    <row r="196" spans="1:41" x14ac:dyDescent="0.25">
      <c r="AF196" s="36">
        <f>SUM(AF8:AF195)</f>
        <v>1582965.84</v>
      </c>
      <c r="AG196" s="36">
        <f t="shared" ref="AG196:AK196" si="22">SUM(AG8:AG195)</f>
        <v>781437.35000000009</v>
      </c>
      <c r="AH196" s="36">
        <f t="shared" si="22"/>
        <v>747335.65999999992</v>
      </c>
      <c r="AI196" s="36">
        <f t="shared" si="22"/>
        <v>39192.83</v>
      </c>
      <c r="AJ196" s="36">
        <f t="shared" si="22"/>
        <v>0</v>
      </c>
      <c r="AK196" s="36">
        <f t="shared" si="22"/>
        <v>15000</v>
      </c>
    </row>
    <row r="197" spans="1:41" x14ac:dyDescent="0.25">
      <c r="B197" s="11" t="s">
        <v>992</v>
      </c>
      <c r="C197" s="11"/>
    </row>
    <row r="198" spans="1:41" x14ac:dyDescent="0.25">
      <c r="B198" s="11" t="s">
        <v>993</v>
      </c>
      <c r="C198" s="11"/>
    </row>
  </sheetData>
  <mergeCells count="2">
    <mergeCell ref="B5:AB6"/>
    <mergeCell ref="AG5:AK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1CB8E-37F5-426B-8767-8DCE8176A850}">
  <dimension ref="A1:AP201"/>
  <sheetViews>
    <sheetView topLeftCell="A7" workbookViewId="0">
      <pane xSplit="22" ySplit="1" topLeftCell="AE8" activePane="bottomRight" state="frozen"/>
      <selection activeCell="A7" sqref="A7"/>
      <selection pane="topRight" activeCell="W7" sqref="W7"/>
      <selection pane="bottomLeft" activeCell="A8" sqref="A8"/>
      <selection pane="bottomRight" activeCell="A7" sqref="A1:XFD1048576"/>
    </sheetView>
  </sheetViews>
  <sheetFormatPr defaultRowHeight="15" x14ac:dyDescent="0.25"/>
  <cols>
    <col min="2" max="2" width="15.140625" style="12" customWidth="1"/>
    <col min="3" max="3" width="17" style="12" hidden="1" customWidth="1"/>
    <col min="4" max="5" width="35" customWidth="1"/>
    <col min="6" max="6" width="43" hidden="1" customWidth="1"/>
    <col min="7" max="7" width="46.7109375" hidden="1" customWidth="1"/>
    <col min="8" max="8" width="17.5703125" hidden="1" customWidth="1"/>
    <col min="9" max="9" width="16.28515625" hidden="1" customWidth="1"/>
    <col min="10" max="10" width="17.42578125" hidden="1" customWidth="1"/>
    <col min="11" max="11" width="84.140625" hidden="1" customWidth="1"/>
    <col min="12" max="12" width="13.5703125" hidden="1" customWidth="1"/>
    <col min="13" max="13" width="14.28515625" hidden="1" customWidth="1"/>
    <col min="14" max="15" width="11.5703125" hidden="1" customWidth="1"/>
    <col min="16" max="16" width="16.140625" hidden="1" customWidth="1"/>
    <col min="17" max="17" width="19.7109375" hidden="1" customWidth="1"/>
    <col min="18" max="18" width="14.42578125" hidden="1" customWidth="1"/>
    <col min="19" max="19" width="17.5703125" hidden="1" customWidth="1"/>
    <col min="20" max="20" width="29.140625" hidden="1" customWidth="1"/>
    <col min="21" max="21" width="13.140625" hidden="1" customWidth="1"/>
    <col min="22" max="22" width="11.42578125" hidden="1" customWidth="1"/>
    <col min="23" max="24" width="11.7109375" customWidth="1"/>
    <col min="25" max="25" width="11.42578125" customWidth="1"/>
    <col min="26" max="26" width="10.140625" customWidth="1"/>
    <col min="27" max="28" width="14.28515625" customWidth="1"/>
    <col min="29" max="29" width="8.7109375" style="13" customWidth="1"/>
    <col min="30" max="30" width="13.42578125" customWidth="1"/>
    <col min="31" max="31" width="3.85546875" customWidth="1"/>
    <col min="32" max="32" width="11.140625" customWidth="1"/>
    <col min="33" max="34" width="11.7109375" customWidth="1"/>
    <col min="35" max="35" width="11.140625" customWidth="1"/>
    <col min="37" max="37" width="10.28515625" customWidth="1"/>
    <col min="38" max="38" width="11.5703125" customWidth="1"/>
    <col min="39" max="39" width="10.7109375" customWidth="1"/>
    <col min="40" max="40" width="10.85546875" customWidth="1"/>
    <col min="41" max="41" width="12.7109375" customWidth="1"/>
    <col min="42" max="42" width="15.7109375" customWidth="1"/>
  </cols>
  <sheetData>
    <row r="1" spans="1:42" x14ac:dyDescent="0.25">
      <c r="B1" s="7" t="s">
        <v>987</v>
      </c>
      <c r="C1" s="7"/>
    </row>
    <row r="2" spans="1:42" x14ac:dyDescent="0.25">
      <c r="B2" s="7" t="s">
        <v>988</v>
      </c>
      <c r="C2" s="7"/>
    </row>
    <row r="3" spans="1:42" x14ac:dyDescent="0.25">
      <c r="B3" s="8"/>
      <c r="C3" s="8"/>
    </row>
    <row r="4" spans="1:42" ht="15.75" thickBot="1" x14ac:dyDescent="0.3">
      <c r="B4" s="8"/>
      <c r="C4" s="8"/>
    </row>
    <row r="5" spans="1:42" x14ac:dyDescent="0.25">
      <c r="B5" s="75" t="s">
        <v>1145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7"/>
      <c r="AG5" s="81" t="s">
        <v>1146</v>
      </c>
      <c r="AH5" s="82"/>
      <c r="AI5" s="82"/>
      <c r="AJ5" s="82"/>
      <c r="AK5" s="83"/>
    </row>
    <row r="6" spans="1:42" ht="15.75" thickBot="1" x14ac:dyDescent="0.3">
      <c r="B6" s="78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80"/>
      <c r="AG6" s="84"/>
      <c r="AH6" s="85"/>
      <c r="AI6" s="85"/>
      <c r="AJ6" s="85"/>
      <c r="AK6" s="86"/>
    </row>
    <row r="7" spans="1:42" s="1" customFormat="1" x14ac:dyDescent="0.25">
      <c r="A7" s="35"/>
      <c r="B7" s="38" t="s">
        <v>994</v>
      </c>
      <c r="C7" s="29" t="s">
        <v>995</v>
      </c>
      <c r="D7" s="30" t="s">
        <v>962</v>
      </c>
      <c r="E7" s="30" t="s">
        <v>963</v>
      </c>
      <c r="F7" s="30" t="s">
        <v>964</v>
      </c>
      <c r="G7" s="30" t="s">
        <v>965</v>
      </c>
      <c r="H7" s="30" t="s">
        <v>966</v>
      </c>
      <c r="I7" s="30" t="s">
        <v>967</v>
      </c>
      <c r="J7" s="30" t="s">
        <v>968</v>
      </c>
      <c r="K7" s="30" t="s">
        <v>969</v>
      </c>
      <c r="L7" s="30" t="s">
        <v>970</v>
      </c>
      <c r="M7" s="30" t="s">
        <v>971</v>
      </c>
      <c r="N7" s="30" t="s">
        <v>972</v>
      </c>
      <c r="O7" s="30" t="s">
        <v>973</v>
      </c>
      <c r="P7" s="30" t="s">
        <v>974</v>
      </c>
      <c r="Q7" s="30" t="s">
        <v>975</v>
      </c>
      <c r="R7" s="30" t="s">
        <v>976</v>
      </c>
      <c r="S7" s="30" t="s">
        <v>977</v>
      </c>
      <c r="T7" s="30" t="s">
        <v>978</v>
      </c>
      <c r="U7" s="30" t="s">
        <v>979</v>
      </c>
      <c r="V7" s="30" t="s">
        <v>980</v>
      </c>
      <c r="W7" s="30" t="s">
        <v>981</v>
      </c>
      <c r="X7" s="30" t="s">
        <v>982</v>
      </c>
      <c r="Y7" s="30" t="s">
        <v>983</v>
      </c>
      <c r="Z7" s="30" t="s">
        <v>984</v>
      </c>
      <c r="AA7" s="30" t="s">
        <v>985</v>
      </c>
      <c r="AB7" s="30" t="s">
        <v>986</v>
      </c>
      <c r="AC7" s="14"/>
      <c r="AD7" s="35" t="s">
        <v>1139</v>
      </c>
      <c r="AE7" s="35"/>
      <c r="AF7" s="35" t="s">
        <v>1138</v>
      </c>
      <c r="AG7" s="31" t="s">
        <v>981</v>
      </c>
      <c r="AH7" s="30" t="s">
        <v>982</v>
      </c>
      <c r="AI7" s="30" t="s">
        <v>983</v>
      </c>
      <c r="AJ7" s="30" t="s">
        <v>984</v>
      </c>
      <c r="AK7" s="30" t="s">
        <v>985</v>
      </c>
      <c r="AL7" s="1" t="s">
        <v>1142</v>
      </c>
      <c r="AM7" s="1" t="s">
        <v>1140</v>
      </c>
      <c r="AN7" s="1" t="s">
        <v>1141</v>
      </c>
      <c r="AO7" s="1" t="s">
        <v>1143</v>
      </c>
      <c r="AP7" s="1" t="s">
        <v>1197</v>
      </c>
    </row>
    <row r="8" spans="1:42" x14ac:dyDescent="0.25">
      <c r="A8" s="25">
        <v>62</v>
      </c>
      <c r="B8" s="39" t="s">
        <v>336</v>
      </c>
      <c r="C8" s="10" t="s">
        <v>1039</v>
      </c>
      <c r="D8" s="40" t="s">
        <v>337</v>
      </c>
      <c r="E8" s="3" t="s">
        <v>338</v>
      </c>
      <c r="F8" s="3" t="s">
        <v>339</v>
      </c>
      <c r="G8" s="3"/>
      <c r="H8" s="3" t="s">
        <v>14</v>
      </c>
      <c r="I8" s="3" t="s">
        <v>6</v>
      </c>
      <c r="J8" s="3" t="s">
        <v>33</v>
      </c>
      <c r="K8" s="3" t="s">
        <v>340</v>
      </c>
      <c r="L8" s="3"/>
      <c r="M8" s="3"/>
      <c r="N8" s="3"/>
      <c r="O8" s="3">
        <v>1508</v>
      </c>
      <c r="P8" s="3"/>
      <c r="Q8" s="4">
        <v>46059</v>
      </c>
      <c r="R8" s="5">
        <v>411032.32000000001</v>
      </c>
      <c r="S8" s="3">
        <v>547</v>
      </c>
      <c r="T8" s="3"/>
      <c r="U8" s="3">
        <v>0</v>
      </c>
      <c r="V8" s="3" t="s">
        <v>8</v>
      </c>
      <c r="W8" s="5">
        <v>414083.61</v>
      </c>
      <c r="X8" s="3">
        <v>0</v>
      </c>
      <c r="Y8" s="3">
        <v>0</v>
      </c>
      <c r="Z8" s="3">
        <v>0.02</v>
      </c>
      <c r="AA8" s="5">
        <v>19676.48</v>
      </c>
      <c r="AB8" s="5">
        <v>433760.11</v>
      </c>
      <c r="AD8" s="25" t="s">
        <v>1167</v>
      </c>
      <c r="AE8" s="25" t="s">
        <v>1196</v>
      </c>
      <c r="AF8" s="26">
        <v>210027.61</v>
      </c>
      <c r="AG8" s="33">
        <f>AF8</f>
        <v>210027.61</v>
      </c>
      <c r="AH8" s="18"/>
      <c r="AI8" s="3"/>
      <c r="AJ8" s="3"/>
      <c r="AK8" s="5"/>
      <c r="AL8" s="15">
        <f t="shared" ref="AL8:AL13" si="0">AH8+AI8+AJ8+AK8+AG8</f>
        <v>210027.61</v>
      </c>
      <c r="AM8" s="15">
        <f t="shared" ref="AM8:AM13" si="1">AB8-AL8</f>
        <v>223732.5</v>
      </c>
      <c r="AN8">
        <v>223732.5</v>
      </c>
      <c r="AO8" s="17">
        <f t="shared" ref="AO8:AO13" si="2">AM8-AN8</f>
        <v>0</v>
      </c>
      <c r="AP8" s="1"/>
    </row>
    <row r="9" spans="1:42" x14ac:dyDescent="0.25">
      <c r="A9" s="25">
        <v>39</v>
      </c>
      <c r="B9" s="39" t="s">
        <v>203</v>
      </c>
      <c r="C9" s="10" t="s">
        <v>1022</v>
      </c>
      <c r="D9" s="3" t="s">
        <v>204</v>
      </c>
      <c r="E9" s="3" t="s">
        <v>30</v>
      </c>
      <c r="F9" s="3" t="s">
        <v>205</v>
      </c>
      <c r="G9" s="3" t="s">
        <v>206</v>
      </c>
      <c r="H9" s="3" t="s">
        <v>14</v>
      </c>
      <c r="I9" s="3" t="s">
        <v>6</v>
      </c>
      <c r="J9" s="3" t="s">
        <v>33</v>
      </c>
      <c r="K9" s="3" t="s">
        <v>207</v>
      </c>
      <c r="L9" s="3"/>
      <c r="M9" s="3"/>
      <c r="N9" s="3" t="s">
        <v>22</v>
      </c>
      <c r="O9" s="3"/>
      <c r="P9" s="3"/>
      <c r="Q9" s="4">
        <v>46080</v>
      </c>
      <c r="R9" s="5">
        <v>207361.1</v>
      </c>
      <c r="S9" s="3">
        <v>1653</v>
      </c>
      <c r="T9" s="3"/>
      <c r="U9" s="3">
        <v>0</v>
      </c>
      <c r="V9" s="3" t="s">
        <v>8</v>
      </c>
      <c r="W9" s="5">
        <v>66835.7</v>
      </c>
      <c r="X9" s="3">
        <v>213871.25</v>
      </c>
      <c r="Y9" s="3">
        <v>155649.04999999999</v>
      </c>
      <c r="Z9" s="46">
        <v>0</v>
      </c>
      <c r="AA9" s="3">
        <v>0</v>
      </c>
      <c r="AB9" s="5">
        <f>SUM(W9:AA9)</f>
        <v>436356</v>
      </c>
      <c r="AD9" s="25"/>
      <c r="AE9" s="25"/>
      <c r="AF9" s="25"/>
      <c r="AG9" s="32"/>
      <c r="AH9" s="19"/>
      <c r="AI9" s="3"/>
      <c r="AJ9" s="3"/>
      <c r="AK9" s="3"/>
      <c r="AL9" s="15">
        <f t="shared" si="0"/>
        <v>0</v>
      </c>
      <c r="AM9" s="15">
        <f t="shared" si="1"/>
        <v>436356</v>
      </c>
      <c r="AN9" s="15">
        <v>436356</v>
      </c>
      <c r="AO9" s="17">
        <f t="shared" si="2"/>
        <v>0</v>
      </c>
    </row>
    <row r="10" spans="1:42" x14ac:dyDescent="0.25">
      <c r="A10" s="25">
        <v>15</v>
      </c>
      <c r="B10" s="39"/>
      <c r="C10" s="10"/>
      <c r="D10" s="3" t="str">
        <f>[1]nedredc!$B$35</f>
        <v>AUMA SOUTH AFRICA (PTY)LTD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4"/>
      <c r="R10" s="5"/>
      <c r="S10" s="3"/>
      <c r="T10" s="3"/>
      <c r="U10" s="3"/>
      <c r="V10" s="3"/>
      <c r="W10" s="5"/>
      <c r="X10" s="3"/>
      <c r="Y10" s="3"/>
      <c r="Z10" s="3"/>
      <c r="AA10" s="3"/>
      <c r="AB10" s="5"/>
      <c r="AD10" s="25" t="s">
        <v>1167</v>
      </c>
      <c r="AE10" s="25" t="s">
        <v>1186</v>
      </c>
      <c r="AF10" s="26">
        <v>26226.81</v>
      </c>
      <c r="AG10" s="33">
        <f>AF10</f>
        <v>26226.81</v>
      </c>
      <c r="AH10" s="18"/>
      <c r="AI10" s="3"/>
      <c r="AJ10" s="3"/>
      <c r="AK10" s="3"/>
      <c r="AL10" s="15">
        <f t="shared" si="0"/>
        <v>26226.81</v>
      </c>
      <c r="AM10" s="15">
        <f t="shared" si="1"/>
        <v>-26226.81</v>
      </c>
      <c r="AN10">
        <v>-26226.81</v>
      </c>
      <c r="AO10" s="17">
        <f t="shared" si="2"/>
        <v>0</v>
      </c>
    </row>
    <row r="11" spans="1:42" x14ac:dyDescent="0.25">
      <c r="A11" s="25">
        <v>5</v>
      </c>
      <c r="B11" s="39" t="s">
        <v>28</v>
      </c>
      <c r="C11" s="10" t="s">
        <v>998</v>
      </c>
      <c r="D11" s="3" t="s">
        <v>29</v>
      </c>
      <c r="E11" s="3" t="s">
        <v>30</v>
      </c>
      <c r="F11" s="3" t="s">
        <v>31</v>
      </c>
      <c r="G11" s="3" t="s">
        <v>32</v>
      </c>
      <c r="H11" s="3" t="s">
        <v>14</v>
      </c>
      <c r="I11" s="3" t="s">
        <v>6</v>
      </c>
      <c r="J11" s="3" t="s">
        <v>33</v>
      </c>
      <c r="K11" s="3" t="s">
        <v>34</v>
      </c>
      <c r="L11" s="3"/>
      <c r="M11" s="3"/>
      <c r="N11" s="3"/>
      <c r="O11" s="3">
        <v>2042</v>
      </c>
      <c r="P11" s="3"/>
      <c r="Q11" s="4">
        <v>46078</v>
      </c>
      <c r="R11" s="5">
        <v>11807.2</v>
      </c>
      <c r="S11" s="3">
        <v>153</v>
      </c>
      <c r="T11" s="3"/>
      <c r="U11" s="3">
        <v>0</v>
      </c>
      <c r="V11" s="3" t="s">
        <v>8</v>
      </c>
      <c r="W11" s="5">
        <v>11807.1</v>
      </c>
      <c r="X11" s="3">
        <v>0</v>
      </c>
      <c r="Y11" s="3">
        <v>0</v>
      </c>
      <c r="Z11" s="3">
        <v>0</v>
      </c>
      <c r="AA11" s="3">
        <v>0</v>
      </c>
      <c r="AB11" s="5">
        <v>11807.1</v>
      </c>
      <c r="AD11" s="25" t="s">
        <v>1163</v>
      </c>
      <c r="AE11" s="25" t="s">
        <v>1173</v>
      </c>
      <c r="AF11" s="26">
        <v>11807.1</v>
      </c>
      <c r="AG11" s="33">
        <f>AF11</f>
        <v>11807.1</v>
      </c>
      <c r="AH11" s="18"/>
      <c r="AI11" s="3"/>
      <c r="AJ11" s="3"/>
      <c r="AK11" s="3"/>
      <c r="AL11" s="15">
        <f t="shared" si="0"/>
        <v>11807.1</v>
      </c>
      <c r="AM11" s="15">
        <f t="shared" si="1"/>
        <v>0</v>
      </c>
      <c r="AN11">
        <v>0</v>
      </c>
      <c r="AO11" s="17">
        <f t="shared" si="2"/>
        <v>0</v>
      </c>
    </row>
    <row r="12" spans="1:42" x14ac:dyDescent="0.25">
      <c r="A12" s="25">
        <v>153</v>
      </c>
      <c r="B12" s="39" t="s">
        <v>794</v>
      </c>
      <c r="C12" s="10" t="s">
        <v>1105</v>
      </c>
      <c r="D12" s="3" t="s">
        <v>795</v>
      </c>
      <c r="E12" s="3" t="s">
        <v>796</v>
      </c>
      <c r="F12" s="3" t="s">
        <v>797</v>
      </c>
      <c r="G12" s="3" t="s">
        <v>798</v>
      </c>
      <c r="H12" s="3" t="s">
        <v>14</v>
      </c>
      <c r="I12" s="3" t="s">
        <v>6</v>
      </c>
      <c r="J12" s="3"/>
      <c r="K12" s="3" t="s">
        <v>799</v>
      </c>
      <c r="L12" s="3"/>
      <c r="M12" s="3"/>
      <c r="N12" s="3"/>
      <c r="O12" s="6" t="s">
        <v>800</v>
      </c>
      <c r="P12" s="3"/>
      <c r="Q12" s="4">
        <v>46080</v>
      </c>
      <c r="R12" s="5">
        <v>71630.789999999994</v>
      </c>
      <c r="S12" s="3">
        <v>346</v>
      </c>
      <c r="T12" s="3"/>
      <c r="U12" s="3">
        <v>0</v>
      </c>
      <c r="V12" s="3" t="s">
        <v>8</v>
      </c>
      <c r="W12" s="5">
        <v>5017</v>
      </c>
      <c r="X12" s="3">
        <v>0</v>
      </c>
      <c r="Y12" s="3">
        <v>0</v>
      </c>
      <c r="Z12" s="3">
        <v>0</v>
      </c>
      <c r="AA12" s="5">
        <v>-0.01</v>
      </c>
      <c r="AB12" s="5">
        <v>5016.99</v>
      </c>
      <c r="AD12" s="25" t="s">
        <v>1167</v>
      </c>
      <c r="AE12" s="25" t="s">
        <v>1168</v>
      </c>
      <c r="AF12" s="26">
        <v>5017</v>
      </c>
      <c r="AG12" s="33">
        <f>W12</f>
        <v>5017</v>
      </c>
      <c r="AH12" s="18"/>
      <c r="AI12" s="3"/>
      <c r="AJ12" s="3"/>
      <c r="AK12" s="5"/>
      <c r="AL12" s="15">
        <f t="shared" si="0"/>
        <v>5017</v>
      </c>
      <c r="AM12" s="15">
        <f t="shared" si="1"/>
        <v>-1.0000000000218279E-2</v>
      </c>
      <c r="AN12">
        <v>0</v>
      </c>
      <c r="AO12" s="17">
        <f t="shared" si="2"/>
        <v>-1.0000000000218279E-2</v>
      </c>
    </row>
    <row r="13" spans="1:42" x14ac:dyDescent="0.25">
      <c r="A13" s="25">
        <v>76</v>
      </c>
      <c r="B13" s="39" t="s">
        <v>418</v>
      </c>
      <c r="C13" s="10" t="s">
        <v>1051</v>
      </c>
      <c r="D13" s="3" t="s">
        <v>419</v>
      </c>
      <c r="E13" s="3" t="s">
        <v>420</v>
      </c>
      <c r="F13" s="3" t="s">
        <v>421</v>
      </c>
      <c r="G13" s="3" t="s">
        <v>422</v>
      </c>
      <c r="H13" s="3" t="s">
        <v>14</v>
      </c>
      <c r="I13" s="3" t="s">
        <v>6</v>
      </c>
      <c r="J13" s="3" t="s">
        <v>33</v>
      </c>
      <c r="K13" s="3" t="s">
        <v>417</v>
      </c>
      <c r="L13" s="3"/>
      <c r="M13" s="3"/>
      <c r="N13" s="3"/>
      <c r="O13" s="3">
        <v>2047</v>
      </c>
      <c r="P13" s="3"/>
      <c r="Q13" s="4">
        <v>46057</v>
      </c>
      <c r="R13" s="5">
        <v>26781.200000000001</v>
      </c>
      <c r="S13" s="3">
        <v>398</v>
      </c>
      <c r="T13" s="3"/>
      <c r="U13" s="3">
        <v>0</v>
      </c>
      <c r="V13" s="3" t="s">
        <v>8</v>
      </c>
      <c r="W13" s="5">
        <v>21683.25</v>
      </c>
      <c r="X13" s="5">
        <v>19520.099999999999</v>
      </c>
      <c r="Y13" s="3">
        <v>0</v>
      </c>
      <c r="Z13" s="3">
        <v>0</v>
      </c>
      <c r="AA13" s="5">
        <v>-0.01</v>
      </c>
      <c r="AB13" s="5">
        <v>41203.339999999997</v>
      </c>
      <c r="AD13" s="25" t="s">
        <v>1149</v>
      </c>
      <c r="AE13" s="25" t="s">
        <v>1181</v>
      </c>
      <c r="AF13" s="26">
        <v>18247.05</v>
      </c>
      <c r="AG13" s="32"/>
      <c r="AH13" s="19">
        <f>X13</f>
        <v>19520.099999999999</v>
      </c>
      <c r="AI13" s="3"/>
      <c r="AJ13" s="3"/>
      <c r="AK13" s="5"/>
      <c r="AL13" s="15">
        <f t="shared" si="0"/>
        <v>19520.099999999999</v>
      </c>
      <c r="AM13" s="15">
        <f t="shared" si="1"/>
        <v>21683.239999999998</v>
      </c>
      <c r="AN13">
        <v>24163.79</v>
      </c>
      <c r="AO13" s="15">
        <f t="shared" si="2"/>
        <v>-2480.5500000000029</v>
      </c>
    </row>
    <row r="14" spans="1:42" hidden="1" x14ac:dyDescent="0.25">
      <c r="A14" s="25"/>
      <c r="B14" s="39"/>
      <c r="C14" s="10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4"/>
      <c r="R14" s="5"/>
      <c r="S14" s="3"/>
      <c r="T14" s="3"/>
      <c r="U14" s="3"/>
      <c r="V14" s="3"/>
      <c r="W14" s="5"/>
      <c r="X14" s="5"/>
      <c r="Y14" s="3"/>
      <c r="Z14" s="3"/>
      <c r="AA14" s="5"/>
      <c r="AB14" s="5"/>
      <c r="AD14" s="25"/>
      <c r="AE14" s="25"/>
      <c r="AF14" s="26"/>
      <c r="AG14" s="32"/>
      <c r="AH14" s="19"/>
      <c r="AI14" s="3"/>
      <c r="AJ14" s="3"/>
      <c r="AK14" s="5"/>
      <c r="AL14" s="15"/>
      <c r="AM14" s="15"/>
      <c r="AO14" s="15"/>
    </row>
    <row r="15" spans="1:42" hidden="1" x14ac:dyDescent="0.25">
      <c r="A15" s="25"/>
      <c r="B15" s="39"/>
      <c r="C15" s="10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4"/>
      <c r="R15" s="5"/>
      <c r="S15" s="3"/>
      <c r="T15" s="3"/>
      <c r="U15" s="3"/>
      <c r="V15" s="3"/>
      <c r="W15" s="5"/>
      <c r="X15" s="5"/>
      <c r="Y15" s="3"/>
      <c r="Z15" s="3"/>
      <c r="AA15" s="5"/>
      <c r="AB15" s="5"/>
      <c r="AD15" s="25"/>
      <c r="AE15" s="25"/>
      <c r="AF15" s="26"/>
      <c r="AG15" s="32"/>
      <c r="AH15" s="19"/>
      <c r="AI15" s="3"/>
      <c r="AJ15" s="3"/>
      <c r="AK15" s="5"/>
      <c r="AL15" s="15"/>
      <c r="AM15" s="15"/>
      <c r="AO15" s="15"/>
    </row>
    <row r="16" spans="1:42" hidden="1" x14ac:dyDescent="0.25">
      <c r="A16" s="25"/>
      <c r="B16" s="39"/>
      <c r="C16" s="10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4"/>
      <c r="R16" s="5"/>
      <c r="S16" s="3"/>
      <c r="T16" s="3"/>
      <c r="U16" s="3"/>
      <c r="V16" s="3"/>
      <c r="W16" s="5"/>
      <c r="X16" s="5"/>
      <c r="Y16" s="3"/>
      <c r="Z16" s="3"/>
      <c r="AA16" s="5"/>
      <c r="AB16" s="5"/>
      <c r="AD16" s="25"/>
      <c r="AE16" s="25"/>
      <c r="AF16" s="26"/>
      <c r="AG16" s="32"/>
      <c r="AH16" s="19"/>
      <c r="AI16" s="3"/>
      <c r="AJ16" s="3"/>
      <c r="AK16" s="5"/>
      <c r="AL16" s="15"/>
      <c r="AM16" s="15"/>
      <c r="AO16" s="15"/>
    </row>
    <row r="17" spans="1:42" ht="15.75" customHeight="1" x14ac:dyDescent="0.25">
      <c r="A17" s="25">
        <v>84</v>
      </c>
      <c r="B17" s="39" t="s">
        <v>454</v>
      </c>
      <c r="C17" s="10"/>
      <c r="D17" s="50" t="s">
        <v>455</v>
      </c>
      <c r="E17" s="3" t="s">
        <v>456</v>
      </c>
      <c r="F17" s="3" t="s">
        <v>457</v>
      </c>
      <c r="G17" s="3" t="s">
        <v>458</v>
      </c>
      <c r="H17" s="3" t="s">
        <v>249</v>
      </c>
      <c r="I17" s="3" t="s">
        <v>6</v>
      </c>
      <c r="J17" s="3"/>
      <c r="K17" s="3" t="s">
        <v>459</v>
      </c>
      <c r="L17" s="3"/>
      <c r="M17" s="3"/>
      <c r="N17" s="3"/>
      <c r="O17" s="6" t="s">
        <v>460</v>
      </c>
      <c r="P17" s="3"/>
      <c r="Q17" s="4">
        <v>45811</v>
      </c>
      <c r="R17" s="5">
        <v>758.65</v>
      </c>
      <c r="S17" s="3">
        <v>17</v>
      </c>
      <c r="T17" s="3"/>
      <c r="U17" s="3">
        <v>0</v>
      </c>
      <c r="V17" s="3" t="s">
        <v>8</v>
      </c>
      <c r="W17" s="3">
        <v>0</v>
      </c>
      <c r="X17" s="3">
        <v>0</v>
      </c>
      <c r="Y17" s="3">
        <v>0</v>
      </c>
      <c r="Z17" s="3">
        <v>0</v>
      </c>
      <c r="AA17" s="5">
        <v>-758.66</v>
      </c>
      <c r="AB17" s="5">
        <v>-758.66</v>
      </c>
      <c r="AD17" s="25"/>
      <c r="AE17" s="25"/>
      <c r="AF17" s="25"/>
      <c r="AG17" s="32"/>
      <c r="AH17" s="18"/>
      <c r="AI17" s="3"/>
      <c r="AJ17" s="3"/>
      <c r="AK17" s="5"/>
      <c r="AL17" s="15">
        <f t="shared" ref="AL17:AL48" si="3">AH17+AI17+AJ17+AK17+AG17</f>
        <v>0</v>
      </c>
      <c r="AM17" s="15">
        <f t="shared" ref="AM17:AM48" si="4">AB17-AL17</f>
        <v>-758.66</v>
      </c>
      <c r="AO17" s="28">
        <f t="shared" ref="AO17:AO48" si="5">AM17-AN17</f>
        <v>-758.66</v>
      </c>
      <c r="AP17" s="52" t="s">
        <v>1200</v>
      </c>
    </row>
    <row r="18" spans="1:42" x14ac:dyDescent="0.25">
      <c r="A18" s="25">
        <v>13</v>
      </c>
      <c r="B18" s="39" t="s">
        <v>77</v>
      </c>
      <c r="C18" s="10" t="s">
        <v>1005</v>
      </c>
      <c r="D18" s="50" t="s">
        <v>78</v>
      </c>
      <c r="E18" s="3" t="s">
        <v>79</v>
      </c>
      <c r="F18" s="3" t="s">
        <v>80</v>
      </c>
      <c r="G18" s="3" t="s">
        <v>81</v>
      </c>
      <c r="H18" s="3" t="s">
        <v>82</v>
      </c>
      <c r="I18" s="3" t="s">
        <v>6</v>
      </c>
      <c r="J18" s="3" t="s">
        <v>15</v>
      </c>
      <c r="K18" s="3" t="s">
        <v>83</v>
      </c>
      <c r="L18" s="3"/>
      <c r="M18" s="3"/>
      <c r="N18" s="3"/>
      <c r="O18" s="3">
        <v>2066</v>
      </c>
      <c r="P18" s="3"/>
      <c r="Q18" s="4">
        <v>45169</v>
      </c>
      <c r="R18" s="5">
        <v>342.26</v>
      </c>
      <c r="S18" s="3">
        <v>217</v>
      </c>
      <c r="T18" s="3"/>
      <c r="U18" s="3">
        <v>0</v>
      </c>
      <c r="V18" s="3" t="s">
        <v>8</v>
      </c>
      <c r="W18" s="3">
        <v>0</v>
      </c>
      <c r="X18" s="3">
        <v>0</v>
      </c>
      <c r="Y18" s="3">
        <v>0</v>
      </c>
      <c r="Z18" s="3">
        <v>0</v>
      </c>
      <c r="AA18" s="5">
        <v>-342.26</v>
      </c>
      <c r="AB18" s="5">
        <v>-342.26</v>
      </c>
      <c r="AD18" s="25"/>
      <c r="AE18" s="25"/>
      <c r="AF18" s="25"/>
      <c r="AG18" s="32"/>
      <c r="AH18" s="18"/>
      <c r="AI18" s="3"/>
      <c r="AJ18" s="3"/>
      <c r="AK18" s="5"/>
      <c r="AL18" s="15">
        <f t="shared" si="3"/>
        <v>0</v>
      </c>
      <c r="AM18" s="15">
        <f t="shared" si="4"/>
        <v>-342.26</v>
      </c>
      <c r="AO18" s="28">
        <f t="shared" si="5"/>
        <v>-342.26</v>
      </c>
      <c r="AP18" s="51"/>
    </row>
    <row r="19" spans="1:42" x14ac:dyDescent="0.25">
      <c r="A19" s="25">
        <v>51</v>
      </c>
      <c r="B19" s="39" t="s">
        <v>268</v>
      </c>
      <c r="C19" s="10"/>
      <c r="D19" s="3" t="s">
        <v>269</v>
      </c>
      <c r="E19" s="3" t="s">
        <v>270</v>
      </c>
      <c r="F19" s="3" t="s">
        <v>271</v>
      </c>
      <c r="G19" s="3" t="s">
        <v>272</v>
      </c>
      <c r="H19" s="3" t="s">
        <v>14</v>
      </c>
      <c r="I19" s="3" t="s">
        <v>6</v>
      </c>
      <c r="J19" s="3"/>
      <c r="K19" s="3" t="s">
        <v>273</v>
      </c>
      <c r="L19" s="3"/>
      <c r="M19" s="3" t="s">
        <v>69</v>
      </c>
      <c r="N19" s="3" t="s">
        <v>22</v>
      </c>
      <c r="O19" s="3"/>
      <c r="P19" s="3"/>
      <c r="Q19" s="4">
        <v>46053</v>
      </c>
      <c r="R19" s="5">
        <v>484.15</v>
      </c>
      <c r="S19" s="3">
        <v>62</v>
      </c>
      <c r="T19" s="3"/>
      <c r="U19" s="3">
        <v>0</v>
      </c>
      <c r="V19" s="3" t="s">
        <v>8</v>
      </c>
      <c r="W19" s="3">
        <v>0</v>
      </c>
      <c r="X19" s="5">
        <v>-279.45</v>
      </c>
      <c r="Y19" s="3">
        <v>0</v>
      </c>
      <c r="Z19" s="3">
        <v>0</v>
      </c>
      <c r="AA19" s="3">
        <v>0</v>
      </c>
      <c r="AB19" s="5">
        <v>-279.45</v>
      </c>
      <c r="AD19" s="25"/>
      <c r="AE19" s="25"/>
      <c r="AF19" s="25"/>
      <c r="AG19" s="32"/>
      <c r="AH19" s="19"/>
      <c r="AI19" s="3"/>
      <c r="AJ19" s="3"/>
      <c r="AK19" s="3"/>
      <c r="AL19" s="15">
        <f t="shared" si="3"/>
        <v>0</v>
      </c>
      <c r="AM19" s="15">
        <f t="shared" si="4"/>
        <v>-279.45</v>
      </c>
      <c r="AO19" s="17">
        <f t="shared" si="5"/>
        <v>-279.45</v>
      </c>
      <c r="AP19" s="51"/>
    </row>
    <row r="20" spans="1:42" x14ac:dyDescent="0.25">
      <c r="A20" s="25">
        <v>64</v>
      </c>
      <c r="B20" s="39" t="s">
        <v>347</v>
      </c>
      <c r="C20" s="10" t="s">
        <v>1041</v>
      </c>
      <c r="D20" s="3" t="s">
        <v>348</v>
      </c>
      <c r="E20" s="3" t="s">
        <v>349</v>
      </c>
      <c r="F20" s="3" t="s">
        <v>350</v>
      </c>
      <c r="G20" s="3" t="s">
        <v>351</v>
      </c>
      <c r="H20" s="3" t="s">
        <v>14</v>
      </c>
      <c r="I20" s="3" t="s">
        <v>6</v>
      </c>
      <c r="J20" s="3"/>
      <c r="K20" s="3" t="s">
        <v>352</v>
      </c>
      <c r="L20" s="3"/>
      <c r="M20" s="3"/>
      <c r="N20" s="3" t="s">
        <v>22</v>
      </c>
      <c r="O20" s="3"/>
      <c r="P20" s="3"/>
      <c r="Q20" s="4">
        <v>46081</v>
      </c>
      <c r="R20" s="5">
        <v>2697.9</v>
      </c>
      <c r="S20" s="3">
        <v>30</v>
      </c>
      <c r="T20" s="3"/>
      <c r="U20" s="3">
        <v>0</v>
      </c>
      <c r="V20" s="3" t="s">
        <v>8</v>
      </c>
      <c r="W20" s="5">
        <v>-172.12</v>
      </c>
      <c r="X20" s="3">
        <v>0</v>
      </c>
      <c r="Y20" s="3">
        <v>0</v>
      </c>
      <c r="Z20" s="3">
        <v>0</v>
      </c>
      <c r="AA20" s="3">
        <v>0</v>
      </c>
      <c r="AB20" s="5">
        <v>-172.12</v>
      </c>
      <c r="AD20" s="25"/>
      <c r="AE20" s="25"/>
      <c r="AF20" s="25"/>
      <c r="AG20" s="32"/>
      <c r="AH20" s="18"/>
      <c r="AI20" s="3"/>
      <c r="AJ20" s="3"/>
      <c r="AK20" s="3"/>
      <c r="AL20" s="15">
        <f t="shared" si="3"/>
        <v>0</v>
      </c>
      <c r="AM20" s="15">
        <f t="shared" si="4"/>
        <v>-172.12</v>
      </c>
      <c r="AO20" s="17">
        <f t="shared" si="5"/>
        <v>-172.12</v>
      </c>
      <c r="AP20" s="51"/>
    </row>
    <row r="21" spans="1:42" x14ac:dyDescent="0.25">
      <c r="A21" s="25">
        <v>136</v>
      </c>
      <c r="B21" s="39" t="s">
        <v>707</v>
      </c>
      <c r="C21" s="10"/>
      <c r="D21" s="50" t="s">
        <v>708</v>
      </c>
      <c r="E21" s="3" t="s">
        <v>709</v>
      </c>
      <c r="F21" s="3" t="s">
        <v>710</v>
      </c>
      <c r="G21" s="3" t="s">
        <v>711</v>
      </c>
      <c r="H21" s="3" t="s">
        <v>249</v>
      </c>
      <c r="I21" s="3" t="s">
        <v>6</v>
      </c>
      <c r="J21" s="3" t="s">
        <v>15</v>
      </c>
      <c r="K21" s="3" t="s">
        <v>712</v>
      </c>
      <c r="L21" s="3"/>
      <c r="M21" s="3"/>
      <c r="N21" s="3" t="s">
        <v>22</v>
      </c>
      <c r="O21" s="3"/>
      <c r="P21" s="3"/>
      <c r="Q21" s="4">
        <v>45716</v>
      </c>
      <c r="R21" s="5">
        <v>154.88999999999999</v>
      </c>
      <c r="S21" s="3">
        <v>53</v>
      </c>
      <c r="T21" s="3"/>
      <c r="U21" s="3">
        <v>0</v>
      </c>
      <c r="V21" s="3" t="s">
        <v>8</v>
      </c>
      <c r="W21" s="3">
        <v>0</v>
      </c>
      <c r="X21" s="3">
        <v>0</v>
      </c>
      <c r="Y21" s="3">
        <v>0</v>
      </c>
      <c r="Z21" s="3">
        <v>0</v>
      </c>
      <c r="AA21" s="5">
        <v>-154.88999999999999</v>
      </c>
      <c r="AB21" s="5">
        <v>-154.88999999999999</v>
      </c>
      <c r="AD21" s="25"/>
      <c r="AE21" s="25"/>
      <c r="AF21" s="25"/>
      <c r="AG21" s="32"/>
      <c r="AH21" s="18"/>
      <c r="AI21" s="3"/>
      <c r="AJ21" s="3"/>
      <c r="AK21" s="5"/>
      <c r="AL21" s="15">
        <f t="shared" si="3"/>
        <v>0</v>
      </c>
      <c r="AM21" s="15">
        <f t="shared" si="4"/>
        <v>-154.88999999999999</v>
      </c>
      <c r="AO21" s="28">
        <f t="shared" si="5"/>
        <v>-154.88999999999999</v>
      </c>
      <c r="AP21" s="51"/>
    </row>
    <row r="22" spans="1:42" x14ac:dyDescent="0.25">
      <c r="A22" s="25">
        <v>1</v>
      </c>
      <c r="B22" s="39" t="s">
        <v>0</v>
      </c>
      <c r="C22" s="10"/>
      <c r="D22" s="50" t="s">
        <v>1</v>
      </c>
      <c r="E22" s="3" t="s">
        <v>2</v>
      </c>
      <c r="F22" s="3" t="s">
        <v>3</v>
      </c>
      <c r="G22" s="3" t="s">
        <v>4</v>
      </c>
      <c r="H22" s="3" t="s">
        <v>5</v>
      </c>
      <c r="I22" s="3" t="s">
        <v>6</v>
      </c>
      <c r="J22" s="3"/>
      <c r="K22" s="3" t="s">
        <v>7</v>
      </c>
      <c r="L22" s="3"/>
      <c r="M22" s="3"/>
      <c r="N22" s="3"/>
      <c r="O22" s="3">
        <v>1609</v>
      </c>
      <c r="P22" s="3"/>
      <c r="Q22" s="4">
        <v>45472</v>
      </c>
      <c r="R22" s="5">
        <v>113.85</v>
      </c>
      <c r="S22" s="3">
        <v>2500</v>
      </c>
      <c r="T22" s="3"/>
      <c r="U22" s="3">
        <v>0</v>
      </c>
      <c r="V22" s="3" t="s">
        <v>8</v>
      </c>
      <c r="W22" s="3">
        <v>0</v>
      </c>
      <c r="X22" s="3">
        <v>0</v>
      </c>
      <c r="Y22" s="3">
        <v>0</v>
      </c>
      <c r="Z22" s="3">
        <v>0</v>
      </c>
      <c r="AA22" s="5">
        <v>-113.85</v>
      </c>
      <c r="AB22" s="5">
        <v>-113.85</v>
      </c>
      <c r="AD22" s="25"/>
      <c r="AE22" s="25"/>
      <c r="AF22" s="25"/>
      <c r="AG22" s="32"/>
      <c r="AH22" s="18"/>
      <c r="AI22" s="3"/>
      <c r="AJ22" s="3"/>
      <c r="AK22" s="5"/>
      <c r="AL22" s="15">
        <f t="shared" si="3"/>
        <v>0</v>
      </c>
      <c r="AM22" s="15">
        <f t="shared" si="4"/>
        <v>-113.85</v>
      </c>
      <c r="AO22" s="28">
        <f t="shared" si="5"/>
        <v>-113.85</v>
      </c>
      <c r="AP22" s="51"/>
    </row>
    <row r="23" spans="1:42" x14ac:dyDescent="0.25">
      <c r="A23" s="25">
        <v>116</v>
      </c>
      <c r="B23" s="39">
        <v>1110</v>
      </c>
      <c r="C23" s="10"/>
      <c r="D23" s="3" t="s">
        <v>611</v>
      </c>
      <c r="E23" s="3"/>
      <c r="F23" s="3" t="s">
        <v>612</v>
      </c>
      <c r="G23" s="3" t="s">
        <v>613</v>
      </c>
      <c r="H23" s="3" t="s">
        <v>14</v>
      </c>
      <c r="I23" s="3" t="s">
        <v>6</v>
      </c>
      <c r="J23" s="3" t="s">
        <v>15</v>
      </c>
      <c r="K23" s="3" t="s">
        <v>614</v>
      </c>
      <c r="L23" s="3"/>
      <c r="M23" s="3"/>
      <c r="N23" s="3"/>
      <c r="O23" s="3">
        <v>1657</v>
      </c>
      <c r="P23" s="3"/>
      <c r="Q23" s="4">
        <v>46053</v>
      </c>
      <c r="R23" s="5">
        <v>600</v>
      </c>
      <c r="S23" s="3">
        <v>20</v>
      </c>
      <c r="T23" s="3"/>
      <c r="U23" s="3">
        <v>0</v>
      </c>
      <c r="V23" s="3" t="s">
        <v>8</v>
      </c>
      <c r="W23" s="5">
        <v>251.05</v>
      </c>
      <c r="X23" s="5">
        <v>-600</v>
      </c>
      <c r="Y23" s="3">
        <v>0</v>
      </c>
      <c r="Z23" s="5">
        <v>251.05</v>
      </c>
      <c r="AA23" s="3">
        <v>0</v>
      </c>
      <c r="AB23" s="5">
        <v>-97.9</v>
      </c>
      <c r="AD23" s="25"/>
      <c r="AE23" s="25"/>
      <c r="AF23" s="25"/>
      <c r="AG23" s="32"/>
      <c r="AH23" s="19"/>
      <c r="AI23" s="3"/>
      <c r="AJ23" s="5"/>
      <c r="AK23" s="3"/>
      <c r="AL23" s="15">
        <f t="shared" si="3"/>
        <v>0</v>
      </c>
      <c r="AM23" s="15">
        <f t="shared" si="4"/>
        <v>-97.9</v>
      </c>
      <c r="AO23" s="17">
        <f t="shared" si="5"/>
        <v>-97.9</v>
      </c>
      <c r="AP23" s="51"/>
    </row>
    <row r="24" spans="1:42" x14ac:dyDescent="0.25">
      <c r="A24" s="55">
        <v>122</v>
      </c>
      <c r="B24" s="39" t="s">
        <v>634</v>
      </c>
      <c r="C24" s="10"/>
      <c r="D24" s="50" t="s">
        <v>635</v>
      </c>
      <c r="E24" s="3" t="s">
        <v>636</v>
      </c>
      <c r="F24" s="3" t="s">
        <v>637</v>
      </c>
      <c r="G24" s="3"/>
      <c r="H24" s="3" t="s">
        <v>14</v>
      </c>
      <c r="I24" s="3" t="s">
        <v>6</v>
      </c>
      <c r="J24" s="3" t="s">
        <v>33</v>
      </c>
      <c r="K24" s="3" t="s">
        <v>638</v>
      </c>
      <c r="L24" s="3"/>
      <c r="M24" s="3"/>
      <c r="N24" s="3"/>
      <c r="O24" s="3">
        <v>1686</v>
      </c>
      <c r="P24" s="3"/>
      <c r="Q24" s="4">
        <v>46074</v>
      </c>
      <c r="R24" s="5">
        <v>5531.5</v>
      </c>
      <c r="S24" s="3">
        <v>66</v>
      </c>
      <c r="T24" s="3"/>
      <c r="U24" s="3">
        <v>0</v>
      </c>
      <c r="V24" s="3" t="s">
        <v>639</v>
      </c>
      <c r="W24" s="3">
        <v>0</v>
      </c>
      <c r="X24" s="3">
        <v>0</v>
      </c>
      <c r="Y24" s="3">
        <v>0</v>
      </c>
      <c r="Z24" s="5">
        <v>-16</v>
      </c>
      <c r="AA24" s="5">
        <v>-16</v>
      </c>
      <c r="AB24" s="5">
        <v>-32</v>
      </c>
      <c r="AD24" s="25"/>
      <c r="AE24" s="25"/>
      <c r="AF24" s="25"/>
      <c r="AG24" s="32"/>
      <c r="AH24" s="18"/>
      <c r="AI24" s="3"/>
      <c r="AJ24" s="5"/>
      <c r="AK24" s="5"/>
      <c r="AL24" s="15">
        <f t="shared" si="3"/>
        <v>0</v>
      </c>
      <c r="AM24" s="15">
        <f t="shared" si="4"/>
        <v>-32</v>
      </c>
      <c r="AO24" s="28">
        <f t="shared" si="5"/>
        <v>-32</v>
      </c>
      <c r="AP24" s="51"/>
    </row>
    <row r="25" spans="1:42" hidden="1" x14ac:dyDescent="0.25">
      <c r="A25" s="25">
        <v>66</v>
      </c>
      <c r="B25" s="39" t="s">
        <v>359</v>
      </c>
      <c r="C25" s="10"/>
      <c r="D25" s="3" t="s">
        <v>360</v>
      </c>
      <c r="E25" s="3" t="s">
        <v>361</v>
      </c>
      <c r="F25" s="3" t="s">
        <v>362</v>
      </c>
      <c r="G25" s="3" t="s">
        <v>363</v>
      </c>
      <c r="H25" s="3" t="s">
        <v>14</v>
      </c>
      <c r="I25" s="3" t="s">
        <v>6</v>
      </c>
      <c r="J25" s="3" t="s">
        <v>15</v>
      </c>
      <c r="K25" s="3" t="s">
        <v>364</v>
      </c>
      <c r="L25" s="3"/>
      <c r="M25" s="3"/>
      <c r="N25" s="3"/>
      <c r="O25" s="3">
        <v>1641</v>
      </c>
      <c r="P25" s="3"/>
      <c r="Q25" s="4">
        <v>45230</v>
      </c>
      <c r="R25" s="5">
        <v>759.1</v>
      </c>
      <c r="S25" s="3">
        <v>232</v>
      </c>
      <c r="T25" s="3"/>
      <c r="U25" s="3">
        <v>0</v>
      </c>
      <c r="V25" s="3" t="s">
        <v>8</v>
      </c>
      <c r="W25" s="3">
        <v>0</v>
      </c>
      <c r="X25" s="3">
        <v>0</v>
      </c>
      <c r="Y25" s="3">
        <v>0</v>
      </c>
      <c r="Z25" s="3">
        <v>0</v>
      </c>
      <c r="AA25" s="5">
        <v>-0.01</v>
      </c>
      <c r="AB25" s="5">
        <v>-0.01</v>
      </c>
      <c r="AD25" s="25"/>
      <c r="AE25" s="25"/>
      <c r="AF25" s="25"/>
      <c r="AG25" s="32"/>
      <c r="AH25" s="18"/>
      <c r="AI25" s="3"/>
      <c r="AJ25" s="3"/>
      <c r="AK25" s="5"/>
      <c r="AL25" s="15">
        <f t="shared" si="3"/>
        <v>0</v>
      </c>
      <c r="AM25" s="15">
        <f t="shared" si="4"/>
        <v>-0.01</v>
      </c>
      <c r="AO25" s="15">
        <f t="shared" si="5"/>
        <v>-0.01</v>
      </c>
    </row>
    <row r="26" spans="1:42" hidden="1" x14ac:dyDescent="0.25">
      <c r="A26" s="25">
        <v>89</v>
      </c>
      <c r="B26" s="39" t="s">
        <v>484</v>
      </c>
      <c r="C26" s="10" t="s">
        <v>1062</v>
      </c>
      <c r="D26" s="3" t="s">
        <v>485</v>
      </c>
      <c r="E26" s="3" t="s">
        <v>486</v>
      </c>
      <c r="F26" s="3" t="s">
        <v>487</v>
      </c>
      <c r="G26" s="3" t="s">
        <v>488</v>
      </c>
      <c r="H26" s="3" t="s">
        <v>14</v>
      </c>
      <c r="I26" s="3" t="s">
        <v>6</v>
      </c>
      <c r="J26" s="3" t="s">
        <v>15</v>
      </c>
      <c r="K26" s="3" t="s">
        <v>489</v>
      </c>
      <c r="L26" s="3"/>
      <c r="M26" s="3"/>
      <c r="N26" s="3"/>
      <c r="O26" s="3">
        <v>8570</v>
      </c>
      <c r="P26" s="3"/>
      <c r="Q26" s="4">
        <v>46022</v>
      </c>
      <c r="R26" s="5">
        <v>1687.29</v>
      </c>
      <c r="S26" s="3">
        <v>204</v>
      </c>
      <c r="T26" s="3"/>
      <c r="U26" s="3">
        <v>0</v>
      </c>
      <c r="V26" s="3" t="s">
        <v>8</v>
      </c>
      <c r="W26" s="3">
        <v>0</v>
      </c>
      <c r="X26" s="3">
        <v>0</v>
      </c>
      <c r="Y26" s="5">
        <v>-0.01</v>
      </c>
      <c r="Z26" s="5">
        <v>-0.01</v>
      </c>
      <c r="AA26" s="3">
        <v>0.01</v>
      </c>
      <c r="AB26" s="5">
        <v>-0.01</v>
      </c>
      <c r="AD26" s="25"/>
      <c r="AE26" s="25"/>
      <c r="AF26" s="25"/>
      <c r="AG26" s="32"/>
      <c r="AH26" s="18"/>
      <c r="AI26" s="5"/>
      <c r="AJ26" s="5"/>
      <c r="AK26" s="3"/>
      <c r="AL26" s="15">
        <f t="shared" si="3"/>
        <v>0</v>
      </c>
      <c r="AM26" s="15">
        <f t="shared" si="4"/>
        <v>-0.01</v>
      </c>
      <c r="AO26" s="15">
        <f t="shared" si="5"/>
        <v>-0.01</v>
      </c>
    </row>
    <row r="27" spans="1:42" hidden="1" x14ac:dyDescent="0.25">
      <c r="A27" s="25">
        <v>2</v>
      </c>
      <c r="B27" s="39" t="s">
        <v>9</v>
      </c>
      <c r="C27" s="10" t="s">
        <v>997</v>
      </c>
      <c r="D27" s="3" t="s">
        <v>10</v>
      </c>
      <c r="E27" s="3" t="s">
        <v>11</v>
      </c>
      <c r="F27" s="3" t="s">
        <v>12</v>
      </c>
      <c r="G27" s="3" t="s">
        <v>13</v>
      </c>
      <c r="H27" s="3" t="s">
        <v>14</v>
      </c>
      <c r="I27" s="3" t="s">
        <v>6</v>
      </c>
      <c r="J27" s="3" t="s">
        <v>15</v>
      </c>
      <c r="K27" s="3" t="s">
        <v>16</v>
      </c>
      <c r="L27" s="3"/>
      <c r="M27" s="3"/>
      <c r="N27" s="3"/>
      <c r="O27" s="3">
        <v>1411</v>
      </c>
      <c r="P27" s="3"/>
      <c r="Q27" s="4">
        <v>46081</v>
      </c>
      <c r="R27" s="5">
        <v>836.65</v>
      </c>
      <c r="S27" s="3">
        <v>148</v>
      </c>
      <c r="T27" s="3"/>
      <c r="U27" s="3">
        <v>0</v>
      </c>
      <c r="V27" s="3" t="s">
        <v>8</v>
      </c>
      <c r="W27" s="5">
        <v>836.65</v>
      </c>
      <c r="X27" s="3">
        <v>0</v>
      </c>
      <c r="Y27" s="3">
        <v>0</v>
      </c>
      <c r="Z27" s="3">
        <v>0</v>
      </c>
      <c r="AA27" s="3">
        <v>0</v>
      </c>
      <c r="AB27" s="5">
        <v>836.65</v>
      </c>
      <c r="AD27" s="25"/>
      <c r="AE27" s="25"/>
      <c r="AF27" s="25"/>
      <c r="AG27" s="32"/>
      <c r="AH27" s="18"/>
      <c r="AI27" s="3"/>
      <c r="AJ27" s="3"/>
      <c r="AK27" s="3"/>
      <c r="AL27" s="15">
        <f t="shared" si="3"/>
        <v>0</v>
      </c>
      <c r="AM27" s="15">
        <f t="shared" si="4"/>
        <v>836.65</v>
      </c>
      <c r="AN27">
        <v>836.65</v>
      </c>
      <c r="AO27" s="15">
        <f t="shared" si="5"/>
        <v>0</v>
      </c>
    </row>
    <row r="28" spans="1:42" hidden="1" x14ac:dyDescent="0.25">
      <c r="A28" s="25">
        <v>3</v>
      </c>
      <c r="B28" s="39" t="s">
        <v>17</v>
      </c>
      <c r="C28" s="10"/>
      <c r="D28" s="3" t="s">
        <v>18</v>
      </c>
      <c r="E28" s="3" t="s">
        <v>19</v>
      </c>
      <c r="F28" s="3"/>
      <c r="G28" s="3" t="s">
        <v>20</v>
      </c>
      <c r="H28" s="3" t="s">
        <v>14</v>
      </c>
      <c r="I28" s="3" t="s">
        <v>6</v>
      </c>
      <c r="J28" s="3"/>
      <c r="K28" s="3" t="s">
        <v>21</v>
      </c>
      <c r="L28" s="3"/>
      <c r="M28" s="3"/>
      <c r="N28" s="3" t="s">
        <v>22</v>
      </c>
      <c r="O28" s="3"/>
      <c r="P28" s="3"/>
      <c r="Q28" s="3"/>
      <c r="R28" s="3">
        <v>0</v>
      </c>
      <c r="S28" s="3">
        <v>50</v>
      </c>
      <c r="T28" s="3"/>
      <c r="U28" s="3">
        <v>0</v>
      </c>
      <c r="V28" s="3" t="s">
        <v>8</v>
      </c>
      <c r="W28" s="5">
        <v>7631.26</v>
      </c>
      <c r="X28" s="3">
        <v>0</v>
      </c>
      <c r="Y28" s="3">
        <v>0</v>
      </c>
      <c r="Z28" s="3">
        <v>0</v>
      </c>
      <c r="AA28" s="3">
        <v>0</v>
      </c>
      <c r="AB28" s="5">
        <v>7631.26</v>
      </c>
      <c r="AD28" s="25"/>
      <c r="AE28" s="25"/>
      <c r="AF28" s="25"/>
      <c r="AG28" s="32"/>
      <c r="AH28" s="18"/>
      <c r="AI28" s="3"/>
      <c r="AJ28" s="3"/>
      <c r="AK28" s="3"/>
      <c r="AL28" s="15">
        <f t="shared" si="3"/>
        <v>0</v>
      </c>
      <c r="AM28" s="15">
        <f t="shared" si="4"/>
        <v>7631.26</v>
      </c>
      <c r="AN28">
        <v>7631.26</v>
      </c>
      <c r="AO28" s="15">
        <f t="shared" si="5"/>
        <v>0</v>
      </c>
    </row>
    <row r="29" spans="1:42" hidden="1" x14ac:dyDescent="0.25">
      <c r="A29" s="25">
        <v>4</v>
      </c>
      <c r="B29" s="39">
        <v>1132</v>
      </c>
      <c r="C29" s="10" t="s">
        <v>996</v>
      </c>
      <c r="D29" s="3" t="s">
        <v>23</v>
      </c>
      <c r="E29" s="3" t="s">
        <v>23</v>
      </c>
      <c r="F29" s="3" t="s">
        <v>24</v>
      </c>
      <c r="G29" s="3" t="s">
        <v>25</v>
      </c>
      <c r="H29" s="3" t="s">
        <v>14</v>
      </c>
      <c r="I29" s="3" t="s">
        <v>6</v>
      </c>
      <c r="J29" s="3" t="s">
        <v>15</v>
      </c>
      <c r="K29" s="3" t="s">
        <v>26</v>
      </c>
      <c r="L29" s="3"/>
      <c r="M29" s="3"/>
      <c r="N29" s="3" t="s">
        <v>22</v>
      </c>
      <c r="O29" s="6" t="s">
        <v>27</v>
      </c>
      <c r="P29" s="3"/>
      <c r="Q29" s="4">
        <v>46081</v>
      </c>
      <c r="R29" s="5">
        <v>129.11000000000001</v>
      </c>
      <c r="S29" s="3">
        <v>39</v>
      </c>
      <c r="T29" s="3"/>
      <c r="U29" s="3">
        <v>0</v>
      </c>
      <c r="V29" s="3" t="s">
        <v>8</v>
      </c>
      <c r="W29" s="5">
        <v>545.41</v>
      </c>
      <c r="X29" s="3">
        <v>0</v>
      </c>
      <c r="Y29" s="3">
        <v>0</v>
      </c>
      <c r="Z29" s="3">
        <v>0</v>
      </c>
      <c r="AA29" s="3">
        <v>0</v>
      </c>
      <c r="AB29" s="5">
        <v>545.41</v>
      </c>
      <c r="AD29" s="25"/>
      <c r="AE29" s="25"/>
      <c r="AF29" s="25"/>
      <c r="AG29" s="32"/>
      <c r="AH29" s="18"/>
      <c r="AI29" s="3"/>
      <c r="AJ29" s="3"/>
      <c r="AK29" s="3"/>
      <c r="AL29" s="15">
        <f t="shared" si="3"/>
        <v>0</v>
      </c>
      <c r="AM29" s="15">
        <f t="shared" si="4"/>
        <v>545.41</v>
      </c>
      <c r="AN29">
        <v>545.41</v>
      </c>
      <c r="AO29" s="15">
        <f t="shared" si="5"/>
        <v>0</v>
      </c>
    </row>
    <row r="30" spans="1:42" hidden="1" x14ac:dyDescent="0.25">
      <c r="A30" s="25">
        <v>6</v>
      </c>
      <c r="B30" s="39">
        <v>1084</v>
      </c>
      <c r="C30" s="10" t="s">
        <v>999</v>
      </c>
      <c r="D30" s="3" t="s">
        <v>35</v>
      </c>
      <c r="E30" s="3" t="s">
        <v>36</v>
      </c>
      <c r="F30" s="3" t="s">
        <v>37</v>
      </c>
      <c r="G30" s="3" t="s">
        <v>38</v>
      </c>
      <c r="H30" s="3" t="s">
        <v>14</v>
      </c>
      <c r="I30" s="3" t="s">
        <v>6</v>
      </c>
      <c r="J30" s="3" t="s">
        <v>15</v>
      </c>
      <c r="K30" s="3" t="s">
        <v>39</v>
      </c>
      <c r="L30" s="3"/>
      <c r="M30" s="3"/>
      <c r="N30" s="3" t="s">
        <v>22</v>
      </c>
      <c r="O30" s="3"/>
      <c r="P30" s="3"/>
      <c r="Q30" s="4">
        <v>46081</v>
      </c>
      <c r="R30" s="5">
        <v>641.70000000000005</v>
      </c>
      <c r="S30" s="3">
        <v>41</v>
      </c>
      <c r="T30" s="3"/>
      <c r="U30" s="3">
        <v>0</v>
      </c>
      <c r="V30" s="3" t="s">
        <v>8</v>
      </c>
      <c r="W30" s="5">
        <v>641.70000000000005</v>
      </c>
      <c r="X30" s="3">
        <v>0</v>
      </c>
      <c r="Y30" s="3">
        <v>0</v>
      </c>
      <c r="Z30" s="3">
        <v>0</v>
      </c>
      <c r="AA30" s="3">
        <v>0</v>
      </c>
      <c r="AB30" s="5">
        <v>641.70000000000005</v>
      </c>
      <c r="AD30" s="25"/>
      <c r="AE30" s="25"/>
      <c r="AF30" s="25"/>
      <c r="AG30" s="32"/>
      <c r="AH30" s="18"/>
      <c r="AI30" s="3"/>
      <c r="AJ30" s="3"/>
      <c r="AK30" s="3"/>
      <c r="AL30" s="15">
        <f t="shared" si="3"/>
        <v>0</v>
      </c>
      <c r="AM30" s="15">
        <f t="shared" si="4"/>
        <v>641.70000000000005</v>
      </c>
      <c r="AN30">
        <v>641.70000000000005</v>
      </c>
      <c r="AO30" s="15">
        <f t="shared" si="5"/>
        <v>0</v>
      </c>
    </row>
    <row r="31" spans="1:42" hidden="1" x14ac:dyDescent="0.25">
      <c r="A31" s="25">
        <v>7</v>
      </c>
      <c r="B31" s="39" t="s">
        <v>40</v>
      </c>
      <c r="C31" s="10" t="s">
        <v>1000</v>
      </c>
      <c r="D31" s="3" t="s">
        <v>41</v>
      </c>
      <c r="E31" s="3" t="s">
        <v>41</v>
      </c>
      <c r="F31" s="3" t="s">
        <v>42</v>
      </c>
      <c r="G31" s="3" t="s">
        <v>43</v>
      </c>
      <c r="H31" s="3" t="s">
        <v>14</v>
      </c>
      <c r="I31" s="3" t="s">
        <v>6</v>
      </c>
      <c r="J31" s="3"/>
      <c r="K31" s="3" t="s">
        <v>44</v>
      </c>
      <c r="L31" s="3"/>
      <c r="M31" s="3"/>
      <c r="N31" s="3" t="s">
        <v>22</v>
      </c>
      <c r="O31" s="3"/>
      <c r="P31" s="3"/>
      <c r="Q31" s="4">
        <v>46081</v>
      </c>
      <c r="R31" s="5">
        <v>255.51</v>
      </c>
      <c r="S31" s="3">
        <v>126</v>
      </c>
      <c r="T31" s="3"/>
      <c r="U31" s="3">
        <v>0</v>
      </c>
      <c r="V31" s="3" t="s">
        <v>8</v>
      </c>
      <c r="W31" s="5">
        <v>255.51</v>
      </c>
      <c r="X31" s="3">
        <v>0</v>
      </c>
      <c r="Y31" s="3">
        <v>0</v>
      </c>
      <c r="Z31" s="3">
        <v>0</v>
      </c>
      <c r="AA31" s="3">
        <v>0</v>
      </c>
      <c r="AB31" s="5">
        <v>255.51</v>
      </c>
      <c r="AD31" s="25"/>
      <c r="AE31" s="25"/>
      <c r="AF31" s="25"/>
      <c r="AG31" s="32"/>
      <c r="AH31" s="18"/>
      <c r="AI31" s="3"/>
      <c r="AJ31" s="3"/>
      <c r="AK31" s="3"/>
      <c r="AL31" s="15">
        <f t="shared" si="3"/>
        <v>0</v>
      </c>
      <c r="AM31" s="15">
        <f t="shared" si="4"/>
        <v>255.51</v>
      </c>
      <c r="AN31">
        <v>255.51</v>
      </c>
      <c r="AO31" s="15">
        <f t="shared" si="5"/>
        <v>0</v>
      </c>
    </row>
    <row r="32" spans="1:42" hidden="1" x14ac:dyDescent="0.25">
      <c r="A32" s="25">
        <v>8</v>
      </c>
      <c r="B32" s="39" t="s">
        <v>45</v>
      </c>
      <c r="C32" s="10" t="s">
        <v>1001</v>
      </c>
      <c r="D32" s="3" t="s">
        <v>46</v>
      </c>
      <c r="E32" s="3" t="s">
        <v>47</v>
      </c>
      <c r="F32" s="3" t="s">
        <v>48</v>
      </c>
      <c r="G32" s="3" t="s">
        <v>49</v>
      </c>
      <c r="H32" s="3" t="s">
        <v>14</v>
      </c>
      <c r="I32" s="3" t="s">
        <v>6</v>
      </c>
      <c r="J32" s="3" t="s">
        <v>15</v>
      </c>
      <c r="K32" s="3" t="s">
        <v>50</v>
      </c>
      <c r="L32" s="3"/>
      <c r="M32" s="3"/>
      <c r="N32" s="3"/>
      <c r="O32" s="3">
        <v>1459</v>
      </c>
      <c r="P32" s="3"/>
      <c r="Q32" s="4">
        <v>46081</v>
      </c>
      <c r="R32" s="5">
        <v>321.32</v>
      </c>
      <c r="S32" s="3">
        <v>40</v>
      </c>
      <c r="T32" s="3"/>
      <c r="U32" s="3">
        <v>0</v>
      </c>
      <c r="V32" s="3" t="s">
        <v>8</v>
      </c>
      <c r="W32" s="5">
        <v>321.32</v>
      </c>
      <c r="X32" s="3">
        <v>0</v>
      </c>
      <c r="Y32" s="3">
        <v>0</v>
      </c>
      <c r="Z32" s="3">
        <v>0</v>
      </c>
      <c r="AA32" s="3">
        <v>0</v>
      </c>
      <c r="AB32" s="5">
        <v>321.32</v>
      </c>
      <c r="AD32" s="25"/>
      <c r="AE32" s="25"/>
      <c r="AF32" s="25"/>
      <c r="AG32" s="32"/>
      <c r="AH32" s="18"/>
      <c r="AI32" s="3"/>
      <c r="AJ32" s="3"/>
      <c r="AK32" s="3"/>
      <c r="AL32" s="15">
        <f t="shared" si="3"/>
        <v>0</v>
      </c>
      <c r="AM32" s="15">
        <f t="shared" si="4"/>
        <v>321.32</v>
      </c>
      <c r="AN32">
        <v>321.32</v>
      </c>
      <c r="AO32" s="15">
        <f t="shared" si="5"/>
        <v>0</v>
      </c>
    </row>
    <row r="33" spans="1:41" hidden="1" x14ac:dyDescent="0.25">
      <c r="A33" s="25">
        <v>9</v>
      </c>
      <c r="B33" s="39" t="s">
        <v>51</v>
      </c>
      <c r="C33" s="10" t="s">
        <v>1002</v>
      </c>
      <c r="D33" s="3" t="s">
        <v>52</v>
      </c>
      <c r="E33" s="3" t="s">
        <v>53</v>
      </c>
      <c r="F33" s="3" t="s">
        <v>54</v>
      </c>
      <c r="G33" s="3" t="s">
        <v>55</v>
      </c>
      <c r="H33" s="3" t="s">
        <v>14</v>
      </c>
      <c r="I33" s="3" t="s">
        <v>6</v>
      </c>
      <c r="J33" s="3" t="s">
        <v>15</v>
      </c>
      <c r="K33" s="3" t="s">
        <v>56</v>
      </c>
      <c r="L33" s="3"/>
      <c r="M33" s="3"/>
      <c r="N33" s="3"/>
      <c r="O33" s="3">
        <v>1620</v>
      </c>
      <c r="P33" s="3"/>
      <c r="Q33" s="4">
        <v>46067</v>
      </c>
      <c r="R33" s="5">
        <v>11962.51</v>
      </c>
      <c r="S33" s="3">
        <v>203</v>
      </c>
      <c r="T33" s="3"/>
      <c r="U33" s="3">
        <v>0</v>
      </c>
      <c r="V33" s="3" t="s">
        <v>8</v>
      </c>
      <c r="W33" s="5">
        <v>11962.51</v>
      </c>
      <c r="X33" s="5">
        <v>11962.51</v>
      </c>
      <c r="Y33" s="3">
        <v>0</v>
      </c>
      <c r="Z33" s="3">
        <v>0</v>
      </c>
      <c r="AA33" s="3">
        <v>0</v>
      </c>
      <c r="AB33" s="5">
        <v>23925.02</v>
      </c>
      <c r="AD33" s="25" t="s">
        <v>1164</v>
      </c>
      <c r="AE33" s="25" t="s">
        <v>1174</v>
      </c>
      <c r="AF33" s="26">
        <v>11962.51</v>
      </c>
      <c r="AG33" s="32"/>
      <c r="AH33" s="19">
        <f>AF33</f>
        <v>11962.51</v>
      </c>
      <c r="AI33" s="3"/>
      <c r="AJ33" s="3"/>
      <c r="AK33" s="3"/>
      <c r="AL33" s="15">
        <f t="shared" si="3"/>
        <v>11962.51</v>
      </c>
      <c r="AM33" s="15">
        <f t="shared" si="4"/>
        <v>11962.51</v>
      </c>
      <c r="AN33">
        <v>11962.51</v>
      </c>
      <c r="AO33" s="15">
        <f t="shared" si="5"/>
        <v>0</v>
      </c>
    </row>
    <row r="34" spans="1:41" hidden="1" x14ac:dyDescent="0.25">
      <c r="A34" s="25">
        <v>10</v>
      </c>
      <c r="B34" s="39" t="s">
        <v>57</v>
      </c>
      <c r="C34" s="10" t="s">
        <v>1003</v>
      </c>
      <c r="D34" s="3" t="s">
        <v>58</v>
      </c>
      <c r="E34" s="3" t="s">
        <v>59</v>
      </c>
      <c r="F34" s="3" t="s">
        <v>60</v>
      </c>
      <c r="G34" s="3" t="s">
        <v>61</v>
      </c>
      <c r="H34" s="3" t="s">
        <v>14</v>
      </c>
      <c r="I34" s="3" t="s">
        <v>6</v>
      </c>
      <c r="J34" s="3"/>
      <c r="K34" s="3" t="s">
        <v>62</v>
      </c>
      <c r="L34" s="3"/>
      <c r="M34" s="3"/>
      <c r="N34" s="3"/>
      <c r="O34" s="3">
        <v>1457</v>
      </c>
      <c r="P34" s="3"/>
      <c r="Q34" s="4">
        <v>46071</v>
      </c>
      <c r="R34" s="5">
        <v>40250</v>
      </c>
      <c r="S34" s="3">
        <v>253</v>
      </c>
      <c r="T34" s="3" t="s">
        <v>63</v>
      </c>
      <c r="U34" s="3">
        <v>0</v>
      </c>
      <c r="V34" s="3" t="s">
        <v>8</v>
      </c>
      <c r="W34" s="5">
        <v>73466.600000000006</v>
      </c>
      <c r="X34" s="5">
        <v>73466.600000000006</v>
      </c>
      <c r="Y34" s="3">
        <v>0</v>
      </c>
      <c r="Z34" s="3">
        <v>0</v>
      </c>
      <c r="AA34" s="3">
        <v>0</v>
      </c>
      <c r="AB34" s="5">
        <v>146933.20000000001</v>
      </c>
      <c r="AD34" s="25" t="s">
        <v>1147</v>
      </c>
      <c r="AE34" s="25" t="s">
        <v>57</v>
      </c>
      <c r="AF34" s="26">
        <v>73466.600000000006</v>
      </c>
      <c r="AG34" s="32"/>
      <c r="AH34" s="19">
        <f>AF34</f>
        <v>73466.600000000006</v>
      </c>
      <c r="AI34" s="3"/>
      <c r="AJ34" s="3"/>
      <c r="AK34" s="3"/>
      <c r="AL34" s="15">
        <f t="shared" si="3"/>
        <v>73466.600000000006</v>
      </c>
      <c r="AM34" s="15">
        <f t="shared" si="4"/>
        <v>73466.600000000006</v>
      </c>
      <c r="AN34">
        <v>73466.600000000006</v>
      </c>
      <c r="AO34" s="15">
        <f t="shared" si="5"/>
        <v>0</v>
      </c>
    </row>
    <row r="35" spans="1:41" hidden="1" x14ac:dyDescent="0.25">
      <c r="A35" s="25">
        <v>11</v>
      </c>
      <c r="B35" s="39" t="s">
        <v>64</v>
      </c>
      <c r="C35" s="10" t="s">
        <v>1004</v>
      </c>
      <c r="D35" s="3" t="s">
        <v>65</v>
      </c>
      <c r="E35" s="3" t="s">
        <v>66</v>
      </c>
      <c r="F35" s="3"/>
      <c r="G35" s="3" t="s">
        <v>67</v>
      </c>
      <c r="H35" s="3" t="s">
        <v>14</v>
      </c>
      <c r="I35" s="3" t="s">
        <v>6</v>
      </c>
      <c r="J35" s="3"/>
      <c r="K35" s="3" t="s">
        <v>68</v>
      </c>
      <c r="L35" s="3"/>
      <c r="M35" s="3" t="s">
        <v>69</v>
      </c>
      <c r="N35" s="3" t="s">
        <v>22</v>
      </c>
      <c r="O35" s="3"/>
      <c r="P35" s="3"/>
      <c r="Q35" s="4">
        <v>46081</v>
      </c>
      <c r="R35" s="5">
        <v>284.67</v>
      </c>
      <c r="S35" s="3">
        <v>41</v>
      </c>
      <c r="T35" s="3"/>
      <c r="U35" s="3">
        <v>0</v>
      </c>
      <c r="V35" s="3" t="s">
        <v>8</v>
      </c>
      <c r="W35" s="5">
        <v>284.67</v>
      </c>
      <c r="X35" s="3">
        <v>0</v>
      </c>
      <c r="Y35" s="3">
        <v>0</v>
      </c>
      <c r="Z35" s="3">
        <v>0</v>
      </c>
      <c r="AA35" s="3">
        <v>0</v>
      </c>
      <c r="AB35" s="5">
        <v>284.67</v>
      </c>
      <c r="AD35" s="25"/>
      <c r="AE35" s="25"/>
      <c r="AF35" s="25"/>
      <c r="AG35" s="32"/>
      <c r="AH35" s="18"/>
      <c r="AI35" s="3"/>
      <c r="AJ35" s="3"/>
      <c r="AK35" s="3"/>
      <c r="AL35" s="15">
        <f t="shared" si="3"/>
        <v>0</v>
      </c>
      <c r="AM35" s="15">
        <f t="shared" si="4"/>
        <v>284.67</v>
      </c>
      <c r="AN35" s="15">
        <v>284.67</v>
      </c>
      <c r="AO35" s="15">
        <f t="shared" si="5"/>
        <v>0</v>
      </c>
    </row>
    <row r="36" spans="1:41" hidden="1" x14ac:dyDescent="0.25">
      <c r="A36" s="25">
        <v>12</v>
      </c>
      <c r="B36" s="39" t="s">
        <v>70</v>
      </c>
      <c r="C36" s="10" t="s">
        <v>30</v>
      </c>
      <c r="D36" s="3" t="s">
        <v>71</v>
      </c>
      <c r="E36" s="3" t="s">
        <v>72</v>
      </c>
      <c r="F36" s="3" t="s">
        <v>73</v>
      </c>
      <c r="G36" s="3" t="s">
        <v>74</v>
      </c>
      <c r="H36" s="3" t="s">
        <v>14</v>
      </c>
      <c r="I36" s="3" t="s">
        <v>6</v>
      </c>
      <c r="J36" s="3" t="s">
        <v>15</v>
      </c>
      <c r="K36" s="3" t="s">
        <v>75</v>
      </c>
      <c r="L36" s="3" t="s">
        <v>76</v>
      </c>
      <c r="M36" s="3" t="s">
        <v>69</v>
      </c>
      <c r="N36" s="3" t="s">
        <v>22</v>
      </c>
      <c r="O36" s="3">
        <v>2094</v>
      </c>
      <c r="P36" s="3"/>
      <c r="Q36" s="4">
        <v>46079</v>
      </c>
      <c r="R36" s="5">
        <v>147.16999999999999</v>
      </c>
      <c r="S36" s="3">
        <v>39</v>
      </c>
      <c r="T36" s="3"/>
      <c r="U36" s="3">
        <v>0</v>
      </c>
      <c r="V36" s="3" t="s">
        <v>8</v>
      </c>
      <c r="W36" s="5">
        <v>147.16999999999999</v>
      </c>
      <c r="X36" s="3">
        <v>0</v>
      </c>
      <c r="Y36" s="3">
        <v>0</v>
      </c>
      <c r="Z36" s="3">
        <v>0</v>
      </c>
      <c r="AA36" s="3">
        <v>0</v>
      </c>
      <c r="AB36" s="5">
        <v>147.16999999999999</v>
      </c>
      <c r="AD36" s="25"/>
      <c r="AE36" s="25"/>
      <c r="AF36" s="25"/>
      <c r="AG36" s="32"/>
      <c r="AH36" s="18"/>
      <c r="AI36" s="3"/>
      <c r="AJ36" s="3"/>
      <c r="AK36" s="3"/>
      <c r="AL36" s="15">
        <f t="shared" si="3"/>
        <v>0</v>
      </c>
      <c r="AM36" s="15">
        <f t="shared" si="4"/>
        <v>147.16999999999999</v>
      </c>
      <c r="AN36" s="15">
        <f t="shared" ref="AN36:AN48" si="6">AM36</f>
        <v>147.16999999999999</v>
      </c>
      <c r="AO36" s="15">
        <f t="shared" si="5"/>
        <v>0</v>
      </c>
    </row>
    <row r="37" spans="1:41" hidden="1" x14ac:dyDescent="0.25">
      <c r="A37" s="25">
        <v>14</v>
      </c>
      <c r="B37" s="39" t="s">
        <v>84</v>
      </c>
      <c r="C37" s="10" t="s">
        <v>1006</v>
      </c>
      <c r="D37" s="3" t="s">
        <v>85</v>
      </c>
      <c r="E37" s="3" t="s">
        <v>86</v>
      </c>
      <c r="F37" s="3"/>
      <c r="G37" s="3" t="s">
        <v>87</v>
      </c>
      <c r="H37" s="3" t="s">
        <v>14</v>
      </c>
      <c r="I37" s="3" t="s">
        <v>6</v>
      </c>
      <c r="J37" s="3" t="s">
        <v>15</v>
      </c>
      <c r="K37" s="3" t="s">
        <v>88</v>
      </c>
      <c r="L37" s="3"/>
      <c r="M37" s="3"/>
      <c r="N37" s="3"/>
      <c r="O37" s="3">
        <v>2041</v>
      </c>
      <c r="P37" s="3"/>
      <c r="Q37" s="4">
        <v>46081</v>
      </c>
      <c r="R37" s="5">
        <v>204.7</v>
      </c>
      <c r="S37" s="3">
        <v>102</v>
      </c>
      <c r="T37" s="3"/>
      <c r="U37" s="3">
        <v>0</v>
      </c>
      <c r="V37" s="3" t="s">
        <v>8</v>
      </c>
      <c r="W37" s="5">
        <v>204.69</v>
      </c>
      <c r="X37" s="3">
        <v>0</v>
      </c>
      <c r="Y37" s="3">
        <v>0</v>
      </c>
      <c r="Z37" s="3">
        <v>0</v>
      </c>
      <c r="AA37" s="3">
        <v>0.01</v>
      </c>
      <c r="AB37" s="5">
        <v>204.7</v>
      </c>
      <c r="AD37" s="25"/>
      <c r="AE37" s="25"/>
      <c r="AF37" s="25"/>
      <c r="AG37" s="32"/>
      <c r="AH37" s="18"/>
      <c r="AI37" s="3"/>
      <c r="AJ37" s="3"/>
      <c r="AK37" s="3"/>
      <c r="AL37" s="15">
        <f t="shared" si="3"/>
        <v>0</v>
      </c>
      <c r="AM37" s="15">
        <f t="shared" si="4"/>
        <v>204.7</v>
      </c>
      <c r="AN37" s="15">
        <f t="shared" si="6"/>
        <v>204.7</v>
      </c>
      <c r="AO37" s="15">
        <f t="shared" si="5"/>
        <v>0</v>
      </c>
    </row>
    <row r="38" spans="1:41" hidden="1" x14ac:dyDescent="0.25">
      <c r="A38" s="25">
        <v>18</v>
      </c>
      <c r="B38" s="39" t="s">
        <v>95</v>
      </c>
      <c r="C38" s="10" t="s">
        <v>30</v>
      </c>
      <c r="D38" s="3" t="s">
        <v>96</v>
      </c>
      <c r="E38" s="3" t="s">
        <v>97</v>
      </c>
      <c r="F38" s="3" t="s">
        <v>92</v>
      </c>
      <c r="G38" s="3" t="s">
        <v>93</v>
      </c>
      <c r="H38" s="3" t="s">
        <v>14</v>
      </c>
      <c r="I38" s="3" t="s">
        <v>6</v>
      </c>
      <c r="J38" s="3"/>
      <c r="K38" s="3" t="s">
        <v>94</v>
      </c>
      <c r="L38" s="3"/>
      <c r="M38" s="3"/>
      <c r="N38" s="3" t="s">
        <v>22</v>
      </c>
      <c r="O38" s="3"/>
      <c r="P38" s="3"/>
      <c r="Q38" s="4">
        <v>46081</v>
      </c>
      <c r="R38" s="5">
        <v>1122.4000000000001</v>
      </c>
      <c r="S38" s="3">
        <v>116</v>
      </c>
      <c r="T38" s="3"/>
      <c r="U38" s="3">
        <v>0</v>
      </c>
      <c r="V38" s="3" t="s">
        <v>8</v>
      </c>
      <c r="W38" s="5">
        <v>1122.4000000000001</v>
      </c>
      <c r="X38" s="3">
        <v>0</v>
      </c>
      <c r="Y38" s="3">
        <v>0</v>
      </c>
      <c r="Z38" s="3">
        <v>0</v>
      </c>
      <c r="AA38" s="3">
        <v>0</v>
      </c>
      <c r="AB38" s="5">
        <v>1122.4000000000001</v>
      </c>
      <c r="AD38" s="25"/>
      <c r="AE38" s="25"/>
      <c r="AF38" s="25"/>
      <c r="AG38" s="32"/>
      <c r="AH38" s="18"/>
      <c r="AI38" s="3"/>
      <c r="AJ38" s="3"/>
      <c r="AK38" s="3"/>
      <c r="AL38" s="15">
        <f t="shared" si="3"/>
        <v>0</v>
      </c>
      <c r="AM38" s="15">
        <f t="shared" si="4"/>
        <v>1122.4000000000001</v>
      </c>
      <c r="AN38" s="15">
        <f t="shared" si="6"/>
        <v>1122.4000000000001</v>
      </c>
      <c r="AO38" s="15">
        <f t="shared" si="5"/>
        <v>0</v>
      </c>
    </row>
    <row r="39" spans="1:41" hidden="1" x14ac:dyDescent="0.25">
      <c r="A39" s="25">
        <v>19</v>
      </c>
      <c r="B39" s="39" t="s">
        <v>98</v>
      </c>
      <c r="C39" s="10" t="s">
        <v>1008</v>
      </c>
      <c r="D39" s="3" t="s">
        <v>99</v>
      </c>
      <c r="E39" s="3" t="s">
        <v>100</v>
      </c>
      <c r="F39" s="3" t="s">
        <v>101</v>
      </c>
      <c r="G39" s="3" t="s">
        <v>102</v>
      </c>
      <c r="H39" s="3" t="s">
        <v>14</v>
      </c>
      <c r="I39" s="3" t="s">
        <v>6</v>
      </c>
      <c r="J39" s="3" t="s">
        <v>15</v>
      </c>
      <c r="K39" s="3" t="s">
        <v>103</v>
      </c>
      <c r="L39" s="3"/>
      <c r="M39" s="3"/>
      <c r="N39" s="3" t="s">
        <v>22</v>
      </c>
      <c r="O39" s="3"/>
      <c r="P39" s="3"/>
      <c r="Q39" s="4">
        <v>46081</v>
      </c>
      <c r="R39" s="5">
        <v>2390.2600000000002</v>
      </c>
      <c r="S39" s="3">
        <v>226</v>
      </c>
      <c r="T39" s="3"/>
      <c r="U39" s="3">
        <v>0</v>
      </c>
      <c r="V39" s="3" t="s">
        <v>8</v>
      </c>
      <c r="W39" s="5">
        <v>2390.2600000000002</v>
      </c>
      <c r="X39" s="3">
        <v>0</v>
      </c>
      <c r="Y39" s="3">
        <v>0</v>
      </c>
      <c r="Z39" s="3">
        <v>0</v>
      </c>
      <c r="AA39" s="3">
        <v>0</v>
      </c>
      <c r="AB39" s="5">
        <v>2390.2600000000002</v>
      </c>
      <c r="AD39" s="25"/>
      <c r="AE39" s="25"/>
      <c r="AF39" s="25"/>
      <c r="AG39" s="32"/>
      <c r="AH39" s="18"/>
      <c r="AI39" s="3"/>
      <c r="AJ39" s="3"/>
      <c r="AK39" s="3"/>
      <c r="AL39" s="15">
        <f t="shared" si="3"/>
        <v>0</v>
      </c>
      <c r="AM39" s="15">
        <f t="shared" si="4"/>
        <v>2390.2600000000002</v>
      </c>
      <c r="AN39" s="15">
        <f t="shared" si="6"/>
        <v>2390.2600000000002</v>
      </c>
      <c r="AO39" s="15">
        <f t="shared" si="5"/>
        <v>0</v>
      </c>
    </row>
    <row r="40" spans="1:41" hidden="1" x14ac:dyDescent="0.25">
      <c r="A40" s="25">
        <v>20</v>
      </c>
      <c r="B40" s="39" t="s">
        <v>104</v>
      </c>
      <c r="C40" s="10" t="s">
        <v>1009</v>
      </c>
      <c r="D40" s="3" t="s">
        <v>105</v>
      </c>
      <c r="E40" s="3" t="s">
        <v>106</v>
      </c>
      <c r="F40" s="3" t="s">
        <v>107</v>
      </c>
      <c r="G40" s="3" t="s">
        <v>108</v>
      </c>
      <c r="H40" s="3" t="s">
        <v>14</v>
      </c>
      <c r="I40" s="3" t="s">
        <v>6</v>
      </c>
      <c r="J40" s="3" t="s">
        <v>15</v>
      </c>
      <c r="K40" s="3" t="s">
        <v>109</v>
      </c>
      <c r="L40" s="3"/>
      <c r="M40" s="3"/>
      <c r="N40" s="3" t="s">
        <v>22</v>
      </c>
      <c r="O40" s="3"/>
      <c r="P40" s="3"/>
      <c r="Q40" s="4">
        <v>46081</v>
      </c>
      <c r="R40" s="5">
        <v>1940.51</v>
      </c>
      <c r="S40" s="3">
        <v>67</v>
      </c>
      <c r="T40" s="3"/>
      <c r="U40" s="3">
        <v>0</v>
      </c>
      <c r="V40" s="3" t="s">
        <v>8</v>
      </c>
      <c r="W40" s="5">
        <v>1940.51</v>
      </c>
      <c r="X40" s="3">
        <v>0</v>
      </c>
      <c r="Y40" s="3">
        <v>0</v>
      </c>
      <c r="Z40" s="3">
        <v>0</v>
      </c>
      <c r="AA40" s="3">
        <v>0</v>
      </c>
      <c r="AB40" s="5">
        <v>1940.51</v>
      </c>
      <c r="AD40" s="25"/>
      <c r="AE40" s="25"/>
      <c r="AF40" s="25"/>
      <c r="AG40" s="32"/>
      <c r="AH40" s="18"/>
      <c r="AI40" s="3"/>
      <c r="AJ40" s="3"/>
      <c r="AK40" s="3"/>
      <c r="AL40" s="15">
        <f t="shared" si="3"/>
        <v>0</v>
      </c>
      <c r="AM40" s="15">
        <f t="shared" si="4"/>
        <v>1940.51</v>
      </c>
      <c r="AN40" s="15">
        <f t="shared" si="6"/>
        <v>1940.51</v>
      </c>
      <c r="AO40" s="15">
        <f t="shared" si="5"/>
        <v>0</v>
      </c>
    </row>
    <row r="41" spans="1:41" hidden="1" x14ac:dyDescent="0.25">
      <c r="A41" s="25">
        <v>21</v>
      </c>
      <c r="B41" s="39" t="s">
        <v>110</v>
      </c>
      <c r="C41" s="10"/>
      <c r="D41" s="3" t="s">
        <v>111</v>
      </c>
      <c r="E41" s="3" t="s">
        <v>111</v>
      </c>
      <c r="F41" s="3"/>
      <c r="G41" s="3" t="s">
        <v>112</v>
      </c>
      <c r="H41" s="3" t="s">
        <v>14</v>
      </c>
      <c r="I41" s="3" t="s">
        <v>6</v>
      </c>
      <c r="J41" s="3"/>
      <c r="K41" s="3" t="s">
        <v>113</v>
      </c>
      <c r="L41" s="3"/>
      <c r="M41" s="3"/>
      <c r="N41" s="3" t="s">
        <v>22</v>
      </c>
      <c r="O41" s="3"/>
      <c r="P41" s="3"/>
      <c r="Q41" s="4">
        <v>46079</v>
      </c>
      <c r="R41" s="5">
        <v>79.349999999999994</v>
      </c>
      <c r="S41" s="3">
        <v>64</v>
      </c>
      <c r="T41" s="3"/>
      <c r="U41" s="3">
        <v>0</v>
      </c>
      <c r="V41" s="3" t="s">
        <v>8</v>
      </c>
      <c r="W41" s="5">
        <v>79.349999999999994</v>
      </c>
      <c r="X41" s="3">
        <v>0</v>
      </c>
      <c r="Y41" s="3">
        <v>0</v>
      </c>
      <c r="Z41" s="3">
        <v>0</v>
      </c>
      <c r="AA41" s="3">
        <v>0</v>
      </c>
      <c r="AB41" s="5">
        <v>79.349999999999994</v>
      </c>
      <c r="AD41" s="25"/>
      <c r="AE41" s="25"/>
      <c r="AF41" s="25"/>
      <c r="AG41" s="32"/>
      <c r="AH41" s="18"/>
      <c r="AI41" s="3"/>
      <c r="AJ41" s="3"/>
      <c r="AK41" s="3"/>
      <c r="AL41" s="15">
        <f t="shared" si="3"/>
        <v>0</v>
      </c>
      <c r="AM41" s="15">
        <f t="shared" si="4"/>
        <v>79.349999999999994</v>
      </c>
      <c r="AN41" s="15">
        <f t="shared" si="6"/>
        <v>79.349999999999994</v>
      </c>
      <c r="AO41" s="15">
        <f t="shared" si="5"/>
        <v>0</v>
      </c>
    </row>
    <row r="42" spans="1:41" hidden="1" x14ac:dyDescent="0.25">
      <c r="A42" s="25">
        <v>22</v>
      </c>
      <c r="B42" s="39" t="s">
        <v>114</v>
      </c>
      <c r="C42" s="10"/>
      <c r="D42" s="3" t="s">
        <v>115</v>
      </c>
      <c r="E42" s="3" t="s">
        <v>115</v>
      </c>
      <c r="F42" s="6" t="s">
        <v>116</v>
      </c>
      <c r="G42" s="3" t="s">
        <v>117</v>
      </c>
      <c r="H42" s="3" t="s">
        <v>14</v>
      </c>
      <c r="I42" s="3" t="s">
        <v>6</v>
      </c>
      <c r="J42" s="3" t="s">
        <v>15</v>
      </c>
      <c r="K42" s="3" t="s">
        <v>118</v>
      </c>
      <c r="L42" s="3"/>
      <c r="M42" s="3"/>
      <c r="N42" s="3"/>
      <c r="O42" s="3"/>
      <c r="P42" s="3"/>
      <c r="Q42" s="4">
        <v>46081</v>
      </c>
      <c r="R42" s="5">
        <v>734.3</v>
      </c>
      <c r="S42" s="3">
        <v>73</v>
      </c>
      <c r="T42" s="3"/>
      <c r="U42" s="3">
        <v>0</v>
      </c>
      <c r="V42" s="3" t="s">
        <v>8</v>
      </c>
      <c r="W42" s="5">
        <v>734.3</v>
      </c>
      <c r="X42" s="3">
        <v>0</v>
      </c>
      <c r="Y42" s="3">
        <v>0</v>
      </c>
      <c r="Z42" s="3">
        <v>0</v>
      </c>
      <c r="AA42" s="3">
        <v>0</v>
      </c>
      <c r="AB42" s="5">
        <v>734.3</v>
      </c>
      <c r="AD42" s="25"/>
      <c r="AE42" s="25"/>
      <c r="AF42" s="25"/>
      <c r="AG42" s="32"/>
      <c r="AH42" s="18"/>
      <c r="AI42" s="3"/>
      <c r="AJ42" s="3"/>
      <c r="AK42" s="3"/>
      <c r="AL42" s="15">
        <f t="shared" si="3"/>
        <v>0</v>
      </c>
      <c r="AM42" s="15">
        <f t="shared" si="4"/>
        <v>734.3</v>
      </c>
      <c r="AN42" s="15">
        <f t="shared" si="6"/>
        <v>734.3</v>
      </c>
      <c r="AO42" s="15">
        <f t="shared" si="5"/>
        <v>0</v>
      </c>
    </row>
    <row r="43" spans="1:41" hidden="1" x14ac:dyDescent="0.25">
      <c r="A43" s="25">
        <v>23</v>
      </c>
      <c r="B43" s="39" t="s">
        <v>119</v>
      </c>
      <c r="C43" s="10" t="s">
        <v>1010</v>
      </c>
      <c r="D43" s="3" t="s">
        <v>120</v>
      </c>
      <c r="E43" s="3" t="s">
        <v>120</v>
      </c>
      <c r="F43" s="3"/>
      <c r="G43" s="3" t="s">
        <v>121</v>
      </c>
      <c r="H43" s="3" t="s">
        <v>14</v>
      </c>
      <c r="I43" s="3" t="s">
        <v>6</v>
      </c>
      <c r="J43" s="3" t="s">
        <v>15</v>
      </c>
      <c r="K43" s="3" t="s">
        <v>122</v>
      </c>
      <c r="L43" s="3"/>
      <c r="M43" s="3"/>
      <c r="N43" s="3" t="s">
        <v>22</v>
      </c>
      <c r="O43" s="3"/>
      <c r="P43" s="3"/>
      <c r="Q43" s="4">
        <v>46079</v>
      </c>
      <c r="R43" s="5">
        <v>79.349999999999994</v>
      </c>
      <c r="S43" s="3">
        <v>46</v>
      </c>
      <c r="T43" s="3"/>
      <c r="U43" s="3">
        <v>0</v>
      </c>
      <c r="V43" s="3" t="s">
        <v>8</v>
      </c>
      <c r="W43" s="3">
        <v>0</v>
      </c>
      <c r="X43" s="3">
        <v>0</v>
      </c>
      <c r="Y43" s="3">
        <v>0</v>
      </c>
      <c r="Z43" s="3">
        <v>0</v>
      </c>
      <c r="AA43" s="5">
        <v>79.349999999999994</v>
      </c>
      <c r="AB43" s="5">
        <v>79.349999999999994</v>
      </c>
      <c r="AD43" s="25"/>
      <c r="AE43" s="25"/>
      <c r="AF43" s="25"/>
      <c r="AG43" s="32"/>
      <c r="AH43" s="18"/>
      <c r="AI43" s="3"/>
      <c r="AJ43" s="3"/>
      <c r="AK43" s="5"/>
      <c r="AL43" s="15">
        <f t="shared" si="3"/>
        <v>0</v>
      </c>
      <c r="AM43" s="15">
        <f t="shared" si="4"/>
        <v>79.349999999999994</v>
      </c>
      <c r="AN43" s="15">
        <f t="shared" si="6"/>
        <v>79.349999999999994</v>
      </c>
      <c r="AO43" s="15">
        <f t="shared" si="5"/>
        <v>0</v>
      </c>
    </row>
    <row r="44" spans="1:41" hidden="1" x14ac:dyDescent="0.25">
      <c r="A44" s="25">
        <v>24</v>
      </c>
      <c r="B44" s="39" t="s">
        <v>123</v>
      </c>
      <c r="C44" s="10" t="s">
        <v>1011</v>
      </c>
      <c r="D44" s="3" t="s">
        <v>124</v>
      </c>
      <c r="E44" s="3" t="s">
        <v>125</v>
      </c>
      <c r="F44" s="3" t="s">
        <v>126</v>
      </c>
      <c r="G44" s="3" t="s">
        <v>127</v>
      </c>
      <c r="H44" s="3" t="s">
        <v>14</v>
      </c>
      <c r="I44" s="3" t="s">
        <v>6</v>
      </c>
      <c r="J44" s="3" t="s">
        <v>15</v>
      </c>
      <c r="K44" s="3" t="s">
        <v>128</v>
      </c>
      <c r="L44" s="3"/>
      <c r="M44" s="3"/>
      <c r="N44" s="3"/>
      <c r="O44" s="3">
        <v>1715</v>
      </c>
      <c r="P44" s="3"/>
      <c r="Q44" s="4">
        <v>46081</v>
      </c>
      <c r="R44" s="5">
        <v>1949.08</v>
      </c>
      <c r="S44" s="3">
        <v>122</v>
      </c>
      <c r="T44" s="3"/>
      <c r="U44" s="3">
        <v>0</v>
      </c>
      <c r="V44" s="3" t="s">
        <v>8</v>
      </c>
      <c r="W44" s="5">
        <v>1949.08</v>
      </c>
      <c r="X44" s="3">
        <v>0</v>
      </c>
      <c r="Y44" s="3">
        <v>0</v>
      </c>
      <c r="Z44" s="3">
        <v>0</v>
      </c>
      <c r="AA44" s="3">
        <v>0</v>
      </c>
      <c r="AB44" s="5">
        <v>1949.08</v>
      </c>
      <c r="AD44" s="25"/>
      <c r="AE44" s="25"/>
      <c r="AF44" s="25"/>
      <c r="AG44" s="32"/>
      <c r="AH44" s="18"/>
      <c r="AI44" s="3"/>
      <c r="AJ44" s="3"/>
      <c r="AK44" s="3"/>
      <c r="AL44" s="15">
        <f t="shared" si="3"/>
        <v>0</v>
      </c>
      <c r="AM44" s="15">
        <f t="shared" si="4"/>
        <v>1949.08</v>
      </c>
      <c r="AN44" s="15">
        <f t="shared" si="6"/>
        <v>1949.08</v>
      </c>
      <c r="AO44" s="15">
        <f t="shared" si="5"/>
        <v>0</v>
      </c>
    </row>
    <row r="45" spans="1:41" hidden="1" x14ac:dyDescent="0.25">
      <c r="A45" s="25">
        <v>25</v>
      </c>
      <c r="B45" s="39" t="s">
        <v>129</v>
      </c>
      <c r="C45" s="10"/>
      <c r="D45" s="3" t="s">
        <v>130</v>
      </c>
      <c r="E45" s="3" t="s">
        <v>130</v>
      </c>
      <c r="F45" s="3" t="s">
        <v>131</v>
      </c>
      <c r="G45" s="3" t="s">
        <v>132</v>
      </c>
      <c r="H45" s="3" t="s">
        <v>14</v>
      </c>
      <c r="I45" s="3" t="s">
        <v>6</v>
      </c>
      <c r="J45" s="3" t="s">
        <v>15</v>
      </c>
      <c r="K45" s="3" t="s">
        <v>133</v>
      </c>
      <c r="L45" s="3"/>
      <c r="M45" s="3"/>
      <c r="N45" s="3" t="s">
        <v>22</v>
      </c>
      <c r="O45" s="3"/>
      <c r="P45" s="3"/>
      <c r="Q45" s="4">
        <v>46081</v>
      </c>
      <c r="R45" s="5">
        <v>153.53</v>
      </c>
      <c r="S45" s="3">
        <v>57</v>
      </c>
      <c r="T45" s="3"/>
      <c r="U45" s="3">
        <v>0</v>
      </c>
      <c r="V45" s="3" t="s">
        <v>8</v>
      </c>
      <c r="W45" s="5">
        <v>153.53</v>
      </c>
      <c r="X45" s="3">
        <v>0</v>
      </c>
      <c r="Y45" s="3">
        <v>0</v>
      </c>
      <c r="Z45" s="3">
        <v>0</v>
      </c>
      <c r="AA45" s="3">
        <v>0</v>
      </c>
      <c r="AB45" s="5">
        <v>153.53</v>
      </c>
      <c r="AD45" s="25"/>
      <c r="AE45" s="25"/>
      <c r="AF45" s="25"/>
      <c r="AG45" s="32"/>
      <c r="AH45" s="18"/>
      <c r="AI45" s="3"/>
      <c r="AJ45" s="3"/>
      <c r="AK45" s="3"/>
      <c r="AL45" s="15">
        <f t="shared" si="3"/>
        <v>0</v>
      </c>
      <c r="AM45" s="15">
        <f t="shared" si="4"/>
        <v>153.53</v>
      </c>
      <c r="AN45" s="15">
        <f t="shared" si="6"/>
        <v>153.53</v>
      </c>
      <c r="AO45" s="15">
        <f t="shared" si="5"/>
        <v>0</v>
      </c>
    </row>
    <row r="46" spans="1:41" hidden="1" x14ac:dyDescent="0.25">
      <c r="A46" s="25">
        <v>26</v>
      </c>
      <c r="B46" s="39">
        <v>1126</v>
      </c>
      <c r="C46" s="10" t="s">
        <v>1012</v>
      </c>
      <c r="D46" s="3" t="s">
        <v>134</v>
      </c>
      <c r="E46" s="3" t="s">
        <v>135</v>
      </c>
      <c r="F46" s="3" t="s">
        <v>136</v>
      </c>
      <c r="G46" s="3" t="s">
        <v>137</v>
      </c>
      <c r="H46" s="3" t="s">
        <v>14</v>
      </c>
      <c r="I46" s="3" t="s">
        <v>6</v>
      </c>
      <c r="J46" s="3" t="s">
        <v>15</v>
      </c>
      <c r="K46" s="3" t="s">
        <v>138</v>
      </c>
      <c r="L46" s="3" t="s">
        <v>76</v>
      </c>
      <c r="M46" s="3" t="s">
        <v>69</v>
      </c>
      <c r="N46" s="3" t="s">
        <v>22</v>
      </c>
      <c r="O46" s="3">
        <v>1401</v>
      </c>
      <c r="P46" s="3"/>
      <c r="Q46" s="4">
        <v>46081</v>
      </c>
      <c r="R46" s="5">
        <v>354.66</v>
      </c>
      <c r="S46" s="3">
        <v>67</v>
      </c>
      <c r="T46" s="3"/>
      <c r="U46" s="3">
        <v>0</v>
      </c>
      <c r="V46" s="3" t="s">
        <v>8</v>
      </c>
      <c r="W46" s="5">
        <v>354.66</v>
      </c>
      <c r="X46" s="3">
        <v>0</v>
      </c>
      <c r="Y46" s="3">
        <v>0</v>
      </c>
      <c r="Z46" s="3">
        <v>0</v>
      </c>
      <c r="AA46" s="3">
        <v>0</v>
      </c>
      <c r="AB46" s="5">
        <v>354.66</v>
      </c>
      <c r="AD46" s="25"/>
      <c r="AE46" s="25"/>
      <c r="AF46" s="25"/>
      <c r="AG46" s="32"/>
      <c r="AH46" s="18"/>
      <c r="AI46" s="3"/>
      <c r="AJ46" s="3"/>
      <c r="AK46" s="3"/>
      <c r="AL46" s="15">
        <f t="shared" si="3"/>
        <v>0</v>
      </c>
      <c r="AM46" s="15">
        <f t="shared" si="4"/>
        <v>354.66</v>
      </c>
      <c r="AN46" s="15">
        <f t="shared" si="6"/>
        <v>354.66</v>
      </c>
      <c r="AO46" s="15">
        <f t="shared" si="5"/>
        <v>0</v>
      </c>
    </row>
    <row r="47" spans="1:41" hidden="1" x14ac:dyDescent="0.25">
      <c r="A47" s="25">
        <v>27</v>
      </c>
      <c r="B47" s="39" t="s">
        <v>139</v>
      </c>
      <c r="C47" s="10" t="s">
        <v>1013</v>
      </c>
      <c r="D47" s="3" t="s">
        <v>140</v>
      </c>
      <c r="E47" s="3" t="s">
        <v>140</v>
      </c>
      <c r="F47" s="3" t="s">
        <v>141</v>
      </c>
      <c r="G47" s="3" t="s">
        <v>142</v>
      </c>
      <c r="H47" s="3" t="s">
        <v>14</v>
      </c>
      <c r="I47" s="3" t="s">
        <v>6</v>
      </c>
      <c r="J47" s="3" t="s">
        <v>15</v>
      </c>
      <c r="K47" s="3" t="s">
        <v>143</v>
      </c>
      <c r="L47" s="3"/>
      <c r="M47" s="3"/>
      <c r="N47" s="3" t="s">
        <v>22</v>
      </c>
      <c r="O47" s="3"/>
      <c r="P47" s="3"/>
      <c r="Q47" s="4">
        <v>46010</v>
      </c>
      <c r="R47" s="5">
        <v>2000</v>
      </c>
      <c r="S47" s="3">
        <v>84</v>
      </c>
      <c r="T47" s="3"/>
      <c r="U47" s="3">
        <v>0</v>
      </c>
      <c r="V47" s="3" t="s">
        <v>8</v>
      </c>
      <c r="W47" s="5">
        <v>655.49</v>
      </c>
      <c r="X47" s="5">
        <v>655.49</v>
      </c>
      <c r="Y47" s="5">
        <v>640.51</v>
      </c>
      <c r="Z47" s="3">
        <v>0</v>
      </c>
      <c r="AA47" s="3">
        <v>0</v>
      </c>
      <c r="AB47" s="5">
        <v>1951.49</v>
      </c>
      <c r="AD47" s="25"/>
      <c r="AE47" s="25"/>
      <c r="AF47" s="25"/>
      <c r="AG47" s="32"/>
      <c r="AH47" s="19"/>
      <c r="AI47" s="5"/>
      <c r="AJ47" s="3"/>
      <c r="AK47" s="3"/>
      <c r="AL47" s="15">
        <f t="shared" si="3"/>
        <v>0</v>
      </c>
      <c r="AM47" s="15">
        <f t="shared" si="4"/>
        <v>1951.49</v>
      </c>
      <c r="AN47" s="15">
        <f t="shared" si="6"/>
        <v>1951.49</v>
      </c>
      <c r="AO47" s="15">
        <f t="shared" si="5"/>
        <v>0</v>
      </c>
    </row>
    <row r="48" spans="1:41" hidden="1" x14ac:dyDescent="0.25">
      <c r="A48" s="25">
        <v>28</v>
      </c>
      <c r="B48" s="39" t="s">
        <v>144</v>
      </c>
      <c r="C48" s="10" t="s">
        <v>1014</v>
      </c>
      <c r="D48" s="3" t="s">
        <v>145</v>
      </c>
      <c r="E48" s="3" t="s">
        <v>145</v>
      </c>
      <c r="F48" s="3" t="s">
        <v>146</v>
      </c>
      <c r="G48" s="3" t="s">
        <v>147</v>
      </c>
      <c r="H48" s="3" t="s">
        <v>14</v>
      </c>
      <c r="I48" s="3" t="s">
        <v>6</v>
      </c>
      <c r="J48" s="3" t="s">
        <v>15</v>
      </c>
      <c r="K48" s="3" t="s">
        <v>148</v>
      </c>
      <c r="L48" s="3"/>
      <c r="M48" s="3"/>
      <c r="N48" s="3" t="s">
        <v>22</v>
      </c>
      <c r="O48" s="3"/>
      <c r="P48" s="3"/>
      <c r="Q48" s="4">
        <v>45772</v>
      </c>
      <c r="R48" s="3">
        <v>0</v>
      </c>
      <c r="S48" s="3">
        <v>60</v>
      </c>
      <c r="T48" s="3"/>
      <c r="U48" s="3">
        <v>0</v>
      </c>
      <c r="V48" s="3" t="s">
        <v>8</v>
      </c>
      <c r="W48" s="5">
        <v>967.52</v>
      </c>
      <c r="X48" s="5">
        <v>857.11</v>
      </c>
      <c r="Y48" s="3">
        <v>0</v>
      </c>
      <c r="Z48" s="3">
        <v>0</v>
      </c>
      <c r="AA48" s="5">
        <v>-11.45</v>
      </c>
      <c r="AB48" s="5">
        <v>1813.18</v>
      </c>
      <c r="AD48" s="25"/>
      <c r="AE48" s="25"/>
      <c r="AF48" s="25"/>
      <c r="AG48" s="32"/>
      <c r="AH48" s="19"/>
      <c r="AI48" s="3"/>
      <c r="AJ48" s="3"/>
      <c r="AK48" s="5"/>
      <c r="AL48" s="15">
        <f t="shared" si="3"/>
        <v>0</v>
      </c>
      <c r="AM48" s="15">
        <f t="shared" si="4"/>
        <v>1813.18</v>
      </c>
      <c r="AN48" s="15">
        <f t="shared" si="6"/>
        <v>1813.18</v>
      </c>
      <c r="AO48" s="15">
        <f t="shared" si="5"/>
        <v>0</v>
      </c>
    </row>
    <row r="49" spans="1:41" hidden="1" x14ac:dyDescent="0.25">
      <c r="A49" s="25">
        <v>29</v>
      </c>
      <c r="B49" s="39" t="s">
        <v>149</v>
      </c>
      <c r="C49" s="10" t="s">
        <v>1015</v>
      </c>
      <c r="D49" s="3" t="s">
        <v>150</v>
      </c>
      <c r="E49" s="3" t="s">
        <v>151</v>
      </c>
      <c r="F49" s="3"/>
      <c r="G49" s="3" t="s">
        <v>152</v>
      </c>
      <c r="H49" s="3" t="s">
        <v>14</v>
      </c>
      <c r="I49" s="3" t="s">
        <v>6</v>
      </c>
      <c r="J49" s="3"/>
      <c r="K49" s="3" t="s">
        <v>153</v>
      </c>
      <c r="L49" s="3"/>
      <c r="M49" s="3"/>
      <c r="N49" s="3" t="s">
        <v>22</v>
      </c>
      <c r="O49" s="3"/>
      <c r="P49" s="3"/>
      <c r="Q49" s="4">
        <v>46060</v>
      </c>
      <c r="R49" s="5">
        <v>13511</v>
      </c>
      <c r="S49" s="3">
        <v>79</v>
      </c>
      <c r="T49" s="3"/>
      <c r="U49" s="3">
        <v>0</v>
      </c>
      <c r="V49" s="3" t="s">
        <v>8</v>
      </c>
      <c r="W49" s="5">
        <v>13511</v>
      </c>
      <c r="X49" s="5">
        <v>13511</v>
      </c>
      <c r="Y49" s="3">
        <v>0</v>
      </c>
      <c r="Z49" s="3">
        <v>0</v>
      </c>
      <c r="AA49" s="3">
        <v>0</v>
      </c>
      <c r="AB49" s="5">
        <v>27022</v>
      </c>
      <c r="AD49" s="25" t="s">
        <v>1151</v>
      </c>
      <c r="AE49" s="25" t="s">
        <v>150</v>
      </c>
      <c r="AF49" s="26">
        <v>13511</v>
      </c>
      <c r="AG49" s="32"/>
      <c r="AH49" s="19">
        <f>AF49</f>
        <v>13511</v>
      </c>
      <c r="AI49" s="3"/>
      <c r="AJ49" s="3"/>
      <c r="AK49" s="3"/>
      <c r="AL49" s="15">
        <f t="shared" ref="AL49:AL80" si="7">AH49+AI49+AJ49+AK49+AG49</f>
        <v>13511</v>
      </c>
      <c r="AM49" s="15">
        <f t="shared" ref="AM49:AM80" si="8">AB49-AL49</f>
        <v>13511</v>
      </c>
      <c r="AN49">
        <v>13511</v>
      </c>
      <c r="AO49" s="15">
        <f t="shared" ref="AO49:AO80" si="9">AM49-AN49</f>
        <v>0</v>
      </c>
    </row>
    <row r="50" spans="1:41" hidden="1" x14ac:dyDescent="0.25">
      <c r="A50" s="25">
        <v>30</v>
      </c>
      <c r="B50" s="39" t="s">
        <v>154</v>
      </c>
      <c r="C50" s="10" t="s">
        <v>1016</v>
      </c>
      <c r="D50" s="3" t="s">
        <v>155</v>
      </c>
      <c r="E50" s="3" t="s">
        <v>156</v>
      </c>
      <c r="F50" s="3" t="s">
        <v>157</v>
      </c>
      <c r="G50" s="3" t="s">
        <v>158</v>
      </c>
      <c r="H50" s="3" t="s">
        <v>14</v>
      </c>
      <c r="I50" s="3" t="s">
        <v>6</v>
      </c>
      <c r="J50" s="3"/>
      <c r="K50" s="3" t="s">
        <v>159</v>
      </c>
      <c r="L50" s="3"/>
      <c r="M50" s="3"/>
      <c r="N50" s="3" t="s">
        <v>22</v>
      </c>
      <c r="O50" s="3"/>
      <c r="P50" s="3"/>
      <c r="Q50" s="4">
        <v>46058</v>
      </c>
      <c r="R50" s="5">
        <v>6877</v>
      </c>
      <c r="S50" s="3">
        <v>89</v>
      </c>
      <c r="T50" s="3"/>
      <c r="U50" s="3">
        <v>0</v>
      </c>
      <c r="V50" s="3" t="s">
        <v>8</v>
      </c>
      <c r="W50" s="5">
        <v>10597.25</v>
      </c>
      <c r="X50" s="3">
        <v>0</v>
      </c>
      <c r="Y50" s="3">
        <v>0</v>
      </c>
      <c r="Z50" s="3">
        <v>0</v>
      </c>
      <c r="AA50" s="3">
        <v>0</v>
      </c>
      <c r="AB50" s="5">
        <v>10597.25</v>
      </c>
      <c r="AD50" s="25" t="s">
        <v>1154</v>
      </c>
      <c r="AE50" s="25" t="s">
        <v>154</v>
      </c>
      <c r="AF50" s="26">
        <v>3438.5</v>
      </c>
      <c r="AG50" s="33">
        <f>AF50</f>
        <v>3438.5</v>
      </c>
      <c r="AH50" s="18"/>
      <c r="AI50" s="3"/>
      <c r="AJ50" s="3"/>
      <c r="AK50" s="3"/>
      <c r="AL50" s="15">
        <f t="shared" si="7"/>
        <v>3438.5</v>
      </c>
      <c r="AM50" s="15">
        <f t="shared" si="8"/>
        <v>7158.75</v>
      </c>
      <c r="AN50">
        <v>7158.75</v>
      </c>
      <c r="AO50" s="15">
        <f t="shared" si="9"/>
        <v>0</v>
      </c>
    </row>
    <row r="51" spans="1:41" hidden="1" x14ac:dyDescent="0.25">
      <c r="A51" s="25">
        <v>31</v>
      </c>
      <c r="B51" s="39" t="s">
        <v>160</v>
      </c>
      <c r="C51" s="10" t="s">
        <v>1017</v>
      </c>
      <c r="D51" s="3" t="s">
        <v>161</v>
      </c>
      <c r="E51" s="3" t="s">
        <v>161</v>
      </c>
      <c r="F51" s="3"/>
      <c r="G51" s="3" t="s">
        <v>162</v>
      </c>
      <c r="H51" s="3" t="s">
        <v>14</v>
      </c>
      <c r="I51" s="3" t="s">
        <v>6</v>
      </c>
      <c r="J51" s="3"/>
      <c r="K51" s="3" t="s">
        <v>163</v>
      </c>
      <c r="L51" s="3"/>
      <c r="M51" s="3"/>
      <c r="N51" s="3"/>
      <c r="O51" s="3"/>
      <c r="P51" s="3"/>
      <c r="Q51" s="4">
        <v>46081</v>
      </c>
      <c r="R51" s="5">
        <v>79.349999999999994</v>
      </c>
      <c r="S51" s="3">
        <v>28</v>
      </c>
      <c r="T51" s="3"/>
      <c r="U51" s="3">
        <v>0</v>
      </c>
      <c r="V51" s="3" t="s">
        <v>8</v>
      </c>
      <c r="W51" s="5">
        <v>1442.1</v>
      </c>
      <c r="X51" s="3">
        <v>0</v>
      </c>
      <c r="Y51" s="3">
        <v>0</v>
      </c>
      <c r="Z51" s="3">
        <v>0</v>
      </c>
      <c r="AA51" s="3">
        <v>0</v>
      </c>
      <c r="AB51" s="5">
        <v>1442.1</v>
      </c>
      <c r="AD51" s="25"/>
      <c r="AE51" s="25"/>
      <c r="AF51" s="25"/>
      <c r="AG51" s="32"/>
      <c r="AH51" s="18"/>
      <c r="AI51" s="3"/>
      <c r="AJ51" s="3"/>
      <c r="AK51" s="3"/>
      <c r="AL51" s="15">
        <f t="shared" si="7"/>
        <v>0</v>
      </c>
      <c r="AM51" s="15">
        <f t="shared" si="8"/>
        <v>1442.1</v>
      </c>
      <c r="AN51" s="15">
        <f>AM51</f>
        <v>1442.1</v>
      </c>
      <c r="AO51" s="15">
        <f t="shared" si="9"/>
        <v>0</v>
      </c>
    </row>
    <row r="52" spans="1:41" hidden="1" x14ac:dyDescent="0.25">
      <c r="A52" s="25">
        <v>32</v>
      </c>
      <c r="B52" s="39">
        <v>1128</v>
      </c>
      <c r="C52" s="10"/>
      <c r="D52" s="3" t="s">
        <v>164</v>
      </c>
      <c r="E52" s="3" t="s">
        <v>165</v>
      </c>
      <c r="F52" s="3" t="s">
        <v>166</v>
      </c>
      <c r="G52" s="3" t="s">
        <v>167</v>
      </c>
      <c r="H52" s="3" t="s">
        <v>14</v>
      </c>
      <c r="I52" s="3" t="s">
        <v>168</v>
      </c>
      <c r="J52" s="3" t="s">
        <v>33</v>
      </c>
      <c r="K52" s="3" t="s">
        <v>169</v>
      </c>
      <c r="L52" s="3" t="s">
        <v>170</v>
      </c>
      <c r="M52" s="3"/>
      <c r="N52" s="3"/>
      <c r="O52" s="3"/>
      <c r="P52" s="3"/>
      <c r="Q52" s="4">
        <v>45933</v>
      </c>
      <c r="R52" s="5">
        <v>57221.7</v>
      </c>
      <c r="S52" s="3">
        <v>259</v>
      </c>
      <c r="T52" s="3"/>
      <c r="U52" s="3">
        <v>0</v>
      </c>
      <c r="V52" s="3" t="s">
        <v>8</v>
      </c>
      <c r="W52" s="3">
        <v>0</v>
      </c>
      <c r="X52" s="3">
        <v>0</v>
      </c>
      <c r="Y52" s="3">
        <v>0</v>
      </c>
      <c r="Z52" s="3">
        <v>0</v>
      </c>
      <c r="AA52" s="5">
        <v>87149.85</v>
      </c>
      <c r="AB52" s="5">
        <v>87149.85</v>
      </c>
      <c r="AD52" s="25"/>
      <c r="AE52" s="25"/>
      <c r="AF52" s="25"/>
      <c r="AG52" s="32"/>
      <c r="AH52" s="18"/>
      <c r="AI52" s="3"/>
      <c r="AJ52" s="3"/>
      <c r="AK52" s="5"/>
      <c r="AL52" s="15">
        <f t="shared" si="7"/>
        <v>0</v>
      </c>
      <c r="AM52" s="15">
        <f t="shared" si="8"/>
        <v>87149.85</v>
      </c>
      <c r="AN52" s="15">
        <f>AM52</f>
        <v>87149.85</v>
      </c>
      <c r="AO52" s="15">
        <f t="shared" si="9"/>
        <v>0</v>
      </c>
    </row>
    <row r="53" spans="1:41" hidden="1" x14ac:dyDescent="0.25">
      <c r="A53" s="25">
        <v>33</v>
      </c>
      <c r="B53" s="39" t="s">
        <v>171</v>
      </c>
      <c r="C53" s="10" t="s">
        <v>1018</v>
      </c>
      <c r="D53" s="3" t="s">
        <v>172</v>
      </c>
      <c r="E53" s="3" t="s">
        <v>173</v>
      </c>
      <c r="F53" s="3" t="s">
        <v>174</v>
      </c>
      <c r="G53" s="3" t="s">
        <v>175</v>
      </c>
      <c r="H53" s="3" t="s">
        <v>14</v>
      </c>
      <c r="I53" s="3" t="s">
        <v>6</v>
      </c>
      <c r="J53" s="3" t="s">
        <v>15</v>
      </c>
      <c r="K53" s="3" t="s">
        <v>176</v>
      </c>
      <c r="L53" s="3"/>
      <c r="M53" s="3"/>
      <c r="N53" s="3"/>
      <c r="O53" s="3">
        <v>2059</v>
      </c>
      <c r="P53" s="3"/>
      <c r="Q53" s="4">
        <v>46081</v>
      </c>
      <c r="R53" s="5">
        <v>2005.36</v>
      </c>
      <c r="S53" s="3">
        <v>90</v>
      </c>
      <c r="T53" s="3"/>
      <c r="U53" s="3">
        <v>0</v>
      </c>
      <c r="V53" s="3" t="s">
        <v>8</v>
      </c>
      <c r="W53" s="5">
        <v>2005.36</v>
      </c>
      <c r="X53" s="3">
        <v>0</v>
      </c>
      <c r="Y53" s="3">
        <v>0</v>
      </c>
      <c r="Z53" s="3">
        <v>0</v>
      </c>
      <c r="AA53" s="3">
        <v>0</v>
      </c>
      <c r="AB53" s="5">
        <v>2005.36</v>
      </c>
      <c r="AD53" s="25"/>
      <c r="AE53" s="25"/>
      <c r="AF53" s="25"/>
      <c r="AG53" s="32"/>
      <c r="AH53" s="18"/>
      <c r="AI53" s="3"/>
      <c r="AJ53" s="3"/>
      <c r="AK53" s="3"/>
      <c r="AL53" s="15">
        <f t="shared" si="7"/>
        <v>0</v>
      </c>
      <c r="AM53" s="15">
        <f t="shared" si="8"/>
        <v>2005.36</v>
      </c>
      <c r="AN53" s="15">
        <f>AM53</f>
        <v>2005.36</v>
      </c>
      <c r="AO53" s="15">
        <f t="shared" si="9"/>
        <v>0</v>
      </c>
    </row>
    <row r="54" spans="1:41" hidden="1" x14ac:dyDescent="0.25">
      <c r="A54" s="25">
        <v>34</v>
      </c>
      <c r="B54" s="39" t="s">
        <v>177</v>
      </c>
      <c r="C54" s="10" t="s">
        <v>1019</v>
      </c>
      <c r="D54" s="3" t="s">
        <v>178</v>
      </c>
      <c r="E54" s="3" t="s">
        <v>179</v>
      </c>
      <c r="F54" s="3" t="s">
        <v>180</v>
      </c>
      <c r="G54" s="3" t="s">
        <v>181</v>
      </c>
      <c r="H54" s="3" t="s">
        <v>14</v>
      </c>
      <c r="I54" s="3" t="s">
        <v>6</v>
      </c>
      <c r="J54" s="3" t="s">
        <v>15</v>
      </c>
      <c r="K54" s="3" t="s">
        <v>182</v>
      </c>
      <c r="L54" s="3"/>
      <c r="M54" s="3"/>
      <c r="N54" s="3"/>
      <c r="O54" s="3">
        <v>2051</v>
      </c>
      <c r="P54" s="3"/>
      <c r="Q54" s="4">
        <v>46081</v>
      </c>
      <c r="R54" s="5">
        <v>6204.14</v>
      </c>
      <c r="S54" s="3">
        <v>140</v>
      </c>
      <c r="T54" s="3"/>
      <c r="U54" s="3">
        <v>0</v>
      </c>
      <c r="V54" s="3" t="s">
        <v>8</v>
      </c>
      <c r="W54" s="5">
        <v>6204.14</v>
      </c>
      <c r="X54" s="3">
        <v>0</v>
      </c>
      <c r="Y54" s="3">
        <v>0.01</v>
      </c>
      <c r="Z54" s="3">
        <v>0</v>
      </c>
      <c r="AA54" s="5">
        <v>-0.01</v>
      </c>
      <c r="AB54" s="5">
        <v>6204.14</v>
      </c>
      <c r="AD54" s="25"/>
      <c r="AE54" s="25"/>
      <c r="AF54" s="25"/>
      <c r="AG54" s="32"/>
      <c r="AH54" s="18"/>
      <c r="AI54" s="3"/>
      <c r="AJ54" s="3"/>
      <c r="AK54" s="5"/>
      <c r="AL54" s="15">
        <f t="shared" si="7"/>
        <v>0</v>
      </c>
      <c r="AM54" s="15">
        <f t="shared" si="8"/>
        <v>6204.14</v>
      </c>
      <c r="AN54" s="15">
        <f>AM54</f>
        <v>6204.14</v>
      </c>
      <c r="AO54" s="15">
        <f t="shared" si="9"/>
        <v>0</v>
      </c>
    </row>
    <row r="55" spans="1:41" hidden="1" x14ac:dyDescent="0.25">
      <c r="A55" s="25">
        <v>35</v>
      </c>
      <c r="B55" s="39">
        <v>1148</v>
      </c>
      <c r="C55" s="10"/>
      <c r="D55" s="3" t="s">
        <v>183</v>
      </c>
      <c r="E55" s="3" t="s">
        <v>183</v>
      </c>
      <c r="F55" s="3"/>
      <c r="G55" s="3" t="s">
        <v>184</v>
      </c>
      <c r="H55" s="3" t="s">
        <v>14</v>
      </c>
      <c r="I55" s="3" t="s">
        <v>6</v>
      </c>
      <c r="J55" s="3"/>
      <c r="K55" s="3" t="s">
        <v>185</v>
      </c>
      <c r="L55" s="3"/>
      <c r="M55" s="3"/>
      <c r="N55" s="3" t="s">
        <v>22</v>
      </c>
      <c r="O55" s="3"/>
      <c r="P55" s="3"/>
      <c r="Q55" s="4">
        <v>45971</v>
      </c>
      <c r="R55" s="5">
        <v>1984.74</v>
      </c>
      <c r="S55" s="3">
        <v>43</v>
      </c>
      <c r="T55" s="3"/>
      <c r="U55" s="3">
        <v>0</v>
      </c>
      <c r="V55" s="3" t="s">
        <v>8</v>
      </c>
      <c r="W55" s="5">
        <v>661.18</v>
      </c>
      <c r="X55" s="5">
        <v>660.38</v>
      </c>
      <c r="Y55" s="3">
        <v>0</v>
      </c>
      <c r="Z55" s="3">
        <v>0</v>
      </c>
      <c r="AA55" s="3">
        <v>0</v>
      </c>
      <c r="AB55" s="5">
        <v>1321.56</v>
      </c>
      <c r="AD55" s="25"/>
      <c r="AE55" s="25"/>
      <c r="AF55" s="25"/>
      <c r="AG55" s="32"/>
      <c r="AH55" s="19"/>
      <c r="AI55" s="3"/>
      <c r="AJ55" s="3"/>
      <c r="AK55" s="3"/>
      <c r="AL55" s="15">
        <f t="shared" si="7"/>
        <v>0</v>
      </c>
      <c r="AM55" s="15">
        <f t="shared" si="8"/>
        <v>1321.56</v>
      </c>
      <c r="AN55" s="15">
        <f>AM55</f>
        <v>1321.56</v>
      </c>
      <c r="AO55" s="15">
        <f t="shared" si="9"/>
        <v>0</v>
      </c>
    </row>
    <row r="56" spans="1:41" hidden="1" x14ac:dyDescent="0.25">
      <c r="A56" s="25">
        <v>36</v>
      </c>
      <c r="B56" s="39" t="s">
        <v>186</v>
      </c>
      <c r="C56" s="10"/>
      <c r="D56" s="3" t="s">
        <v>187</v>
      </c>
      <c r="E56" s="3" t="s">
        <v>188</v>
      </c>
      <c r="F56" s="3" t="s">
        <v>189</v>
      </c>
      <c r="G56" s="3" t="s">
        <v>190</v>
      </c>
      <c r="H56" s="3" t="s">
        <v>14</v>
      </c>
      <c r="I56" s="3" t="s">
        <v>6</v>
      </c>
      <c r="J56" s="3"/>
      <c r="K56" s="3" t="s">
        <v>191</v>
      </c>
      <c r="L56" s="3"/>
      <c r="M56" s="3"/>
      <c r="N56" s="3" t="s">
        <v>22</v>
      </c>
      <c r="O56" s="3"/>
      <c r="P56" s="3"/>
      <c r="Q56" s="4">
        <v>46055</v>
      </c>
      <c r="R56" s="5">
        <v>30925.8</v>
      </c>
      <c r="S56" s="3">
        <v>28</v>
      </c>
      <c r="T56" s="3"/>
      <c r="U56" s="3">
        <v>0</v>
      </c>
      <c r="V56" s="3" t="s">
        <v>8</v>
      </c>
      <c r="W56" s="5">
        <v>1017.75</v>
      </c>
      <c r="X56" s="16">
        <v>1293.75</v>
      </c>
      <c r="Y56" s="3">
        <v>0</v>
      </c>
      <c r="Z56" s="3">
        <v>0</v>
      </c>
      <c r="AA56" s="3">
        <v>0</v>
      </c>
      <c r="AB56" s="5">
        <v>2311.5</v>
      </c>
      <c r="AD56" s="25" t="s">
        <v>1147</v>
      </c>
      <c r="AE56" s="25" t="s">
        <v>1160</v>
      </c>
      <c r="AF56" s="26">
        <v>1293.75</v>
      </c>
      <c r="AG56" s="32"/>
      <c r="AH56" s="20">
        <f>AF56</f>
        <v>1293.75</v>
      </c>
      <c r="AI56" s="3"/>
      <c r="AJ56" s="3"/>
      <c r="AK56" s="3"/>
      <c r="AL56" s="15">
        <f t="shared" si="7"/>
        <v>1293.75</v>
      </c>
      <c r="AM56" s="15">
        <f t="shared" si="8"/>
        <v>1017.75</v>
      </c>
      <c r="AN56">
        <v>1017.75</v>
      </c>
      <c r="AO56" s="15">
        <f t="shared" si="9"/>
        <v>0</v>
      </c>
    </row>
    <row r="57" spans="1:41" hidden="1" x14ac:dyDescent="0.25">
      <c r="A57" s="25">
        <v>37</v>
      </c>
      <c r="B57" s="39" t="s">
        <v>192</v>
      </c>
      <c r="C57" s="10" t="s">
        <v>1020</v>
      </c>
      <c r="D57" s="3" t="s">
        <v>193</v>
      </c>
      <c r="E57" s="3" t="s">
        <v>194</v>
      </c>
      <c r="F57" s="3"/>
      <c r="G57" s="3" t="s">
        <v>195</v>
      </c>
      <c r="H57" s="3" t="s">
        <v>14</v>
      </c>
      <c r="I57" s="3" t="s">
        <v>6</v>
      </c>
      <c r="J57" s="3"/>
      <c r="K57" s="3" t="s">
        <v>196</v>
      </c>
      <c r="L57" s="3"/>
      <c r="M57" s="3"/>
      <c r="N57" s="3" t="s">
        <v>22</v>
      </c>
      <c r="O57" s="3"/>
      <c r="P57" s="3"/>
      <c r="Q57" s="4">
        <v>46081</v>
      </c>
      <c r="R57" s="5">
        <v>6944.85</v>
      </c>
      <c r="S57" s="3">
        <v>293</v>
      </c>
      <c r="T57" s="3"/>
      <c r="U57" s="3">
        <v>0</v>
      </c>
      <c r="V57" s="3" t="s">
        <v>8</v>
      </c>
      <c r="W57" s="5">
        <v>6944.85</v>
      </c>
      <c r="X57" s="3">
        <v>0</v>
      </c>
      <c r="Y57" s="3">
        <v>0</v>
      </c>
      <c r="Z57" s="3">
        <v>0</v>
      </c>
      <c r="AA57" s="3">
        <v>0</v>
      </c>
      <c r="AB57" s="5">
        <v>6944.85</v>
      </c>
      <c r="AD57" s="25"/>
      <c r="AE57" s="25"/>
      <c r="AF57" s="25"/>
      <c r="AG57" s="32"/>
      <c r="AH57" s="18"/>
      <c r="AI57" s="3"/>
      <c r="AJ57" s="3"/>
      <c r="AK57" s="3"/>
      <c r="AL57" s="15">
        <f t="shared" si="7"/>
        <v>0</v>
      </c>
      <c r="AM57" s="15">
        <f t="shared" si="8"/>
        <v>6944.85</v>
      </c>
      <c r="AN57" s="15">
        <f>AM57</f>
        <v>6944.85</v>
      </c>
      <c r="AO57" s="15">
        <f t="shared" si="9"/>
        <v>0</v>
      </c>
    </row>
    <row r="58" spans="1:41" hidden="1" x14ac:dyDescent="0.25">
      <c r="A58" s="25">
        <v>38</v>
      </c>
      <c r="B58" s="39" t="s">
        <v>197</v>
      </c>
      <c r="C58" s="10" t="s">
        <v>1021</v>
      </c>
      <c r="D58" s="3" t="s">
        <v>198</v>
      </c>
      <c r="E58" s="3" t="s">
        <v>199</v>
      </c>
      <c r="F58" s="6" t="s">
        <v>200</v>
      </c>
      <c r="G58" s="3" t="s">
        <v>201</v>
      </c>
      <c r="H58" s="3" t="s">
        <v>14</v>
      </c>
      <c r="I58" s="3" t="s">
        <v>6</v>
      </c>
      <c r="J58" s="3" t="s">
        <v>33</v>
      </c>
      <c r="K58" s="3" t="s">
        <v>202</v>
      </c>
      <c r="L58" s="3"/>
      <c r="M58" s="3"/>
      <c r="N58" s="3" t="s">
        <v>22</v>
      </c>
      <c r="O58" s="3"/>
      <c r="P58" s="3"/>
      <c r="Q58" s="4">
        <v>46081</v>
      </c>
      <c r="R58" s="5">
        <v>635.95000000000005</v>
      </c>
      <c r="S58" s="3">
        <v>48</v>
      </c>
      <c r="T58" s="3"/>
      <c r="U58" s="3">
        <v>0</v>
      </c>
      <c r="V58" s="3" t="s">
        <v>8</v>
      </c>
      <c r="W58" s="5">
        <v>635.95000000000005</v>
      </c>
      <c r="X58" s="3">
        <v>0</v>
      </c>
      <c r="Y58" s="3">
        <v>0</v>
      </c>
      <c r="Z58" s="3">
        <v>0</v>
      </c>
      <c r="AA58" s="3">
        <v>0</v>
      </c>
      <c r="AB58" s="5">
        <v>635.95000000000005</v>
      </c>
      <c r="AD58" s="25"/>
      <c r="AE58" s="25"/>
      <c r="AF58" s="25"/>
      <c r="AG58" s="32"/>
      <c r="AH58" s="18"/>
      <c r="AI58" s="3"/>
      <c r="AJ58" s="3"/>
      <c r="AK58" s="3"/>
      <c r="AL58" s="15">
        <f t="shared" si="7"/>
        <v>0</v>
      </c>
      <c r="AM58" s="15">
        <f t="shared" si="8"/>
        <v>635.95000000000005</v>
      </c>
      <c r="AN58" s="15">
        <f>AM58</f>
        <v>635.95000000000005</v>
      </c>
      <c r="AO58" s="15">
        <f t="shared" si="9"/>
        <v>0</v>
      </c>
    </row>
    <row r="59" spans="1:41" hidden="1" x14ac:dyDescent="0.25">
      <c r="A59" s="25">
        <v>40</v>
      </c>
      <c r="B59" s="39" t="s">
        <v>208</v>
      </c>
      <c r="C59" s="10" t="s">
        <v>1023</v>
      </c>
      <c r="D59" s="3" t="s">
        <v>209</v>
      </c>
      <c r="E59" s="3" t="s">
        <v>210</v>
      </c>
      <c r="F59" s="3" t="s">
        <v>211</v>
      </c>
      <c r="G59" s="3" t="s">
        <v>212</v>
      </c>
      <c r="H59" s="3" t="s">
        <v>14</v>
      </c>
      <c r="I59" s="3" t="s">
        <v>6</v>
      </c>
      <c r="J59" s="3" t="s">
        <v>33</v>
      </c>
      <c r="K59" s="3" t="s">
        <v>213</v>
      </c>
      <c r="L59" s="3"/>
      <c r="M59" s="3"/>
      <c r="N59" s="3"/>
      <c r="O59" s="3">
        <v>7551</v>
      </c>
      <c r="P59" s="3"/>
      <c r="Q59" s="4">
        <v>46062</v>
      </c>
      <c r="R59" s="5">
        <v>99830.79</v>
      </c>
      <c r="S59" s="3">
        <v>176</v>
      </c>
      <c r="T59" s="3"/>
      <c r="U59" s="3">
        <v>0</v>
      </c>
      <c r="V59" s="3" t="s">
        <v>8</v>
      </c>
      <c r="W59" s="5">
        <v>151835.09</v>
      </c>
      <c r="X59" s="5">
        <v>134623.64000000001</v>
      </c>
      <c r="Y59" s="3">
        <v>0</v>
      </c>
      <c r="Z59" s="5">
        <v>4.5</v>
      </c>
      <c r="AA59" s="5">
        <v>1214.4000000000001</v>
      </c>
      <c r="AB59" s="5">
        <v>287677.63</v>
      </c>
      <c r="AD59" s="25" t="s">
        <v>1183</v>
      </c>
      <c r="AE59" s="25" t="s">
        <v>1194</v>
      </c>
      <c r="AF59" s="26">
        <v>134623.64000000001</v>
      </c>
      <c r="AH59" s="26">
        <f>AF59</f>
        <v>134623.64000000001</v>
      </c>
      <c r="AI59" s="3"/>
      <c r="AJ59" s="5"/>
      <c r="AK59" s="5"/>
      <c r="AL59" s="15">
        <f t="shared" si="7"/>
        <v>134623.64000000001</v>
      </c>
      <c r="AM59" s="15">
        <f t="shared" si="8"/>
        <v>153053.99</v>
      </c>
      <c r="AN59">
        <v>153053.99</v>
      </c>
      <c r="AO59" s="15">
        <f t="shared" si="9"/>
        <v>0</v>
      </c>
    </row>
    <row r="60" spans="1:41" hidden="1" x14ac:dyDescent="0.25">
      <c r="A60" s="25">
        <v>41</v>
      </c>
      <c r="B60" s="39" t="s">
        <v>214</v>
      </c>
      <c r="C60" s="10" t="s">
        <v>1024</v>
      </c>
      <c r="D60" s="3" t="s">
        <v>215</v>
      </c>
      <c r="E60" s="3" t="s">
        <v>215</v>
      </c>
      <c r="F60" s="3"/>
      <c r="G60" s="3" t="s">
        <v>216</v>
      </c>
      <c r="H60" s="3" t="s">
        <v>14</v>
      </c>
      <c r="I60" s="3" t="s">
        <v>6</v>
      </c>
      <c r="J60" s="3" t="s">
        <v>15</v>
      </c>
      <c r="K60" s="3" t="s">
        <v>217</v>
      </c>
      <c r="L60" s="3"/>
      <c r="M60" s="3"/>
      <c r="N60" s="3" t="s">
        <v>22</v>
      </c>
      <c r="O60" s="3"/>
      <c r="P60" s="3"/>
      <c r="Q60" s="4">
        <v>46081</v>
      </c>
      <c r="R60" s="5">
        <v>1069.79</v>
      </c>
      <c r="S60" s="3">
        <v>52</v>
      </c>
      <c r="T60" s="3"/>
      <c r="U60" s="3">
        <v>0</v>
      </c>
      <c r="V60" s="3" t="s">
        <v>8</v>
      </c>
      <c r="W60" s="5">
        <v>1069.79</v>
      </c>
      <c r="X60" s="3">
        <v>0</v>
      </c>
      <c r="Y60" s="3">
        <v>0</v>
      </c>
      <c r="Z60" s="3">
        <v>0</v>
      </c>
      <c r="AA60" s="3">
        <v>0</v>
      </c>
      <c r="AB60" s="5">
        <v>1069.79</v>
      </c>
      <c r="AD60" s="25"/>
      <c r="AE60" s="25"/>
      <c r="AF60" s="25"/>
      <c r="AG60" s="32"/>
      <c r="AH60" s="18"/>
      <c r="AI60" s="3"/>
      <c r="AJ60" s="3"/>
      <c r="AK60" s="3"/>
      <c r="AL60" s="15">
        <f t="shared" si="7"/>
        <v>0</v>
      </c>
      <c r="AM60" s="15">
        <f t="shared" si="8"/>
        <v>1069.79</v>
      </c>
      <c r="AN60" s="15">
        <f>AM60</f>
        <v>1069.79</v>
      </c>
      <c r="AO60" s="15">
        <f t="shared" si="9"/>
        <v>0</v>
      </c>
    </row>
    <row r="61" spans="1:41" hidden="1" x14ac:dyDescent="0.25">
      <c r="A61" s="25">
        <v>42</v>
      </c>
      <c r="B61" s="39" t="s">
        <v>218</v>
      </c>
      <c r="C61" s="10" t="s">
        <v>1025</v>
      </c>
      <c r="D61" s="3" t="s">
        <v>219</v>
      </c>
      <c r="E61" s="3" t="s">
        <v>220</v>
      </c>
      <c r="F61" s="3"/>
      <c r="G61" s="3" t="s">
        <v>221</v>
      </c>
      <c r="H61" s="3" t="s">
        <v>14</v>
      </c>
      <c r="I61" s="3" t="s">
        <v>6</v>
      </c>
      <c r="J61" s="3" t="s">
        <v>33</v>
      </c>
      <c r="K61" s="3" t="s">
        <v>222</v>
      </c>
      <c r="L61" s="3"/>
      <c r="M61" s="3"/>
      <c r="N61" s="3" t="s">
        <v>22</v>
      </c>
      <c r="O61" s="3" t="s">
        <v>223</v>
      </c>
      <c r="P61" s="3"/>
      <c r="Q61" s="4">
        <v>46073</v>
      </c>
      <c r="R61" s="5">
        <v>47606.7</v>
      </c>
      <c r="S61" s="3">
        <v>275</v>
      </c>
      <c r="T61" s="3"/>
      <c r="U61" s="3">
        <v>0</v>
      </c>
      <c r="V61" s="3" t="s">
        <v>8</v>
      </c>
      <c r="W61" s="5">
        <v>65518.91</v>
      </c>
      <c r="X61" s="3">
        <v>0.09</v>
      </c>
      <c r="Y61" s="3">
        <v>0</v>
      </c>
      <c r="Z61" s="3">
        <v>0</v>
      </c>
      <c r="AA61" s="3">
        <v>0</v>
      </c>
      <c r="AB61" s="5">
        <v>65519</v>
      </c>
      <c r="AD61" s="25" t="s">
        <v>1191</v>
      </c>
      <c r="AE61" s="25" t="s">
        <v>1192</v>
      </c>
      <c r="AF61" s="26">
        <v>65519</v>
      </c>
      <c r="AG61" s="33">
        <f>AF61</f>
        <v>65519</v>
      </c>
      <c r="AH61" s="18"/>
      <c r="AI61" s="3"/>
      <c r="AJ61" s="3"/>
      <c r="AK61" s="3"/>
      <c r="AL61" s="15">
        <f t="shared" si="7"/>
        <v>65519</v>
      </c>
      <c r="AM61" s="15">
        <f t="shared" si="8"/>
        <v>0</v>
      </c>
      <c r="AN61">
        <v>0</v>
      </c>
      <c r="AO61" s="15">
        <f t="shared" si="9"/>
        <v>0</v>
      </c>
    </row>
    <row r="62" spans="1:41" hidden="1" x14ac:dyDescent="0.25">
      <c r="A62" s="25">
        <v>44</v>
      </c>
      <c r="B62" s="39" t="s">
        <v>225</v>
      </c>
      <c r="C62" s="10" t="s">
        <v>1026</v>
      </c>
      <c r="D62" s="3" t="s">
        <v>226</v>
      </c>
      <c r="E62" s="3" t="s">
        <v>227</v>
      </c>
      <c r="F62" s="3" t="s">
        <v>228</v>
      </c>
      <c r="G62" s="3" t="s">
        <v>229</v>
      </c>
      <c r="H62" s="3" t="s">
        <v>14</v>
      </c>
      <c r="I62" s="3" t="s">
        <v>6</v>
      </c>
      <c r="J62" s="3" t="s">
        <v>15</v>
      </c>
      <c r="K62" s="3" t="s">
        <v>230</v>
      </c>
      <c r="L62" s="3"/>
      <c r="M62" s="3"/>
      <c r="N62" s="3"/>
      <c r="O62" s="3">
        <v>1685</v>
      </c>
      <c r="P62" s="3"/>
      <c r="Q62" s="4">
        <v>46081</v>
      </c>
      <c r="R62" s="5">
        <v>1303.28</v>
      </c>
      <c r="S62" s="3">
        <v>206</v>
      </c>
      <c r="T62" s="3"/>
      <c r="U62" s="3">
        <v>0</v>
      </c>
      <c r="V62" s="3" t="s">
        <v>8</v>
      </c>
      <c r="W62" s="5">
        <v>1303.28</v>
      </c>
      <c r="X62" s="3">
        <v>0</v>
      </c>
      <c r="Y62" s="3">
        <v>0</v>
      </c>
      <c r="Z62" s="3">
        <v>0</v>
      </c>
      <c r="AA62" s="3">
        <v>0</v>
      </c>
      <c r="AB62" s="5">
        <v>1303.28</v>
      </c>
      <c r="AD62" s="25"/>
      <c r="AE62" s="25"/>
      <c r="AF62" s="25"/>
      <c r="AG62" s="32"/>
      <c r="AH62" s="18"/>
      <c r="AI62" s="3"/>
      <c r="AJ62" s="3"/>
      <c r="AK62" s="3"/>
      <c r="AL62" s="15">
        <f t="shared" si="7"/>
        <v>0</v>
      </c>
      <c r="AM62" s="15">
        <f t="shared" si="8"/>
        <v>1303.28</v>
      </c>
      <c r="AN62" s="15">
        <f t="shared" ref="AN62:AN68" si="10">AM62</f>
        <v>1303.28</v>
      </c>
      <c r="AO62" s="15">
        <f t="shared" si="9"/>
        <v>0</v>
      </c>
    </row>
    <row r="63" spans="1:41" hidden="1" x14ac:dyDescent="0.25">
      <c r="A63" s="25">
        <v>46</v>
      </c>
      <c r="B63" s="39" t="s">
        <v>238</v>
      </c>
      <c r="C63" s="10" t="s">
        <v>1028</v>
      </c>
      <c r="D63" s="3" t="s">
        <v>239</v>
      </c>
      <c r="E63" s="3" t="s">
        <v>240</v>
      </c>
      <c r="F63" s="3" t="s">
        <v>241</v>
      </c>
      <c r="G63" s="3" t="s">
        <v>242</v>
      </c>
      <c r="H63" s="3" t="s">
        <v>14</v>
      </c>
      <c r="I63" s="3" t="s">
        <v>6</v>
      </c>
      <c r="J63" s="3" t="s">
        <v>15</v>
      </c>
      <c r="K63" s="3" t="s">
        <v>243</v>
      </c>
      <c r="L63" s="3"/>
      <c r="M63" s="3"/>
      <c r="N63" s="3"/>
      <c r="O63" s="3">
        <v>1600</v>
      </c>
      <c r="P63" s="3"/>
      <c r="Q63" s="4">
        <v>46081</v>
      </c>
      <c r="R63" s="5">
        <v>1300.3699999999999</v>
      </c>
      <c r="S63" s="3">
        <v>62</v>
      </c>
      <c r="T63" s="3"/>
      <c r="U63" s="3">
        <v>0</v>
      </c>
      <c r="V63" s="3" t="s">
        <v>8</v>
      </c>
      <c r="W63" s="5">
        <v>1300.3699999999999</v>
      </c>
      <c r="X63" s="3">
        <v>0</v>
      </c>
      <c r="Y63" s="3">
        <v>0</v>
      </c>
      <c r="Z63" s="3">
        <v>0</v>
      </c>
      <c r="AA63" s="3">
        <v>0</v>
      </c>
      <c r="AB63" s="5">
        <v>1300.3699999999999</v>
      </c>
      <c r="AD63" s="25"/>
      <c r="AE63" s="25"/>
      <c r="AF63" s="25"/>
      <c r="AG63" s="32"/>
      <c r="AH63" s="18"/>
      <c r="AI63" s="3"/>
      <c r="AJ63" s="3"/>
      <c r="AK63" s="3"/>
      <c r="AL63" s="15">
        <f t="shared" si="7"/>
        <v>0</v>
      </c>
      <c r="AM63" s="15">
        <f t="shared" si="8"/>
        <v>1300.3699999999999</v>
      </c>
      <c r="AN63" s="15">
        <f t="shared" si="10"/>
        <v>1300.3699999999999</v>
      </c>
      <c r="AO63" s="15">
        <f t="shared" si="9"/>
        <v>0</v>
      </c>
    </row>
    <row r="64" spans="1:41" hidden="1" x14ac:dyDescent="0.25">
      <c r="A64" s="25">
        <v>47</v>
      </c>
      <c r="B64" s="39" t="s">
        <v>244</v>
      </c>
      <c r="C64" s="10"/>
      <c r="D64" s="3" t="s">
        <v>245</v>
      </c>
      <c r="E64" s="3" t="s">
        <v>246</v>
      </c>
      <c r="F64" s="3" t="s">
        <v>247</v>
      </c>
      <c r="G64" s="3" t="s">
        <v>248</v>
      </c>
      <c r="H64" s="3" t="s">
        <v>249</v>
      </c>
      <c r="I64" s="3" t="s">
        <v>6</v>
      </c>
      <c r="J64" s="3" t="s">
        <v>15</v>
      </c>
      <c r="K64" s="3" t="s">
        <v>250</v>
      </c>
      <c r="L64" s="3"/>
      <c r="M64" s="3"/>
      <c r="N64" s="3"/>
      <c r="O64" s="3">
        <v>2310</v>
      </c>
      <c r="P64" s="3"/>
      <c r="Q64" s="4">
        <v>43645</v>
      </c>
      <c r="R64" s="5">
        <v>8618.0400000000009</v>
      </c>
      <c r="S64" s="3">
        <v>282</v>
      </c>
      <c r="T64" s="3"/>
      <c r="U64" s="3">
        <v>0</v>
      </c>
      <c r="V64" s="3" t="s">
        <v>8</v>
      </c>
      <c r="W64" s="3">
        <v>0</v>
      </c>
      <c r="X64" s="3">
        <v>0</v>
      </c>
      <c r="Y64" s="3">
        <v>0</v>
      </c>
      <c r="Z64" s="3">
        <v>0</v>
      </c>
      <c r="AA64" s="3">
        <v>0.01</v>
      </c>
      <c r="AB64" s="3">
        <v>0.01</v>
      </c>
      <c r="AD64" s="25"/>
      <c r="AE64" s="25"/>
      <c r="AF64" s="25"/>
      <c r="AG64" s="32"/>
      <c r="AH64" s="18"/>
      <c r="AI64" s="3"/>
      <c r="AJ64" s="3"/>
      <c r="AK64" s="3"/>
      <c r="AL64" s="15">
        <f t="shared" si="7"/>
        <v>0</v>
      </c>
      <c r="AM64" s="15">
        <f t="shared" si="8"/>
        <v>0.01</v>
      </c>
      <c r="AN64" s="15">
        <f t="shared" si="10"/>
        <v>0.01</v>
      </c>
      <c r="AO64" s="15">
        <f t="shared" si="9"/>
        <v>0</v>
      </c>
    </row>
    <row r="65" spans="1:42" hidden="1" x14ac:dyDescent="0.25">
      <c r="A65" s="25">
        <v>48</v>
      </c>
      <c r="B65" s="39" t="s">
        <v>251</v>
      </c>
      <c r="C65" s="10" t="s">
        <v>1137</v>
      </c>
      <c r="D65" s="3" t="s">
        <v>252</v>
      </c>
      <c r="E65" s="3" t="s">
        <v>253</v>
      </c>
      <c r="F65" s="3" t="s">
        <v>254</v>
      </c>
      <c r="G65" s="3" t="s">
        <v>201</v>
      </c>
      <c r="H65" s="3" t="s">
        <v>14</v>
      </c>
      <c r="I65" s="3" t="s">
        <v>6</v>
      </c>
      <c r="J65" s="3" t="s">
        <v>33</v>
      </c>
      <c r="K65" s="3" t="s">
        <v>255</v>
      </c>
      <c r="L65" s="3"/>
      <c r="M65" s="3"/>
      <c r="N65" s="3"/>
      <c r="O65" s="3">
        <v>2037</v>
      </c>
      <c r="P65" s="3"/>
      <c r="Q65" s="4">
        <v>46080</v>
      </c>
      <c r="R65" s="5">
        <v>2255.15</v>
      </c>
      <c r="S65" s="3">
        <v>226</v>
      </c>
      <c r="T65" s="3"/>
      <c r="U65" s="3">
        <v>0</v>
      </c>
      <c r="V65" s="3" t="s">
        <v>8</v>
      </c>
      <c r="W65" s="5">
        <v>1785.95</v>
      </c>
      <c r="X65" s="3">
        <v>0</v>
      </c>
      <c r="Y65" s="3">
        <v>0</v>
      </c>
      <c r="Z65" s="3">
        <v>0</v>
      </c>
      <c r="AA65" s="3">
        <v>0</v>
      </c>
      <c r="AB65" s="5">
        <v>1785.95</v>
      </c>
      <c r="AD65" s="25"/>
      <c r="AE65" s="25"/>
      <c r="AF65" s="25"/>
      <c r="AG65" s="32"/>
      <c r="AH65" s="18"/>
      <c r="AI65" s="3"/>
      <c r="AJ65" s="3"/>
      <c r="AK65" s="3"/>
      <c r="AL65" s="15">
        <f t="shared" si="7"/>
        <v>0</v>
      </c>
      <c r="AM65" s="15">
        <f t="shared" si="8"/>
        <v>1785.95</v>
      </c>
      <c r="AN65" s="15">
        <f t="shared" si="10"/>
        <v>1785.95</v>
      </c>
      <c r="AO65" s="15">
        <f t="shared" si="9"/>
        <v>0</v>
      </c>
    </row>
    <row r="66" spans="1:42" hidden="1" x14ac:dyDescent="0.25">
      <c r="A66" s="25">
        <v>50</v>
      </c>
      <c r="B66" s="39" t="s">
        <v>262</v>
      </c>
      <c r="C66" s="10" t="s">
        <v>1030</v>
      </c>
      <c r="D66" s="3" t="s">
        <v>263</v>
      </c>
      <c r="E66" s="3" t="s">
        <v>264</v>
      </c>
      <c r="F66" s="3" t="s">
        <v>265</v>
      </c>
      <c r="G66" s="3" t="s">
        <v>266</v>
      </c>
      <c r="H66" s="3" t="s">
        <v>14</v>
      </c>
      <c r="I66" s="3" t="s">
        <v>6</v>
      </c>
      <c r="J66" s="3" t="s">
        <v>15</v>
      </c>
      <c r="K66" s="3" t="s">
        <v>267</v>
      </c>
      <c r="L66" s="3"/>
      <c r="M66" s="3"/>
      <c r="N66" s="3" t="s">
        <v>22</v>
      </c>
      <c r="O66" s="3"/>
      <c r="P66" s="3"/>
      <c r="Q66" s="4">
        <v>46081</v>
      </c>
      <c r="R66" s="5">
        <v>10832.23</v>
      </c>
      <c r="S66" s="3">
        <v>202</v>
      </c>
      <c r="T66" s="3"/>
      <c r="U66" s="3">
        <v>0</v>
      </c>
      <c r="V66" s="3" t="s">
        <v>8</v>
      </c>
      <c r="W66" s="5">
        <v>10832.23</v>
      </c>
      <c r="X66" s="3">
        <v>0</v>
      </c>
      <c r="Y66" s="3">
        <v>0</v>
      </c>
      <c r="Z66" s="3">
        <v>0</v>
      </c>
      <c r="AA66" s="3">
        <v>0</v>
      </c>
      <c r="AB66" s="5">
        <v>10832.23</v>
      </c>
      <c r="AD66" s="25"/>
      <c r="AE66" s="25"/>
      <c r="AF66" s="25"/>
      <c r="AG66" s="32"/>
      <c r="AH66" s="18"/>
      <c r="AI66" s="3"/>
      <c r="AJ66" s="3"/>
      <c r="AK66" s="3"/>
      <c r="AL66" s="15">
        <f t="shared" si="7"/>
        <v>0</v>
      </c>
      <c r="AM66" s="15">
        <f t="shared" si="8"/>
        <v>10832.23</v>
      </c>
      <c r="AN66" s="15">
        <f t="shared" si="10"/>
        <v>10832.23</v>
      </c>
      <c r="AO66" s="15">
        <f t="shared" si="9"/>
        <v>0</v>
      </c>
    </row>
    <row r="67" spans="1:42" hidden="1" x14ac:dyDescent="0.25">
      <c r="A67" s="25">
        <v>52</v>
      </c>
      <c r="B67" s="39" t="s">
        <v>274</v>
      </c>
      <c r="C67" s="10" t="s">
        <v>1031</v>
      </c>
      <c r="D67" s="3" t="s">
        <v>275</v>
      </c>
      <c r="E67" s="3" t="s">
        <v>276</v>
      </c>
      <c r="F67" s="3" t="s">
        <v>277</v>
      </c>
      <c r="G67" s="3" t="s">
        <v>278</v>
      </c>
      <c r="H67" s="3" t="s">
        <v>14</v>
      </c>
      <c r="I67" s="3" t="s">
        <v>6</v>
      </c>
      <c r="J67" s="3" t="s">
        <v>15</v>
      </c>
      <c r="K67" s="3" t="s">
        <v>279</v>
      </c>
      <c r="L67" s="3" t="s">
        <v>76</v>
      </c>
      <c r="M67" s="3" t="s">
        <v>69</v>
      </c>
      <c r="N67" s="3" t="s">
        <v>22</v>
      </c>
      <c r="O67" s="3">
        <v>2123</v>
      </c>
      <c r="P67" s="3"/>
      <c r="Q67" s="4">
        <v>46081</v>
      </c>
      <c r="R67" s="5">
        <v>126.17</v>
      </c>
      <c r="S67" s="3">
        <v>108</v>
      </c>
      <c r="T67" s="3"/>
      <c r="U67" s="3">
        <v>0</v>
      </c>
      <c r="V67" s="3" t="s">
        <v>8</v>
      </c>
      <c r="W67" s="5">
        <v>126.17</v>
      </c>
      <c r="X67" s="3">
        <v>0</v>
      </c>
      <c r="Y67" s="3">
        <v>0</v>
      </c>
      <c r="Z67" s="3">
        <v>0</v>
      </c>
      <c r="AA67" s="3">
        <v>0</v>
      </c>
      <c r="AB67" s="5">
        <v>126.17</v>
      </c>
      <c r="AD67" s="25"/>
      <c r="AE67" s="25"/>
      <c r="AF67" s="25"/>
      <c r="AG67" s="32"/>
      <c r="AH67" s="18"/>
      <c r="AI67" s="3"/>
      <c r="AJ67" s="3"/>
      <c r="AK67" s="3"/>
      <c r="AL67" s="15">
        <f t="shared" si="7"/>
        <v>0</v>
      </c>
      <c r="AM67" s="15">
        <f t="shared" si="8"/>
        <v>126.17</v>
      </c>
      <c r="AN67" s="15">
        <f t="shared" si="10"/>
        <v>126.17</v>
      </c>
      <c r="AO67" s="15">
        <f t="shared" si="9"/>
        <v>0</v>
      </c>
    </row>
    <row r="68" spans="1:42" hidden="1" x14ac:dyDescent="0.25">
      <c r="A68" s="25">
        <v>53</v>
      </c>
      <c r="B68" s="39" t="s">
        <v>280</v>
      </c>
      <c r="C68" s="10" t="s">
        <v>1032</v>
      </c>
      <c r="D68" s="3" t="s">
        <v>281</v>
      </c>
      <c r="E68" s="3" t="s">
        <v>282</v>
      </c>
      <c r="F68" s="3" t="s">
        <v>283</v>
      </c>
      <c r="G68" s="3" t="s">
        <v>284</v>
      </c>
      <c r="H68" s="3" t="s">
        <v>14</v>
      </c>
      <c r="I68" s="3" t="s">
        <v>6</v>
      </c>
      <c r="J68" s="3" t="s">
        <v>15</v>
      </c>
      <c r="K68" s="3" t="s">
        <v>285</v>
      </c>
      <c r="L68" s="3"/>
      <c r="M68" s="3"/>
      <c r="N68" s="3"/>
      <c r="O68" s="3">
        <v>2192</v>
      </c>
      <c r="P68" s="3"/>
      <c r="Q68" s="4">
        <v>46081</v>
      </c>
      <c r="R68" s="5">
        <v>358.11</v>
      </c>
      <c r="S68" s="3">
        <v>108</v>
      </c>
      <c r="T68" s="3"/>
      <c r="U68" s="3">
        <v>0</v>
      </c>
      <c r="V68" s="3" t="s">
        <v>8</v>
      </c>
      <c r="W68" s="5">
        <v>358.11</v>
      </c>
      <c r="X68" s="3">
        <v>0</v>
      </c>
      <c r="Y68" s="3">
        <v>0</v>
      </c>
      <c r="Z68" s="3">
        <v>0</v>
      </c>
      <c r="AA68" s="3">
        <v>0</v>
      </c>
      <c r="AB68" s="5">
        <v>358.11</v>
      </c>
      <c r="AD68" s="25"/>
      <c r="AE68" s="25"/>
      <c r="AF68" s="25"/>
      <c r="AG68" s="32"/>
      <c r="AH68" s="18"/>
      <c r="AI68" s="3"/>
      <c r="AJ68" s="3"/>
      <c r="AK68" s="3"/>
      <c r="AL68" s="15">
        <f t="shared" si="7"/>
        <v>0</v>
      </c>
      <c r="AM68" s="15">
        <f t="shared" si="8"/>
        <v>358.11</v>
      </c>
      <c r="AN68" s="15">
        <f t="shared" si="10"/>
        <v>358.11</v>
      </c>
      <c r="AO68" s="15">
        <f t="shared" si="9"/>
        <v>0</v>
      </c>
    </row>
    <row r="69" spans="1:42" hidden="1" x14ac:dyDescent="0.25">
      <c r="A69" s="25">
        <v>54</v>
      </c>
      <c r="B69" s="39" t="s">
        <v>286</v>
      </c>
      <c r="C69" s="10" t="s">
        <v>1034</v>
      </c>
      <c r="D69" s="3" t="s">
        <v>287</v>
      </c>
      <c r="E69" s="3" t="s">
        <v>288</v>
      </c>
      <c r="F69" s="3" t="s">
        <v>289</v>
      </c>
      <c r="G69" s="3" t="s">
        <v>290</v>
      </c>
      <c r="H69" s="3" t="s">
        <v>14</v>
      </c>
      <c r="I69" s="3" t="s">
        <v>6</v>
      </c>
      <c r="J69" s="3" t="s">
        <v>15</v>
      </c>
      <c r="K69" s="3" t="s">
        <v>291</v>
      </c>
      <c r="L69" s="3"/>
      <c r="M69" s="3"/>
      <c r="N69" s="3"/>
      <c r="O69" s="3">
        <v>1504</v>
      </c>
      <c r="P69" s="3"/>
      <c r="Q69" s="4">
        <v>46081</v>
      </c>
      <c r="R69" s="5">
        <v>70687.3</v>
      </c>
      <c r="S69" s="3">
        <v>429</v>
      </c>
      <c r="T69" s="3" t="s">
        <v>292</v>
      </c>
      <c r="U69" s="3">
        <v>0</v>
      </c>
      <c r="V69" s="3" t="s">
        <v>8</v>
      </c>
      <c r="W69" s="5">
        <v>1610</v>
      </c>
      <c r="X69" s="3">
        <v>0</v>
      </c>
      <c r="Y69" s="3">
        <v>0</v>
      </c>
      <c r="Z69" s="3">
        <v>0</v>
      </c>
      <c r="AA69" s="3">
        <v>0</v>
      </c>
      <c r="AB69" s="5">
        <v>1610</v>
      </c>
      <c r="AD69" s="25" t="s">
        <v>1154</v>
      </c>
      <c r="AE69" s="25" t="s">
        <v>1159</v>
      </c>
      <c r="AF69" s="26">
        <v>1207.5</v>
      </c>
      <c r="AG69" s="32"/>
      <c r="AH69" s="19">
        <f>AF69</f>
        <v>1207.5</v>
      </c>
      <c r="AI69" s="3"/>
      <c r="AJ69" s="3"/>
      <c r="AK69" s="3"/>
      <c r="AL69" s="15">
        <f t="shared" si="7"/>
        <v>1207.5</v>
      </c>
      <c r="AM69" s="15">
        <f t="shared" si="8"/>
        <v>402.5</v>
      </c>
      <c r="AN69" s="15">
        <v>402.5</v>
      </c>
      <c r="AO69" s="15">
        <f t="shared" si="9"/>
        <v>0</v>
      </c>
      <c r="AP69" s="15"/>
    </row>
    <row r="70" spans="1:42" hidden="1" x14ac:dyDescent="0.25">
      <c r="A70" s="25">
        <v>55</v>
      </c>
      <c r="B70" s="39" t="s">
        <v>293</v>
      </c>
      <c r="C70" s="10" t="s">
        <v>1033</v>
      </c>
      <c r="D70" s="3" t="s">
        <v>294</v>
      </c>
      <c r="E70" s="3" t="s">
        <v>295</v>
      </c>
      <c r="F70" s="6" t="s">
        <v>296</v>
      </c>
      <c r="G70" s="3" t="s">
        <v>297</v>
      </c>
      <c r="H70" s="3" t="s">
        <v>14</v>
      </c>
      <c r="I70" s="3" t="s">
        <v>6</v>
      </c>
      <c r="J70" s="3" t="s">
        <v>15</v>
      </c>
      <c r="K70" s="3" t="s">
        <v>298</v>
      </c>
      <c r="L70" s="3"/>
      <c r="M70" s="3"/>
      <c r="N70" s="3" t="s">
        <v>22</v>
      </c>
      <c r="O70" s="3"/>
      <c r="P70" s="3"/>
      <c r="Q70" s="4">
        <v>46052</v>
      </c>
      <c r="R70" s="5">
        <v>2012.5</v>
      </c>
      <c r="S70" s="3">
        <v>32</v>
      </c>
      <c r="T70" s="3"/>
      <c r="U70" s="3">
        <v>0</v>
      </c>
      <c r="V70" s="3" t="s">
        <v>8</v>
      </c>
      <c r="W70" s="5">
        <v>2012.5</v>
      </c>
      <c r="X70" s="3">
        <v>0</v>
      </c>
      <c r="Y70" s="3">
        <v>0</v>
      </c>
      <c r="Z70" s="3">
        <v>0</v>
      </c>
      <c r="AA70" s="3">
        <v>0</v>
      </c>
      <c r="AB70" s="5">
        <v>2012.5</v>
      </c>
      <c r="AD70" s="25"/>
      <c r="AE70" s="25"/>
      <c r="AF70" s="25"/>
      <c r="AG70" s="32"/>
      <c r="AH70" s="18"/>
      <c r="AI70" s="3"/>
      <c r="AJ70" s="3"/>
      <c r="AK70" s="3"/>
      <c r="AL70" s="15">
        <f t="shared" si="7"/>
        <v>0</v>
      </c>
      <c r="AM70" s="15">
        <f t="shared" si="8"/>
        <v>2012.5</v>
      </c>
      <c r="AN70" s="15">
        <f t="shared" ref="AN70:AN75" si="11">AM70</f>
        <v>2012.5</v>
      </c>
      <c r="AO70" s="15">
        <f t="shared" si="9"/>
        <v>0</v>
      </c>
    </row>
    <row r="71" spans="1:42" hidden="1" x14ac:dyDescent="0.25">
      <c r="A71" s="25">
        <v>56</v>
      </c>
      <c r="B71" s="39" t="s">
        <v>299</v>
      </c>
      <c r="C71" s="10" t="s">
        <v>1035</v>
      </c>
      <c r="D71" s="3" t="s">
        <v>300</v>
      </c>
      <c r="E71" s="3" t="s">
        <v>301</v>
      </c>
      <c r="F71" s="3" t="s">
        <v>302</v>
      </c>
      <c r="G71" s="3" t="s">
        <v>303</v>
      </c>
      <c r="H71" s="3" t="s">
        <v>14</v>
      </c>
      <c r="I71" s="3" t="s">
        <v>6</v>
      </c>
      <c r="J71" s="3" t="s">
        <v>15</v>
      </c>
      <c r="K71" s="3" t="s">
        <v>304</v>
      </c>
      <c r="L71" s="3"/>
      <c r="M71" s="3"/>
      <c r="N71" s="3"/>
      <c r="O71" s="6" t="s">
        <v>305</v>
      </c>
      <c r="P71" s="3"/>
      <c r="Q71" s="4">
        <v>46081</v>
      </c>
      <c r="R71" s="5">
        <v>230.15</v>
      </c>
      <c r="S71" s="3">
        <v>40</v>
      </c>
      <c r="T71" s="3"/>
      <c r="U71" s="3">
        <v>0</v>
      </c>
      <c r="V71" s="3" t="s">
        <v>8</v>
      </c>
      <c r="W71" s="5">
        <v>230.35</v>
      </c>
      <c r="X71" s="3">
        <v>0</v>
      </c>
      <c r="Y71" s="3">
        <v>0</v>
      </c>
      <c r="Z71" s="3">
        <v>0</v>
      </c>
      <c r="AA71" s="3">
        <v>0</v>
      </c>
      <c r="AB71" s="5">
        <v>230.35</v>
      </c>
      <c r="AD71" s="25"/>
      <c r="AE71" s="25"/>
      <c r="AF71" s="25"/>
      <c r="AG71" s="32"/>
      <c r="AH71" s="18"/>
      <c r="AI71" s="3"/>
      <c r="AJ71" s="3"/>
      <c r="AK71" s="3"/>
      <c r="AL71" s="15">
        <f t="shared" si="7"/>
        <v>0</v>
      </c>
      <c r="AM71" s="15">
        <f t="shared" si="8"/>
        <v>230.35</v>
      </c>
      <c r="AN71" s="15">
        <f t="shared" si="11"/>
        <v>230.35</v>
      </c>
      <c r="AO71" s="15">
        <f t="shared" si="9"/>
        <v>0</v>
      </c>
    </row>
    <row r="72" spans="1:42" hidden="1" x14ac:dyDescent="0.25">
      <c r="A72" s="25">
        <v>57</v>
      </c>
      <c r="B72" s="39" t="s">
        <v>306</v>
      </c>
      <c r="C72" s="10" t="s">
        <v>1036</v>
      </c>
      <c r="D72" s="3" t="s">
        <v>307</v>
      </c>
      <c r="E72" s="3" t="s">
        <v>308</v>
      </c>
      <c r="F72" s="3" t="s">
        <v>309</v>
      </c>
      <c r="G72" s="3" t="s">
        <v>310</v>
      </c>
      <c r="H72" s="3" t="s">
        <v>14</v>
      </c>
      <c r="I72" s="3" t="s">
        <v>6</v>
      </c>
      <c r="J72" s="3"/>
      <c r="K72" s="3" t="s">
        <v>311</v>
      </c>
      <c r="L72" s="3"/>
      <c r="M72" s="3"/>
      <c r="N72" s="3" t="s">
        <v>22</v>
      </c>
      <c r="O72" s="3"/>
      <c r="P72" s="3"/>
      <c r="Q72" s="4">
        <v>46081</v>
      </c>
      <c r="R72" s="5">
        <v>94.48</v>
      </c>
      <c r="S72" s="3">
        <v>43</v>
      </c>
      <c r="T72" s="3"/>
      <c r="U72" s="3">
        <v>0</v>
      </c>
      <c r="V72" s="3" t="s">
        <v>8</v>
      </c>
      <c r="W72" s="5">
        <v>94.48</v>
      </c>
      <c r="X72" s="3">
        <v>0</v>
      </c>
      <c r="Y72" s="3">
        <v>0</v>
      </c>
      <c r="Z72" s="3">
        <v>0</v>
      </c>
      <c r="AA72" s="3">
        <v>0</v>
      </c>
      <c r="AB72" s="5">
        <v>94.48</v>
      </c>
      <c r="AD72" s="25"/>
      <c r="AE72" s="25"/>
      <c r="AF72" s="25"/>
      <c r="AG72" s="32"/>
      <c r="AH72" s="18"/>
      <c r="AI72" s="3"/>
      <c r="AJ72" s="3"/>
      <c r="AK72" s="3"/>
      <c r="AL72" s="15">
        <f t="shared" si="7"/>
        <v>0</v>
      </c>
      <c r="AM72" s="15">
        <f t="shared" si="8"/>
        <v>94.48</v>
      </c>
      <c r="AN72" s="15">
        <f t="shared" si="11"/>
        <v>94.48</v>
      </c>
      <c r="AO72" s="15">
        <f t="shared" si="9"/>
        <v>0</v>
      </c>
    </row>
    <row r="73" spans="1:42" hidden="1" x14ac:dyDescent="0.25">
      <c r="A73" s="25">
        <v>58</v>
      </c>
      <c r="B73" s="39" t="s">
        <v>312</v>
      </c>
      <c r="C73" s="10" t="s">
        <v>1037</v>
      </c>
      <c r="D73" s="3" t="s">
        <v>313</v>
      </c>
      <c r="E73" s="3" t="s">
        <v>314</v>
      </c>
      <c r="F73" s="3" t="s">
        <v>315</v>
      </c>
      <c r="G73" s="3" t="s">
        <v>316</v>
      </c>
      <c r="H73" s="3" t="s">
        <v>14</v>
      </c>
      <c r="I73" s="3" t="s">
        <v>6</v>
      </c>
      <c r="J73" s="3"/>
      <c r="K73" s="3" t="s">
        <v>317</v>
      </c>
      <c r="L73" s="3"/>
      <c r="M73" s="3"/>
      <c r="N73" s="3"/>
      <c r="O73" s="3">
        <v>1540</v>
      </c>
      <c r="P73" s="3"/>
      <c r="Q73" s="4">
        <v>46081</v>
      </c>
      <c r="R73" s="5">
        <v>2493.9699999999998</v>
      </c>
      <c r="S73" s="3">
        <v>128</v>
      </c>
      <c r="T73" s="3" t="s">
        <v>318</v>
      </c>
      <c r="U73" s="3">
        <v>0</v>
      </c>
      <c r="V73" s="3" t="s">
        <v>8</v>
      </c>
      <c r="W73" s="5">
        <v>2493.9699999999998</v>
      </c>
      <c r="X73" s="3">
        <v>0</v>
      </c>
      <c r="Y73" s="3">
        <v>0</v>
      </c>
      <c r="Z73" s="3">
        <v>0</v>
      </c>
      <c r="AA73" s="3">
        <v>0</v>
      </c>
      <c r="AB73" s="5">
        <v>2493.9699999999998</v>
      </c>
      <c r="AD73" s="25"/>
      <c r="AE73" s="25"/>
      <c r="AF73" s="25"/>
      <c r="AG73" s="32"/>
      <c r="AH73" s="18"/>
      <c r="AI73" s="3"/>
      <c r="AJ73" s="3"/>
      <c r="AK73" s="3"/>
      <c r="AL73" s="15">
        <f t="shared" si="7"/>
        <v>0</v>
      </c>
      <c r="AM73" s="15">
        <f t="shared" si="8"/>
        <v>2493.9699999999998</v>
      </c>
      <c r="AN73" s="15">
        <f t="shared" si="11"/>
        <v>2493.9699999999998</v>
      </c>
      <c r="AO73" s="15">
        <f t="shared" si="9"/>
        <v>0</v>
      </c>
    </row>
    <row r="74" spans="1:42" hidden="1" x14ac:dyDescent="0.25">
      <c r="A74" s="25">
        <v>59</v>
      </c>
      <c r="B74" s="39">
        <v>1091</v>
      </c>
      <c r="C74" s="10"/>
      <c r="D74" s="3" t="s">
        <v>319</v>
      </c>
      <c r="E74" s="3" t="s">
        <v>319</v>
      </c>
      <c r="F74" s="3" t="s">
        <v>320</v>
      </c>
      <c r="G74" s="3" t="s">
        <v>321</v>
      </c>
      <c r="H74" s="3" t="s">
        <v>14</v>
      </c>
      <c r="I74" s="3" t="s">
        <v>6</v>
      </c>
      <c r="J74" s="3"/>
      <c r="K74" s="3" t="s">
        <v>322</v>
      </c>
      <c r="L74" s="3"/>
      <c r="M74" s="3"/>
      <c r="N74" s="3" t="s">
        <v>22</v>
      </c>
      <c r="O74" s="3"/>
      <c r="P74" s="3"/>
      <c r="Q74" s="4">
        <v>46081</v>
      </c>
      <c r="R74" s="5">
        <v>126.72</v>
      </c>
      <c r="S74" s="3">
        <v>42</v>
      </c>
      <c r="T74" s="3"/>
      <c r="U74" s="3">
        <v>0</v>
      </c>
      <c r="V74" s="3" t="s">
        <v>8</v>
      </c>
      <c r="W74" s="5">
        <v>126.72</v>
      </c>
      <c r="X74" s="3">
        <v>0</v>
      </c>
      <c r="Y74" s="3">
        <v>0</v>
      </c>
      <c r="Z74" s="3">
        <v>0</v>
      </c>
      <c r="AA74" s="3">
        <v>0</v>
      </c>
      <c r="AB74" s="5">
        <v>126.72</v>
      </c>
      <c r="AD74" s="25"/>
      <c r="AE74" s="25"/>
      <c r="AF74" s="25"/>
      <c r="AG74" s="32"/>
      <c r="AH74" s="18"/>
      <c r="AI74" s="3"/>
      <c r="AJ74" s="3"/>
      <c r="AK74" s="3"/>
      <c r="AL74" s="15">
        <f t="shared" si="7"/>
        <v>0</v>
      </c>
      <c r="AM74" s="15">
        <f t="shared" si="8"/>
        <v>126.72</v>
      </c>
      <c r="AN74" s="15">
        <f t="shared" si="11"/>
        <v>126.72</v>
      </c>
      <c r="AO74" s="15">
        <f t="shared" si="9"/>
        <v>0</v>
      </c>
    </row>
    <row r="75" spans="1:42" hidden="1" x14ac:dyDescent="0.25">
      <c r="A75" s="25">
        <v>61</v>
      </c>
      <c r="B75" s="39" t="s">
        <v>330</v>
      </c>
      <c r="C75" s="10" t="s">
        <v>1038</v>
      </c>
      <c r="D75" s="3" t="s">
        <v>331</v>
      </c>
      <c r="E75" s="3" t="s">
        <v>332</v>
      </c>
      <c r="F75" s="3" t="s">
        <v>333</v>
      </c>
      <c r="G75" s="3" t="s">
        <v>334</v>
      </c>
      <c r="H75" s="3" t="s">
        <v>14</v>
      </c>
      <c r="I75" s="3" t="s">
        <v>6</v>
      </c>
      <c r="J75" s="3" t="s">
        <v>15</v>
      </c>
      <c r="K75" s="3" t="s">
        <v>335</v>
      </c>
      <c r="L75" s="3"/>
      <c r="M75" s="3"/>
      <c r="N75" s="3"/>
      <c r="O75" s="3">
        <v>2041</v>
      </c>
      <c r="P75" s="3"/>
      <c r="Q75" s="4">
        <v>46081</v>
      </c>
      <c r="R75" s="5">
        <v>139.1</v>
      </c>
      <c r="S75" s="3">
        <v>148</v>
      </c>
      <c r="T75" s="3"/>
      <c r="U75" s="3">
        <v>0</v>
      </c>
      <c r="V75" s="3" t="s">
        <v>8</v>
      </c>
      <c r="W75" s="5">
        <v>139.1</v>
      </c>
      <c r="X75" s="3">
        <v>0</v>
      </c>
      <c r="Y75" s="3">
        <v>0</v>
      </c>
      <c r="Z75" s="3">
        <v>0</v>
      </c>
      <c r="AA75" s="3">
        <v>0</v>
      </c>
      <c r="AB75" s="5">
        <v>139.1</v>
      </c>
      <c r="AD75" s="25"/>
      <c r="AE75" s="25"/>
      <c r="AF75" s="25"/>
      <c r="AG75" s="32"/>
      <c r="AH75" s="18"/>
      <c r="AI75" s="3"/>
      <c r="AJ75" s="3"/>
      <c r="AK75" s="3"/>
      <c r="AL75" s="15">
        <f t="shared" si="7"/>
        <v>0</v>
      </c>
      <c r="AM75" s="15">
        <f t="shared" si="8"/>
        <v>139.1</v>
      </c>
      <c r="AN75" s="15">
        <f t="shared" si="11"/>
        <v>139.1</v>
      </c>
      <c r="AO75" s="15">
        <f t="shared" si="9"/>
        <v>0</v>
      </c>
    </row>
    <row r="76" spans="1:42" hidden="1" x14ac:dyDescent="0.25">
      <c r="A76" s="25">
        <v>63</v>
      </c>
      <c r="B76" s="39" t="s">
        <v>341</v>
      </c>
      <c r="C76" s="10" t="s">
        <v>1040</v>
      </c>
      <c r="D76" s="3" t="s">
        <v>342</v>
      </c>
      <c r="E76" s="3" t="s">
        <v>343</v>
      </c>
      <c r="F76" s="6" t="s">
        <v>344</v>
      </c>
      <c r="G76" s="3" t="s">
        <v>345</v>
      </c>
      <c r="H76" s="3" t="s">
        <v>14</v>
      </c>
      <c r="I76" s="3" t="s">
        <v>6</v>
      </c>
      <c r="J76" s="3" t="s">
        <v>33</v>
      </c>
      <c r="K76" s="3" t="s">
        <v>346</v>
      </c>
      <c r="L76" s="3"/>
      <c r="M76" s="3"/>
      <c r="N76" s="3" t="s">
        <v>22</v>
      </c>
      <c r="O76" s="3"/>
      <c r="P76" s="3"/>
      <c r="Q76" s="4">
        <v>46015</v>
      </c>
      <c r="R76" s="5">
        <v>9136.5499999999993</v>
      </c>
      <c r="S76" s="3">
        <v>376</v>
      </c>
      <c r="T76" s="3"/>
      <c r="U76" s="3">
        <v>0</v>
      </c>
      <c r="V76" s="3" t="s">
        <v>8</v>
      </c>
      <c r="W76" s="5">
        <v>17275.78</v>
      </c>
      <c r="X76" s="5">
        <v>17460.96</v>
      </c>
      <c r="Y76" s="5">
        <v>16472.599999999999</v>
      </c>
      <c r="Z76" s="5">
        <v>16472.599999999999</v>
      </c>
      <c r="AA76" s="5">
        <v>45682.8</v>
      </c>
      <c r="AB76" s="5">
        <v>113364.74</v>
      </c>
      <c r="AD76" s="25" t="s">
        <v>1177</v>
      </c>
      <c r="AE76" s="25" t="s">
        <v>1178</v>
      </c>
      <c r="AF76" s="26">
        <v>15000</v>
      </c>
      <c r="AG76" s="32"/>
      <c r="AH76" s="19"/>
      <c r="AI76" s="5"/>
      <c r="AJ76" s="5"/>
      <c r="AK76" s="5">
        <f>AF76</f>
        <v>15000</v>
      </c>
      <c r="AL76" s="15">
        <f t="shared" si="7"/>
        <v>15000</v>
      </c>
      <c r="AM76" s="15">
        <f t="shared" si="8"/>
        <v>98364.74</v>
      </c>
      <c r="AN76">
        <v>98364.74</v>
      </c>
      <c r="AO76" s="15">
        <f t="shared" si="9"/>
        <v>0</v>
      </c>
    </row>
    <row r="77" spans="1:42" hidden="1" x14ac:dyDescent="0.25">
      <c r="A77" s="25">
        <v>65</v>
      </c>
      <c r="B77" s="39" t="s">
        <v>353</v>
      </c>
      <c r="C77" s="10" t="s">
        <v>1042</v>
      </c>
      <c r="D77" s="3" t="s">
        <v>354</v>
      </c>
      <c r="E77" s="3" t="s">
        <v>355</v>
      </c>
      <c r="F77" s="3" t="s">
        <v>356</v>
      </c>
      <c r="G77" s="3" t="s">
        <v>357</v>
      </c>
      <c r="H77" s="3" t="s">
        <v>14</v>
      </c>
      <c r="I77" s="3" t="s">
        <v>6</v>
      </c>
      <c r="J77" s="3" t="s">
        <v>15</v>
      </c>
      <c r="K77" s="3" t="s">
        <v>358</v>
      </c>
      <c r="L77" s="3"/>
      <c r="M77" s="3"/>
      <c r="N77" s="3" t="s">
        <v>22</v>
      </c>
      <c r="O77" s="3"/>
      <c r="P77" s="3"/>
      <c r="Q77" s="4">
        <v>46003</v>
      </c>
      <c r="R77" s="5">
        <v>-4524.28</v>
      </c>
      <c r="S77" s="3">
        <v>93</v>
      </c>
      <c r="T77" s="3"/>
      <c r="U77" s="3">
        <v>0</v>
      </c>
      <c r="V77" s="3" t="s">
        <v>8</v>
      </c>
      <c r="W77" s="5">
        <v>4795.7299999999996</v>
      </c>
      <c r="X77" s="5">
        <v>4795.7299999999996</v>
      </c>
      <c r="Y77" s="5">
        <v>4524.28</v>
      </c>
      <c r="Z77" s="5">
        <v>4524.28</v>
      </c>
      <c r="AA77" s="5">
        <v>4524.28</v>
      </c>
      <c r="AB77" s="5">
        <v>23164.3</v>
      </c>
      <c r="AD77" s="25"/>
      <c r="AE77" s="25"/>
      <c r="AF77" s="25"/>
      <c r="AG77" s="32"/>
      <c r="AH77" s="19"/>
      <c r="AI77" s="5"/>
      <c r="AJ77" s="5"/>
      <c r="AK77" s="5"/>
      <c r="AL77" s="15">
        <f t="shared" si="7"/>
        <v>0</v>
      </c>
      <c r="AM77" s="15">
        <f t="shared" si="8"/>
        <v>23164.3</v>
      </c>
      <c r="AN77" s="15">
        <f>AM77</f>
        <v>23164.3</v>
      </c>
      <c r="AO77" s="15">
        <f t="shared" si="9"/>
        <v>0</v>
      </c>
    </row>
    <row r="78" spans="1:42" hidden="1" x14ac:dyDescent="0.25">
      <c r="A78" s="25">
        <v>67</v>
      </c>
      <c r="B78" s="39" t="s">
        <v>365</v>
      </c>
      <c r="C78" s="10" t="s">
        <v>1043</v>
      </c>
      <c r="D78" s="3" t="s">
        <v>366</v>
      </c>
      <c r="E78" s="3" t="s">
        <v>367</v>
      </c>
      <c r="F78" s="3" t="s">
        <v>368</v>
      </c>
      <c r="G78" s="3" t="s">
        <v>369</v>
      </c>
      <c r="H78" s="3" t="s">
        <v>14</v>
      </c>
      <c r="I78" s="3" t="s">
        <v>6</v>
      </c>
      <c r="J78" s="3" t="s">
        <v>15</v>
      </c>
      <c r="K78" s="3" t="s">
        <v>370</v>
      </c>
      <c r="L78" s="3"/>
      <c r="M78" s="3"/>
      <c r="N78" s="3" t="s">
        <v>22</v>
      </c>
      <c r="O78" s="3">
        <v>2000</v>
      </c>
      <c r="P78" s="3"/>
      <c r="Q78" s="4">
        <v>46081</v>
      </c>
      <c r="R78" s="5">
        <v>8083.26</v>
      </c>
      <c r="S78" s="3">
        <v>191</v>
      </c>
      <c r="T78" s="3"/>
      <c r="U78" s="3">
        <v>0</v>
      </c>
      <c r="V78" s="3" t="s">
        <v>8</v>
      </c>
      <c r="W78" s="5">
        <v>8083.26</v>
      </c>
      <c r="X78" s="3">
        <v>0</v>
      </c>
      <c r="Y78" s="3">
        <v>0</v>
      </c>
      <c r="Z78" s="3">
        <v>0</v>
      </c>
      <c r="AA78" s="3">
        <v>0</v>
      </c>
      <c r="AB78" s="5">
        <v>8083.26</v>
      </c>
      <c r="AD78" s="25"/>
      <c r="AE78" s="25"/>
      <c r="AF78" s="25"/>
      <c r="AG78" s="32"/>
      <c r="AH78" s="18"/>
      <c r="AI78" s="3"/>
      <c r="AJ78" s="3"/>
      <c r="AK78" s="3"/>
      <c r="AL78" s="15">
        <f t="shared" si="7"/>
        <v>0</v>
      </c>
      <c r="AM78" s="15">
        <f t="shared" si="8"/>
        <v>8083.26</v>
      </c>
      <c r="AN78" s="15">
        <f>AM78</f>
        <v>8083.26</v>
      </c>
      <c r="AO78" s="15">
        <f t="shared" si="9"/>
        <v>0</v>
      </c>
    </row>
    <row r="79" spans="1:42" hidden="1" x14ac:dyDescent="0.25">
      <c r="A79" s="25">
        <v>68</v>
      </c>
      <c r="B79" s="39" t="s">
        <v>371</v>
      </c>
      <c r="C79" s="10" t="s">
        <v>1044</v>
      </c>
      <c r="D79" s="3" t="s">
        <v>372</v>
      </c>
      <c r="E79" s="3" t="s">
        <v>373</v>
      </c>
      <c r="F79" s="3" t="s">
        <v>374</v>
      </c>
      <c r="G79" s="3" t="s">
        <v>375</v>
      </c>
      <c r="H79" s="3" t="s">
        <v>14</v>
      </c>
      <c r="I79" s="3" t="s">
        <v>6</v>
      </c>
      <c r="J79" s="3" t="s">
        <v>15</v>
      </c>
      <c r="K79" s="3" t="s">
        <v>376</v>
      </c>
      <c r="L79" s="3"/>
      <c r="M79" s="3"/>
      <c r="N79" s="3"/>
      <c r="O79" s="3"/>
      <c r="P79" s="3"/>
      <c r="Q79" s="4">
        <v>46081</v>
      </c>
      <c r="R79" s="5">
        <v>142.54</v>
      </c>
      <c r="S79" s="3">
        <v>40</v>
      </c>
      <c r="T79" s="3"/>
      <c r="U79" s="3">
        <v>0</v>
      </c>
      <c r="V79" s="3" t="s">
        <v>8</v>
      </c>
      <c r="W79" s="5">
        <v>142.54</v>
      </c>
      <c r="X79" s="3">
        <v>0</v>
      </c>
      <c r="Y79" s="3">
        <v>0</v>
      </c>
      <c r="Z79" s="3">
        <v>0</v>
      </c>
      <c r="AA79" s="3">
        <v>0</v>
      </c>
      <c r="AB79" s="5">
        <v>142.54</v>
      </c>
      <c r="AD79" s="25"/>
      <c r="AE79" s="25"/>
      <c r="AF79" s="25"/>
      <c r="AG79" s="32"/>
      <c r="AH79" s="18"/>
      <c r="AI79" s="3"/>
      <c r="AJ79" s="3"/>
      <c r="AK79" s="3"/>
      <c r="AL79" s="15">
        <f t="shared" si="7"/>
        <v>0</v>
      </c>
      <c r="AM79" s="15">
        <f t="shared" si="8"/>
        <v>142.54</v>
      </c>
      <c r="AN79" s="15">
        <f>AM79</f>
        <v>142.54</v>
      </c>
      <c r="AO79" s="15">
        <f t="shared" si="9"/>
        <v>0</v>
      </c>
    </row>
    <row r="80" spans="1:42" hidden="1" x14ac:dyDescent="0.25">
      <c r="A80" s="25">
        <v>69</v>
      </c>
      <c r="B80" s="39" t="s">
        <v>377</v>
      </c>
      <c r="C80" s="10" t="s">
        <v>1045</v>
      </c>
      <c r="D80" s="3" t="s">
        <v>378</v>
      </c>
      <c r="E80" s="3" t="s">
        <v>379</v>
      </c>
      <c r="F80" s="3" t="s">
        <v>380</v>
      </c>
      <c r="G80" s="3" t="s">
        <v>381</v>
      </c>
      <c r="H80" s="3" t="s">
        <v>14</v>
      </c>
      <c r="I80" s="3" t="s">
        <v>6</v>
      </c>
      <c r="J80" s="3" t="s">
        <v>15</v>
      </c>
      <c r="K80" s="3" t="s">
        <v>382</v>
      </c>
      <c r="L80" s="3"/>
      <c r="M80" s="3" t="s">
        <v>69</v>
      </c>
      <c r="N80" s="3" t="s">
        <v>22</v>
      </c>
      <c r="O80" s="3"/>
      <c r="P80" s="3"/>
      <c r="Q80" s="4">
        <v>46053</v>
      </c>
      <c r="R80" s="5">
        <v>4635.0600000000004</v>
      </c>
      <c r="S80" s="3">
        <v>124</v>
      </c>
      <c r="T80" s="3"/>
      <c r="U80" s="3">
        <v>0</v>
      </c>
      <c r="V80" s="3" t="s">
        <v>8</v>
      </c>
      <c r="W80" s="5">
        <v>4635.0600000000004</v>
      </c>
      <c r="X80" s="5">
        <v>4635.0600000000004</v>
      </c>
      <c r="Y80" s="3">
        <v>0</v>
      </c>
      <c r="Z80" s="3">
        <v>0</v>
      </c>
      <c r="AA80" s="3">
        <v>0</v>
      </c>
      <c r="AB80" s="5">
        <v>9270.1200000000008</v>
      </c>
      <c r="AD80" s="25" t="s">
        <v>1165</v>
      </c>
      <c r="AE80" s="25" t="s">
        <v>1166</v>
      </c>
      <c r="AF80" s="26">
        <v>4635.0600000000004</v>
      </c>
      <c r="AG80" s="32"/>
      <c r="AH80" s="19">
        <f>AF80</f>
        <v>4635.0600000000004</v>
      </c>
      <c r="AI80" s="3"/>
      <c r="AJ80" s="3"/>
      <c r="AK80" s="3"/>
      <c r="AL80" s="15">
        <f t="shared" si="7"/>
        <v>4635.0600000000004</v>
      </c>
      <c r="AM80" s="15">
        <f t="shared" si="8"/>
        <v>4635.0600000000004</v>
      </c>
      <c r="AN80">
        <v>4635.0600000000004</v>
      </c>
      <c r="AO80" s="15">
        <f t="shared" si="9"/>
        <v>0</v>
      </c>
    </row>
    <row r="81" spans="1:41" hidden="1" x14ac:dyDescent="0.25">
      <c r="A81" s="25">
        <v>70</v>
      </c>
      <c r="B81" s="39" t="s">
        <v>383</v>
      </c>
      <c r="C81" s="10" t="s">
        <v>1046</v>
      </c>
      <c r="D81" s="3" t="s">
        <v>384</v>
      </c>
      <c r="E81" s="3" t="s">
        <v>385</v>
      </c>
      <c r="F81" s="3"/>
      <c r="G81" s="3" t="s">
        <v>386</v>
      </c>
      <c r="H81" s="3" t="s">
        <v>14</v>
      </c>
      <c r="I81" s="3" t="s">
        <v>6</v>
      </c>
      <c r="J81" s="3"/>
      <c r="K81" s="3" t="s">
        <v>387</v>
      </c>
      <c r="L81" s="3"/>
      <c r="M81" s="3"/>
      <c r="N81" s="3" t="s">
        <v>22</v>
      </c>
      <c r="O81" s="3"/>
      <c r="P81" s="3"/>
      <c r="Q81" s="4">
        <v>46081</v>
      </c>
      <c r="R81" s="5">
        <v>1730.75</v>
      </c>
      <c r="S81" s="3">
        <v>121</v>
      </c>
      <c r="T81" s="3"/>
      <c r="U81" s="3">
        <v>0</v>
      </c>
      <c r="V81" s="3" t="s">
        <v>8</v>
      </c>
      <c r="W81" s="5">
        <v>1730.75</v>
      </c>
      <c r="X81" s="3">
        <v>0</v>
      </c>
      <c r="Y81" s="3">
        <v>0</v>
      </c>
      <c r="Z81" s="3">
        <v>0</v>
      </c>
      <c r="AA81" s="3">
        <v>0</v>
      </c>
      <c r="AB81" s="5">
        <v>1730.75</v>
      </c>
      <c r="AD81" s="25"/>
      <c r="AE81" s="25"/>
      <c r="AF81" s="25"/>
      <c r="AG81" s="32"/>
      <c r="AH81" s="18"/>
      <c r="AI81" s="3"/>
      <c r="AJ81" s="3"/>
      <c r="AK81" s="3"/>
      <c r="AL81" s="15">
        <f t="shared" ref="AL81:AL112" si="12">AH81+AI81+AJ81+AK81+AG81</f>
        <v>0</v>
      </c>
      <c r="AM81" s="15">
        <f t="shared" ref="AM81:AM112" si="13">AB81-AL81</f>
        <v>1730.75</v>
      </c>
      <c r="AN81" s="15">
        <f>AM81</f>
        <v>1730.75</v>
      </c>
      <c r="AO81" s="15">
        <f t="shared" ref="AO81:AO112" si="14">AM81-AN81</f>
        <v>0</v>
      </c>
    </row>
    <row r="82" spans="1:41" hidden="1" x14ac:dyDescent="0.25">
      <c r="A82" s="25">
        <v>71</v>
      </c>
      <c r="B82" s="39">
        <v>1122</v>
      </c>
      <c r="C82" s="10" t="s">
        <v>1047</v>
      </c>
      <c r="D82" s="3" t="s">
        <v>388</v>
      </c>
      <c r="E82" s="3" t="s">
        <v>389</v>
      </c>
      <c r="F82" s="3" t="s">
        <v>390</v>
      </c>
      <c r="G82" s="3" t="s">
        <v>391</v>
      </c>
      <c r="H82" s="3" t="s">
        <v>14</v>
      </c>
      <c r="I82" s="3" t="s">
        <v>6</v>
      </c>
      <c r="J82" s="3" t="s">
        <v>15</v>
      </c>
      <c r="K82" s="3" t="s">
        <v>392</v>
      </c>
      <c r="L82" s="3"/>
      <c r="M82" s="3"/>
      <c r="N82" s="3" t="s">
        <v>22</v>
      </c>
      <c r="O82" s="3">
        <v>2710</v>
      </c>
      <c r="P82" s="3"/>
      <c r="Q82" s="4">
        <v>46052</v>
      </c>
      <c r="R82" s="5">
        <v>19251.919999999998</v>
      </c>
      <c r="S82" s="3">
        <v>217</v>
      </c>
      <c r="T82" s="3"/>
      <c r="U82" s="3">
        <v>0</v>
      </c>
      <c r="V82" s="3" t="s">
        <v>8</v>
      </c>
      <c r="W82" s="5">
        <v>19251.919999999998</v>
      </c>
      <c r="X82" s="5">
        <v>19251.919999999998</v>
      </c>
      <c r="Y82" s="3">
        <v>0</v>
      </c>
      <c r="Z82" s="3">
        <v>0</v>
      </c>
      <c r="AA82" s="3">
        <v>0</v>
      </c>
      <c r="AB82" s="5">
        <v>38503.839999999997</v>
      </c>
      <c r="AD82" s="25" t="s">
        <v>1165</v>
      </c>
      <c r="AE82" s="25" t="e">
        <v>#VALUE!</v>
      </c>
      <c r="AF82" s="26">
        <v>19251.919999999998</v>
      </c>
      <c r="AG82" s="32"/>
      <c r="AH82" s="19">
        <f>X82</f>
        <v>19251.919999999998</v>
      </c>
      <c r="AI82" s="3"/>
      <c r="AJ82" s="3"/>
      <c r="AK82" s="3"/>
      <c r="AL82" s="15">
        <f t="shared" si="12"/>
        <v>19251.919999999998</v>
      </c>
      <c r="AM82" s="15">
        <f t="shared" si="13"/>
        <v>19251.919999999998</v>
      </c>
      <c r="AN82">
        <v>19251.919999999998</v>
      </c>
      <c r="AO82" s="15">
        <f t="shared" si="14"/>
        <v>0</v>
      </c>
    </row>
    <row r="83" spans="1:41" hidden="1" x14ac:dyDescent="0.25">
      <c r="A83" s="25">
        <v>72</v>
      </c>
      <c r="B83" s="39" t="s">
        <v>393</v>
      </c>
      <c r="C83" s="10" t="s">
        <v>1048</v>
      </c>
      <c r="D83" s="3" t="s">
        <v>394</v>
      </c>
      <c r="E83" s="3" t="s">
        <v>395</v>
      </c>
      <c r="F83" s="6" t="s">
        <v>396</v>
      </c>
      <c r="G83" s="3" t="s">
        <v>397</v>
      </c>
      <c r="H83" s="3" t="s">
        <v>14</v>
      </c>
      <c r="I83" s="3" t="s">
        <v>6</v>
      </c>
      <c r="J83" s="3" t="s">
        <v>15</v>
      </c>
      <c r="K83" s="3" t="s">
        <v>398</v>
      </c>
      <c r="L83" s="3"/>
      <c r="M83" s="3"/>
      <c r="N83" s="3"/>
      <c r="O83" s="6" t="s">
        <v>399</v>
      </c>
      <c r="P83" s="3"/>
      <c r="Q83" s="4">
        <v>46081</v>
      </c>
      <c r="R83" s="5">
        <v>476.54</v>
      </c>
      <c r="S83" s="3">
        <v>82</v>
      </c>
      <c r="T83" s="3"/>
      <c r="U83" s="3">
        <v>0</v>
      </c>
      <c r="V83" s="3" t="s">
        <v>8</v>
      </c>
      <c r="W83" s="5">
        <v>1467.84</v>
      </c>
      <c r="X83" s="3">
        <v>0</v>
      </c>
      <c r="Y83" s="3">
        <v>0</v>
      </c>
      <c r="Z83" s="3">
        <v>0</v>
      </c>
      <c r="AA83" s="3">
        <v>0</v>
      </c>
      <c r="AB83" s="5">
        <v>1467.84</v>
      </c>
      <c r="AD83" s="25"/>
      <c r="AE83" s="25"/>
      <c r="AF83" s="25"/>
      <c r="AG83" s="32"/>
      <c r="AH83" s="18"/>
      <c r="AI83" s="3"/>
      <c r="AJ83" s="3"/>
      <c r="AK83" s="3"/>
      <c r="AL83" s="15">
        <f t="shared" si="12"/>
        <v>0</v>
      </c>
      <c r="AM83" s="15">
        <f t="shared" si="13"/>
        <v>1467.84</v>
      </c>
      <c r="AN83" s="15">
        <f>AM83</f>
        <v>1467.84</v>
      </c>
      <c r="AO83" s="15">
        <f t="shared" si="14"/>
        <v>0</v>
      </c>
    </row>
    <row r="84" spans="1:41" hidden="1" x14ac:dyDescent="0.25">
      <c r="A84" s="25">
        <v>73</v>
      </c>
      <c r="B84" s="39" t="s">
        <v>400</v>
      </c>
      <c r="C84" s="10" t="s">
        <v>1049</v>
      </c>
      <c r="D84" s="3" t="s">
        <v>401</v>
      </c>
      <c r="E84" s="3" t="s">
        <v>402</v>
      </c>
      <c r="F84" s="6" t="s">
        <v>403</v>
      </c>
      <c r="G84" s="3" t="s">
        <v>404</v>
      </c>
      <c r="H84" s="3" t="s">
        <v>14</v>
      </c>
      <c r="I84" s="3" t="s">
        <v>6</v>
      </c>
      <c r="J84" s="3"/>
      <c r="K84" s="3" t="s">
        <v>405</v>
      </c>
      <c r="L84" s="3"/>
      <c r="M84" s="3"/>
      <c r="N84" s="3" t="s">
        <v>22</v>
      </c>
      <c r="O84" s="3"/>
      <c r="P84" s="3"/>
      <c r="Q84" s="4">
        <v>46081</v>
      </c>
      <c r="R84" s="5">
        <v>244.78</v>
      </c>
      <c r="S84" s="3">
        <v>49</v>
      </c>
      <c r="T84" s="3"/>
      <c r="U84" s="3">
        <v>0</v>
      </c>
      <c r="V84" s="3" t="s">
        <v>8</v>
      </c>
      <c r="W84" s="5">
        <v>244.78</v>
      </c>
      <c r="X84" s="3">
        <v>0</v>
      </c>
      <c r="Y84" s="3">
        <v>0</v>
      </c>
      <c r="Z84" s="3">
        <v>0</v>
      </c>
      <c r="AA84" s="3">
        <v>0</v>
      </c>
      <c r="AB84" s="5">
        <v>244.78</v>
      </c>
      <c r="AD84" s="25"/>
      <c r="AE84" s="25"/>
      <c r="AF84" s="25"/>
      <c r="AG84" s="32"/>
      <c r="AH84" s="18"/>
      <c r="AI84" s="3"/>
      <c r="AJ84" s="3"/>
      <c r="AK84" s="3"/>
      <c r="AL84" s="15">
        <f t="shared" si="12"/>
        <v>0</v>
      </c>
      <c r="AM84" s="15">
        <f t="shared" si="13"/>
        <v>244.78</v>
      </c>
      <c r="AN84" s="15">
        <f>AM84</f>
        <v>244.78</v>
      </c>
      <c r="AO84" s="15">
        <f t="shared" si="14"/>
        <v>0</v>
      </c>
    </row>
    <row r="85" spans="1:41" hidden="1" x14ac:dyDescent="0.25">
      <c r="A85" s="25">
        <v>74</v>
      </c>
      <c r="B85" s="39" t="s">
        <v>406</v>
      </c>
      <c r="C85" s="10"/>
      <c r="D85" s="3" t="s">
        <v>407</v>
      </c>
      <c r="E85" s="3" t="s">
        <v>408</v>
      </c>
      <c r="F85" s="3" t="s">
        <v>409</v>
      </c>
      <c r="G85" s="3" t="s">
        <v>410</v>
      </c>
      <c r="H85" s="3" t="s">
        <v>236</v>
      </c>
      <c r="I85" s="3" t="s">
        <v>6</v>
      </c>
      <c r="J85" s="3"/>
      <c r="K85" s="3" t="s">
        <v>411</v>
      </c>
      <c r="L85" s="3"/>
      <c r="M85" s="3"/>
      <c r="N85" s="3" t="s">
        <v>22</v>
      </c>
      <c r="O85" s="3"/>
      <c r="P85" s="3"/>
      <c r="Q85" s="4">
        <v>45925</v>
      </c>
      <c r="R85" s="5">
        <v>1000</v>
      </c>
      <c r="S85" s="3">
        <v>473</v>
      </c>
      <c r="T85" s="3"/>
      <c r="U85" s="3">
        <v>0</v>
      </c>
      <c r="V85" s="3" t="s">
        <v>8</v>
      </c>
      <c r="W85" s="3">
        <v>0</v>
      </c>
      <c r="X85" s="3">
        <v>0</v>
      </c>
      <c r="Y85" s="3">
        <v>0</v>
      </c>
      <c r="Z85" s="3">
        <v>0</v>
      </c>
      <c r="AA85" s="5">
        <v>57222.48</v>
      </c>
      <c r="AB85" s="5">
        <v>57222.48</v>
      </c>
      <c r="AD85" s="25"/>
      <c r="AE85" s="25"/>
      <c r="AF85" s="25"/>
      <c r="AG85" s="32"/>
      <c r="AH85" s="18"/>
      <c r="AI85" s="3"/>
      <c r="AJ85" s="3"/>
      <c r="AK85" s="5"/>
      <c r="AL85" s="15">
        <f t="shared" si="12"/>
        <v>0</v>
      </c>
      <c r="AM85" s="15">
        <f t="shared" si="13"/>
        <v>57222.48</v>
      </c>
      <c r="AN85" s="15">
        <f>AM85</f>
        <v>57222.48</v>
      </c>
      <c r="AO85" s="15">
        <f t="shared" si="14"/>
        <v>0</v>
      </c>
    </row>
    <row r="86" spans="1:41" hidden="1" x14ac:dyDescent="0.25">
      <c r="A86" s="25">
        <v>75</v>
      </c>
      <c r="B86" s="39" t="s">
        <v>412</v>
      </c>
      <c r="C86" s="10" t="s">
        <v>1050</v>
      </c>
      <c r="D86" s="3" t="s">
        <v>413</v>
      </c>
      <c r="E86" s="3" t="s">
        <v>414</v>
      </c>
      <c r="F86" s="6" t="s">
        <v>415</v>
      </c>
      <c r="G86" s="3" t="s">
        <v>416</v>
      </c>
      <c r="H86" s="3" t="s">
        <v>14</v>
      </c>
      <c r="I86" s="3" t="s">
        <v>6</v>
      </c>
      <c r="J86" s="3" t="s">
        <v>33</v>
      </c>
      <c r="K86" s="3" t="s">
        <v>417</v>
      </c>
      <c r="L86" s="3"/>
      <c r="M86" s="3"/>
      <c r="N86" s="3"/>
      <c r="O86" s="3">
        <v>2047</v>
      </c>
      <c r="P86" s="3"/>
      <c r="Q86" s="4">
        <v>46057</v>
      </c>
      <c r="R86" s="5">
        <v>11427.55</v>
      </c>
      <c r="S86" s="3">
        <v>476</v>
      </c>
      <c r="T86" s="3"/>
      <c r="U86" s="3">
        <v>0</v>
      </c>
      <c r="V86" s="3" t="s">
        <v>8</v>
      </c>
      <c r="W86" s="5">
        <v>11486.2</v>
      </c>
      <c r="X86" s="5">
        <v>11083.7</v>
      </c>
      <c r="Y86" s="3">
        <v>0</v>
      </c>
      <c r="Z86" s="3">
        <v>0</v>
      </c>
      <c r="AA86" s="3">
        <v>0</v>
      </c>
      <c r="AB86" s="5">
        <v>22569.9</v>
      </c>
      <c r="AD86" s="25" t="s">
        <v>1149</v>
      </c>
      <c r="AE86" s="25" t="s">
        <v>1172</v>
      </c>
      <c r="AF86" s="26">
        <v>11083.7</v>
      </c>
      <c r="AG86" s="32"/>
      <c r="AH86" s="19">
        <f>X86</f>
        <v>11083.7</v>
      </c>
      <c r="AI86" s="3"/>
      <c r="AJ86" s="3"/>
      <c r="AK86" s="3"/>
      <c r="AL86" s="15">
        <f t="shared" si="12"/>
        <v>11083.7</v>
      </c>
      <c r="AM86" s="15">
        <f t="shared" si="13"/>
        <v>11486.2</v>
      </c>
      <c r="AN86">
        <v>11486.2</v>
      </c>
      <c r="AO86" s="15">
        <f t="shared" si="14"/>
        <v>0</v>
      </c>
    </row>
    <row r="87" spans="1:41" hidden="1" x14ac:dyDescent="0.25">
      <c r="A87" s="25">
        <v>80</v>
      </c>
      <c r="B87" s="39" t="s">
        <v>433</v>
      </c>
      <c r="C87" s="10" t="s">
        <v>1054</v>
      </c>
      <c r="D87" s="3" t="s">
        <v>434</v>
      </c>
      <c r="E87" s="3" t="s">
        <v>435</v>
      </c>
      <c r="F87" s="3" t="s">
        <v>436</v>
      </c>
      <c r="G87" s="3" t="s">
        <v>437</v>
      </c>
      <c r="H87" s="3" t="s">
        <v>14</v>
      </c>
      <c r="I87" s="3"/>
      <c r="J87" s="3" t="s">
        <v>15</v>
      </c>
      <c r="K87" s="3" t="s">
        <v>438</v>
      </c>
      <c r="L87" s="3"/>
      <c r="M87" s="3"/>
      <c r="N87" s="3"/>
      <c r="O87" s="3">
        <v>1402</v>
      </c>
      <c r="P87" s="3"/>
      <c r="Q87" s="4">
        <v>46060</v>
      </c>
      <c r="R87" s="5">
        <v>2725.96</v>
      </c>
      <c r="S87" s="3">
        <v>154</v>
      </c>
      <c r="T87" s="3"/>
      <c r="U87" s="3">
        <v>0</v>
      </c>
      <c r="V87" s="3" t="s">
        <v>8</v>
      </c>
      <c r="W87" s="5">
        <v>2725.96</v>
      </c>
      <c r="X87" s="16">
        <v>2725.96</v>
      </c>
      <c r="Y87" s="3">
        <v>0</v>
      </c>
      <c r="Z87" s="3">
        <v>0</v>
      </c>
      <c r="AA87" s="3">
        <v>0</v>
      </c>
      <c r="AB87" s="5">
        <v>5451.92</v>
      </c>
      <c r="AD87" s="25" t="s">
        <v>1151</v>
      </c>
      <c r="AE87" s="25" t="s">
        <v>433</v>
      </c>
      <c r="AF87" s="26">
        <v>2725.96</v>
      </c>
      <c r="AG87" s="32"/>
      <c r="AH87" s="19">
        <f>AF87</f>
        <v>2725.96</v>
      </c>
      <c r="AI87" s="3"/>
      <c r="AJ87" s="3"/>
      <c r="AK87" s="3"/>
      <c r="AL87" s="15">
        <f t="shared" si="12"/>
        <v>2725.96</v>
      </c>
      <c r="AM87" s="15">
        <f t="shared" si="13"/>
        <v>2725.96</v>
      </c>
      <c r="AN87">
        <v>2725.96</v>
      </c>
      <c r="AO87" s="15">
        <f t="shared" si="14"/>
        <v>0</v>
      </c>
    </row>
    <row r="88" spans="1:41" hidden="1" x14ac:dyDescent="0.25">
      <c r="A88" s="25">
        <v>81</v>
      </c>
      <c r="B88" s="39">
        <v>1134</v>
      </c>
      <c r="C88" s="10" t="s">
        <v>1055</v>
      </c>
      <c r="D88" s="3" t="s">
        <v>439</v>
      </c>
      <c r="E88" s="3"/>
      <c r="F88" s="3" t="s">
        <v>440</v>
      </c>
      <c r="G88" s="3" t="s">
        <v>441</v>
      </c>
      <c r="H88" s="3" t="s">
        <v>14</v>
      </c>
      <c r="I88" s="3" t="s">
        <v>6</v>
      </c>
      <c r="J88" s="3" t="s">
        <v>15</v>
      </c>
      <c r="K88" s="3" t="s">
        <v>442</v>
      </c>
      <c r="L88" s="3"/>
      <c r="M88" s="3"/>
      <c r="N88" s="3" t="s">
        <v>22</v>
      </c>
      <c r="O88" s="3"/>
      <c r="P88" s="3"/>
      <c r="Q88" s="4">
        <v>46053</v>
      </c>
      <c r="R88" s="5">
        <v>28723.53</v>
      </c>
      <c r="S88" s="3">
        <v>110</v>
      </c>
      <c r="T88" s="3"/>
      <c r="U88" s="3">
        <v>0</v>
      </c>
      <c r="V88" s="3" t="s">
        <v>8</v>
      </c>
      <c r="W88" s="5">
        <v>28838.53</v>
      </c>
      <c r="X88" s="5">
        <v>28723.53</v>
      </c>
      <c r="Y88" s="3">
        <v>0</v>
      </c>
      <c r="Z88" s="3">
        <v>0</v>
      </c>
      <c r="AA88" s="3">
        <v>0</v>
      </c>
      <c r="AB88" s="5">
        <v>57562.06</v>
      </c>
      <c r="AD88" s="25" t="s">
        <v>1165</v>
      </c>
      <c r="AE88" s="25" t="s">
        <v>1187</v>
      </c>
      <c r="AF88" s="26">
        <v>28723.53</v>
      </c>
      <c r="AG88" s="32"/>
      <c r="AH88" s="19">
        <f>AF88</f>
        <v>28723.53</v>
      </c>
      <c r="AI88" s="3"/>
      <c r="AJ88" s="3"/>
      <c r="AK88" s="3"/>
      <c r="AL88" s="15">
        <f t="shared" si="12"/>
        <v>28723.53</v>
      </c>
      <c r="AM88" s="15">
        <f t="shared" si="13"/>
        <v>28838.53</v>
      </c>
      <c r="AN88">
        <v>28838.53</v>
      </c>
      <c r="AO88" s="15">
        <f t="shared" si="14"/>
        <v>0</v>
      </c>
    </row>
    <row r="89" spans="1:41" hidden="1" x14ac:dyDescent="0.25">
      <c r="A89" s="25">
        <v>82</v>
      </c>
      <c r="B89" s="39" t="s">
        <v>443</v>
      </c>
      <c r="C89" s="10" t="s">
        <v>1056</v>
      </c>
      <c r="D89" s="3" t="s">
        <v>444</v>
      </c>
      <c r="E89" s="3" t="s">
        <v>445</v>
      </c>
      <c r="F89" s="3"/>
      <c r="G89" s="3" t="s">
        <v>446</v>
      </c>
      <c r="H89" s="3" t="s">
        <v>14</v>
      </c>
      <c r="I89" s="3" t="s">
        <v>6</v>
      </c>
      <c r="J89" s="3"/>
      <c r="K89" s="3" t="s">
        <v>447</v>
      </c>
      <c r="L89" s="3"/>
      <c r="M89" s="3"/>
      <c r="N89" s="3" t="s">
        <v>22</v>
      </c>
      <c r="O89" s="3"/>
      <c r="P89" s="3"/>
      <c r="Q89" s="4">
        <v>45663</v>
      </c>
      <c r="R89" s="5">
        <v>4600</v>
      </c>
      <c r="S89" s="3">
        <v>95</v>
      </c>
      <c r="T89" s="3"/>
      <c r="U89" s="3">
        <v>0</v>
      </c>
      <c r="V89" s="3" t="s">
        <v>8</v>
      </c>
      <c r="W89" s="5">
        <v>7337</v>
      </c>
      <c r="X89" s="3">
        <v>0</v>
      </c>
      <c r="Y89" s="3">
        <v>0</v>
      </c>
      <c r="Z89" s="3">
        <v>0</v>
      </c>
      <c r="AA89" s="3">
        <v>0</v>
      </c>
      <c r="AB89" s="5">
        <v>7337</v>
      </c>
      <c r="AD89" s="25"/>
      <c r="AE89" s="25"/>
      <c r="AF89" s="25"/>
      <c r="AG89" s="32"/>
      <c r="AH89" s="18"/>
      <c r="AI89" s="3"/>
      <c r="AJ89" s="3"/>
      <c r="AK89" s="3"/>
      <c r="AL89" s="15">
        <f t="shared" si="12"/>
        <v>0</v>
      </c>
      <c r="AM89" s="15">
        <f t="shared" si="13"/>
        <v>7337</v>
      </c>
      <c r="AN89" s="15">
        <f>AM89</f>
        <v>7337</v>
      </c>
      <c r="AO89" s="15">
        <f t="shared" si="14"/>
        <v>0</v>
      </c>
    </row>
    <row r="90" spans="1:41" hidden="1" x14ac:dyDescent="0.25">
      <c r="A90" s="25">
        <v>83</v>
      </c>
      <c r="B90" s="39" t="s">
        <v>448</v>
      </c>
      <c r="C90" s="10" t="s">
        <v>1057</v>
      </c>
      <c r="D90" s="3" t="s">
        <v>449</v>
      </c>
      <c r="E90" s="3" t="s">
        <v>450</v>
      </c>
      <c r="F90" s="6" t="s">
        <v>451</v>
      </c>
      <c r="G90" s="3" t="s">
        <v>452</v>
      </c>
      <c r="H90" s="3" t="s">
        <v>14</v>
      </c>
      <c r="I90" s="3" t="s">
        <v>6</v>
      </c>
      <c r="J90" s="3" t="s">
        <v>15</v>
      </c>
      <c r="K90" s="3" t="s">
        <v>453</v>
      </c>
      <c r="L90" s="3"/>
      <c r="M90" s="3"/>
      <c r="N90" s="3" t="s">
        <v>22</v>
      </c>
      <c r="O90" s="3"/>
      <c r="P90" s="3"/>
      <c r="Q90" s="4">
        <v>46060</v>
      </c>
      <c r="R90" s="5">
        <v>2561.11</v>
      </c>
      <c r="S90" s="3">
        <v>230</v>
      </c>
      <c r="T90" s="3"/>
      <c r="U90" s="3">
        <v>0</v>
      </c>
      <c r="V90" s="3" t="s">
        <v>8</v>
      </c>
      <c r="W90" s="5">
        <v>2714.77</v>
      </c>
      <c r="X90" s="5">
        <v>2714.77</v>
      </c>
      <c r="Y90" s="16">
        <v>2561.11</v>
      </c>
      <c r="Z90" s="3">
        <v>0</v>
      </c>
      <c r="AA90" s="3">
        <v>0</v>
      </c>
      <c r="AB90" s="5">
        <v>7990.65</v>
      </c>
      <c r="AD90" s="25" t="s">
        <v>1151</v>
      </c>
      <c r="AE90" s="25" t="s">
        <v>1162</v>
      </c>
      <c r="AF90" s="26">
        <v>2561.11</v>
      </c>
      <c r="AG90" s="32"/>
      <c r="AH90" s="19"/>
      <c r="AI90" s="5">
        <f>AF90</f>
        <v>2561.11</v>
      </c>
      <c r="AJ90" s="3"/>
      <c r="AK90" s="3"/>
      <c r="AL90" s="15">
        <f t="shared" si="12"/>
        <v>2561.11</v>
      </c>
      <c r="AM90" s="15">
        <f t="shared" si="13"/>
        <v>5429.5399999999991</v>
      </c>
      <c r="AN90" s="15">
        <f>AM90</f>
        <v>5429.5399999999991</v>
      </c>
      <c r="AO90" s="15">
        <f t="shared" si="14"/>
        <v>0</v>
      </c>
    </row>
    <row r="91" spans="1:41" hidden="1" x14ac:dyDescent="0.25">
      <c r="A91" s="25">
        <v>85</v>
      </c>
      <c r="B91" s="39">
        <v>1133</v>
      </c>
      <c r="C91" s="10" t="s">
        <v>1058</v>
      </c>
      <c r="D91" s="3" t="s">
        <v>461</v>
      </c>
      <c r="E91" s="3" t="s">
        <v>462</v>
      </c>
      <c r="F91" s="6" t="s">
        <v>463</v>
      </c>
      <c r="G91" s="3" t="s">
        <v>464</v>
      </c>
      <c r="H91" s="3" t="s">
        <v>14</v>
      </c>
      <c r="I91" s="3" t="s">
        <v>6</v>
      </c>
      <c r="J91" s="3" t="s">
        <v>15</v>
      </c>
      <c r="K91" s="3" t="s">
        <v>465</v>
      </c>
      <c r="L91" s="3"/>
      <c r="M91" s="3"/>
      <c r="N91" s="3" t="s">
        <v>22</v>
      </c>
      <c r="O91" s="3"/>
      <c r="P91" s="3"/>
      <c r="Q91" s="4">
        <v>46052</v>
      </c>
      <c r="R91" s="5">
        <v>10102.219999999999</v>
      </c>
      <c r="S91" s="3">
        <v>129</v>
      </c>
      <c r="T91" s="3"/>
      <c r="U91" s="3">
        <v>0</v>
      </c>
      <c r="V91" s="3" t="s">
        <v>8</v>
      </c>
      <c r="W91" s="5">
        <v>10102.219999999999</v>
      </c>
      <c r="X91" s="3">
        <v>0</v>
      </c>
      <c r="Y91" s="3">
        <v>0</v>
      </c>
      <c r="Z91" s="3">
        <v>0</v>
      </c>
      <c r="AA91" s="3">
        <v>0</v>
      </c>
      <c r="AB91" s="5">
        <v>10102.219999999999</v>
      </c>
      <c r="AD91" s="25" t="s">
        <v>1165</v>
      </c>
      <c r="AE91" s="25" t="s">
        <v>1170</v>
      </c>
      <c r="AF91" s="26">
        <v>10102.219999999999</v>
      </c>
      <c r="AG91" s="33">
        <f>W91</f>
        <v>10102.219999999999</v>
      </c>
      <c r="AH91" s="18"/>
      <c r="AI91" s="3"/>
      <c r="AJ91" s="3"/>
      <c r="AK91" s="3"/>
      <c r="AL91" s="15">
        <f t="shared" si="12"/>
        <v>10102.219999999999</v>
      </c>
      <c r="AM91" s="15">
        <f t="shared" si="13"/>
        <v>0</v>
      </c>
      <c r="AN91">
        <v>0</v>
      </c>
      <c r="AO91" s="15">
        <f t="shared" si="14"/>
        <v>0</v>
      </c>
    </row>
    <row r="92" spans="1:41" hidden="1" x14ac:dyDescent="0.25">
      <c r="A92" s="25">
        <v>86</v>
      </c>
      <c r="B92" s="39" t="s">
        <v>466</v>
      </c>
      <c r="C92" s="10" t="s">
        <v>1059</v>
      </c>
      <c r="D92" s="3" t="s">
        <v>467</v>
      </c>
      <c r="E92" s="3" t="s">
        <v>468</v>
      </c>
      <c r="F92" s="3" t="s">
        <v>469</v>
      </c>
      <c r="G92" s="3" t="s">
        <v>470</v>
      </c>
      <c r="H92" s="3" t="s">
        <v>14</v>
      </c>
      <c r="I92" s="3" t="s">
        <v>6</v>
      </c>
      <c r="J92" s="3"/>
      <c r="K92" s="3" t="s">
        <v>471</v>
      </c>
      <c r="L92" s="3"/>
      <c r="M92" s="3"/>
      <c r="N92" s="3" t="s">
        <v>22</v>
      </c>
      <c r="O92" s="3"/>
      <c r="P92" s="3"/>
      <c r="Q92" s="4">
        <v>46081</v>
      </c>
      <c r="R92" s="5">
        <v>1025.06</v>
      </c>
      <c r="S92" s="3">
        <v>51</v>
      </c>
      <c r="T92" s="3"/>
      <c r="U92" s="3">
        <v>0</v>
      </c>
      <c r="V92" s="3" t="s">
        <v>8</v>
      </c>
      <c r="W92" s="5">
        <v>646.30999999999995</v>
      </c>
      <c r="X92" s="3">
        <v>0</v>
      </c>
      <c r="Y92" s="3">
        <v>0</v>
      </c>
      <c r="Z92" s="3">
        <v>0</v>
      </c>
      <c r="AA92" s="3">
        <v>0</v>
      </c>
      <c r="AB92" s="5">
        <v>646.30999999999995</v>
      </c>
      <c r="AD92" s="25"/>
      <c r="AE92" s="25"/>
      <c r="AF92" s="25"/>
      <c r="AG92" s="32"/>
      <c r="AH92" s="18"/>
      <c r="AI92" s="3"/>
      <c r="AJ92" s="3"/>
      <c r="AK92" s="3"/>
      <c r="AL92" s="15">
        <f t="shared" si="12"/>
        <v>0</v>
      </c>
      <c r="AM92" s="15">
        <f t="shared" si="13"/>
        <v>646.30999999999995</v>
      </c>
      <c r="AN92" s="15">
        <f>AM92</f>
        <v>646.30999999999995</v>
      </c>
      <c r="AO92" s="15">
        <f t="shared" si="14"/>
        <v>0</v>
      </c>
    </row>
    <row r="93" spans="1:41" hidden="1" x14ac:dyDescent="0.25">
      <c r="A93" s="25">
        <v>87</v>
      </c>
      <c r="B93" s="39" t="s">
        <v>472</v>
      </c>
      <c r="C93" s="10" t="s">
        <v>1060</v>
      </c>
      <c r="D93" s="3" t="s">
        <v>473</v>
      </c>
      <c r="E93" s="3" t="s">
        <v>474</v>
      </c>
      <c r="F93" s="3" t="s">
        <v>475</v>
      </c>
      <c r="G93" s="3" t="s">
        <v>476</v>
      </c>
      <c r="H93" s="3" t="s">
        <v>14</v>
      </c>
      <c r="I93" s="3" t="s">
        <v>6</v>
      </c>
      <c r="J93" s="3" t="s">
        <v>15</v>
      </c>
      <c r="K93" s="3" t="s">
        <v>477</v>
      </c>
      <c r="L93" s="3"/>
      <c r="M93" s="3"/>
      <c r="N93" s="3"/>
      <c r="O93" s="3"/>
      <c r="P93" s="3"/>
      <c r="Q93" s="4">
        <v>46081</v>
      </c>
      <c r="R93" s="5">
        <v>358.59</v>
      </c>
      <c r="S93" s="3">
        <v>40</v>
      </c>
      <c r="T93" s="3"/>
      <c r="U93" s="3">
        <v>0</v>
      </c>
      <c r="V93" s="3" t="s">
        <v>8</v>
      </c>
      <c r="W93" s="5">
        <v>358.59</v>
      </c>
      <c r="X93" s="3">
        <v>0</v>
      </c>
      <c r="Y93" s="3">
        <v>0</v>
      </c>
      <c r="Z93" s="3">
        <v>0</v>
      </c>
      <c r="AA93" s="3">
        <v>0</v>
      </c>
      <c r="AB93" s="5">
        <v>358.59</v>
      </c>
      <c r="AD93" s="25"/>
      <c r="AE93" s="25"/>
      <c r="AF93" s="25"/>
      <c r="AG93" s="32"/>
      <c r="AH93" s="18"/>
      <c r="AI93" s="3"/>
      <c r="AJ93" s="3"/>
      <c r="AK93" s="3"/>
      <c r="AL93" s="15">
        <f t="shared" si="12"/>
        <v>0</v>
      </c>
      <c r="AM93" s="15">
        <f t="shared" si="13"/>
        <v>358.59</v>
      </c>
      <c r="AN93" s="15">
        <f>AM93</f>
        <v>358.59</v>
      </c>
      <c r="AO93" s="15">
        <f t="shared" si="14"/>
        <v>0</v>
      </c>
    </row>
    <row r="94" spans="1:41" hidden="1" x14ac:dyDescent="0.25">
      <c r="A94" s="25">
        <v>88</v>
      </c>
      <c r="B94" s="39" t="s">
        <v>478</v>
      </c>
      <c r="C94" s="10" t="s">
        <v>1061</v>
      </c>
      <c r="D94" s="3" t="s">
        <v>479</v>
      </c>
      <c r="E94" s="3" t="s">
        <v>480</v>
      </c>
      <c r="F94" s="3" t="s">
        <v>481</v>
      </c>
      <c r="G94" s="3" t="s">
        <v>482</v>
      </c>
      <c r="H94" s="3" t="s">
        <v>14</v>
      </c>
      <c r="I94" s="3" t="s">
        <v>6</v>
      </c>
      <c r="J94" s="3" t="s">
        <v>33</v>
      </c>
      <c r="K94" s="3" t="s">
        <v>483</v>
      </c>
      <c r="L94" s="3"/>
      <c r="M94" s="3"/>
      <c r="N94" s="3"/>
      <c r="O94" s="3">
        <v>1600</v>
      </c>
      <c r="P94" s="3"/>
      <c r="Q94" s="4">
        <v>46080</v>
      </c>
      <c r="R94" s="5">
        <v>17493.34</v>
      </c>
      <c r="S94" s="3">
        <v>555</v>
      </c>
      <c r="T94" s="3"/>
      <c r="U94" s="3">
        <v>0</v>
      </c>
      <c r="V94" s="3" t="s">
        <v>8</v>
      </c>
      <c r="W94" s="5">
        <v>17493.34</v>
      </c>
      <c r="X94" s="3">
        <v>0</v>
      </c>
      <c r="Y94" s="3">
        <v>0</v>
      </c>
      <c r="Z94" s="3">
        <v>0</v>
      </c>
      <c r="AA94" s="3">
        <v>0</v>
      </c>
      <c r="AB94" s="5">
        <v>17493.34</v>
      </c>
      <c r="AD94" s="25" t="s">
        <v>1179</v>
      </c>
      <c r="AE94" s="25" t="s">
        <v>1180</v>
      </c>
      <c r="AF94" s="26">
        <v>17493.34</v>
      </c>
      <c r="AG94" s="32"/>
      <c r="AH94" s="18"/>
      <c r="AI94" s="3"/>
      <c r="AJ94" s="3"/>
      <c r="AK94" s="3"/>
      <c r="AL94" s="15">
        <f t="shared" si="12"/>
        <v>0</v>
      </c>
      <c r="AM94" s="15">
        <f t="shared" si="13"/>
        <v>17493.34</v>
      </c>
      <c r="AN94">
        <v>17493.34</v>
      </c>
      <c r="AO94" s="15">
        <f t="shared" si="14"/>
        <v>0</v>
      </c>
    </row>
    <row r="95" spans="1:41" hidden="1" x14ac:dyDescent="0.25">
      <c r="A95" s="25">
        <v>91</v>
      </c>
      <c r="B95" s="39" t="s">
        <v>495</v>
      </c>
      <c r="C95" s="10" t="s">
        <v>1063</v>
      </c>
      <c r="D95" s="3" t="s">
        <v>496</v>
      </c>
      <c r="E95" s="3" t="s">
        <v>314</v>
      </c>
      <c r="F95" s="3" t="s">
        <v>497</v>
      </c>
      <c r="G95" s="3" t="s">
        <v>316</v>
      </c>
      <c r="H95" s="3" t="s">
        <v>14</v>
      </c>
      <c r="I95" s="3" t="s">
        <v>6</v>
      </c>
      <c r="J95" s="3" t="s">
        <v>33</v>
      </c>
      <c r="K95" s="3" t="s">
        <v>498</v>
      </c>
      <c r="L95" s="3"/>
      <c r="M95" s="3"/>
      <c r="N95" s="3"/>
      <c r="O95" s="3">
        <v>2000</v>
      </c>
      <c r="P95" s="3"/>
      <c r="Q95" s="4">
        <v>46081</v>
      </c>
      <c r="R95" s="5">
        <v>2748.44</v>
      </c>
      <c r="S95" s="3">
        <v>359</v>
      </c>
      <c r="T95" s="3"/>
      <c r="U95" s="3">
        <v>0</v>
      </c>
      <c r="V95" s="3" t="s">
        <v>8</v>
      </c>
      <c r="W95" s="5">
        <v>19440.68</v>
      </c>
      <c r="X95" s="3">
        <v>0</v>
      </c>
      <c r="Y95" s="3">
        <v>0</v>
      </c>
      <c r="Z95" s="3">
        <v>0</v>
      </c>
      <c r="AA95" s="5">
        <v>-3.78</v>
      </c>
      <c r="AB95" s="5">
        <v>19436.900000000001</v>
      </c>
      <c r="AD95" s="25"/>
      <c r="AE95" s="25"/>
      <c r="AF95" s="25"/>
      <c r="AG95" s="32"/>
      <c r="AH95" s="18"/>
      <c r="AI95" s="3"/>
      <c r="AJ95" s="3"/>
      <c r="AK95" s="5"/>
      <c r="AL95" s="15">
        <f t="shared" si="12"/>
        <v>0</v>
      </c>
      <c r="AM95" s="15">
        <f t="shared" si="13"/>
        <v>19436.900000000001</v>
      </c>
      <c r="AN95" s="15">
        <f t="shared" ref="AN95:AN119" si="15">AM95</f>
        <v>19436.900000000001</v>
      </c>
      <c r="AO95" s="15">
        <f t="shared" si="14"/>
        <v>0</v>
      </c>
    </row>
    <row r="96" spans="1:41" hidden="1" x14ac:dyDescent="0.25">
      <c r="A96" s="25">
        <v>92</v>
      </c>
      <c r="B96" s="39" t="s">
        <v>499</v>
      </c>
      <c r="C96" s="10" t="s">
        <v>1064</v>
      </c>
      <c r="D96" s="3" t="s">
        <v>500</v>
      </c>
      <c r="E96" s="3" t="s">
        <v>314</v>
      </c>
      <c r="F96" s="3" t="s">
        <v>501</v>
      </c>
      <c r="G96" s="3" t="s">
        <v>316</v>
      </c>
      <c r="H96" s="3" t="s">
        <v>14</v>
      </c>
      <c r="I96" s="3" t="s">
        <v>6</v>
      </c>
      <c r="J96" s="3" t="s">
        <v>33</v>
      </c>
      <c r="K96" s="3" t="s">
        <v>502</v>
      </c>
      <c r="L96" s="3"/>
      <c r="M96" s="3"/>
      <c r="N96" s="3"/>
      <c r="O96" s="3">
        <v>2000</v>
      </c>
      <c r="P96" s="3"/>
      <c r="Q96" s="4">
        <v>46081</v>
      </c>
      <c r="R96" s="5">
        <v>1212.6400000000001</v>
      </c>
      <c r="S96" s="3">
        <v>71</v>
      </c>
      <c r="T96" s="3" t="s">
        <v>503</v>
      </c>
      <c r="U96" s="3">
        <v>0</v>
      </c>
      <c r="V96" s="3" t="s">
        <v>8</v>
      </c>
      <c r="W96" s="5">
        <v>1212.6400000000001</v>
      </c>
      <c r="X96" s="3">
        <v>0</v>
      </c>
      <c r="Y96" s="3">
        <v>0</v>
      </c>
      <c r="Z96" s="3">
        <v>0</v>
      </c>
      <c r="AA96" s="3">
        <v>0</v>
      </c>
      <c r="AB96" s="5">
        <v>1212.6400000000001</v>
      </c>
      <c r="AD96" s="25"/>
      <c r="AE96" s="25"/>
      <c r="AF96" s="25"/>
      <c r="AG96" s="32"/>
      <c r="AH96" s="18"/>
      <c r="AI96" s="3"/>
      <c r="AJ96" s="3"/>
      <c r="AK96" s="3"/>
      <c r="AL96" s="15">
        <f t="shared" si="12"/>
        <v>0</v>
      </c>
      <c r="AM96" s="15">
        <f t="shared" si="13"/>
        <v>1212.6400000000001</v>
      </c>
      <c r="AN96" s="15">
        <f t="shared" si="15"/>
        <v>1212.6400000000001</v>
      </c>
      <c r="AO96" s="15">
        <f t="shared" si="14"/>
        <v>0</v>
      </c>
    </row>
    <row r="97" spans="1:41" hidden="1" x14ac:dyDescent="0.25">
      <c r="A97" s="25">
        <v>93</v>
      </c>
      <c r="B97" s="39" t="s">
        <v>504</v>
      </c>
      <c r="C97" s="10"/>
      <c r="D97" s="3" t="s">
        <v>505</v>
      </c>
      <c r="E97" s="3" t="s">
        <v>506</v>
      </c>
      <c r="F97" s="3"/>
      <c r="G97" s="3" t="s">
        <v>507</v>
      </c>
      <c r="H97" s="3" t="s">
        <v>14</v>
      </c>
      <c r="I97" s="3" t="s">
        <v>6</v>
      </c>
      <c r="J97" s="3"/>
      <c r="K97" s="3" t="s">
        <v>508</v>
      </c>
      <c r="L97" s="3"/>
      <c r="M97" s="3"/>
      <c r="N97" s="3" t="s">
        <v>22</v>
      </c>
      <c r="O97" s="3"/>
      <c r="P97" s="3"/>
      <c r="Q97" s="4">
        <v>46081</v>
      </c>
      <c r="R97" s="5">
        <v>3908.2</v>
      </c>
      <c r="S97" s="3">
        <v>227</v>
      </c>
      <c r="T97" s="3"/>
      <c r="U97" s="3">
        <v>0</v>
      </c>
      <c r="V97" s="3" t="s">
        <v>8</v>
      </c>
      <c r="W97" s="5">
        <v>3908.2</v>
      </c>
      <c r="X97" s="3">
        <v>0</v>
      </c>
      <c r="Y97" s="3">
        <v>0</v>
      </c>
      <c r="Z97" s="3">
        <v>0</v>
      </c>
      <c r="AA97" s="3">
        <v>0</v>
      </c>
      <c r="AB97" s="5">
        <v>3908.2</v>
      </c>
      <c r="AD97" s="25"/>
      <c r="AE97" s="25"/>
      <c r="AF97" s="25"/>
      <c r="AG97" s="32"/>
      <c r="AH97" s="18"/>
      <c r="AI97" s="3"/>
      <c r="AJ97" s="3"/>
      <c r="AK97" s="3"/>
      <c r="AL97" s="15">
        <f t="shared" si="12"/>
        <v>0</v>
      </c>
      <c r="AM97" s="15">
        <f t="shared" si="13"/>
        <v>3908.2</v>
      </c>
      <c r="AN97" s="15">
        <f t="shared" si="15"/>
        <v>3908.2</v>
      </c>
      <c r="AO97" s="15">
        <f t="shared" si="14"/>
        <v>0</v>
      </c>
    </row>
    <row r="98" spans="1:41" hidden="1" x14ac:dyDescent="0.25">
      <c r="A98" s="25">
        <v>94</v>
      </c>
      <c r="B98" s="39" t="s">
        <v>509</v>
      </c>
      <c r="C98" s="10" t="s">
        <v>1065</v>
      </c>
      <c r="D98" s="3" t="s">
        <v>510</v>
      </c>
      <c r="E98" s="3" t="s">
        <v>30</v>
      </c>
      <c r="F98" s="3" t="s">
        <v>511</v>
      </c>
      <c r="G98" s="3" t="s">
        <v>512</v>
      </c>
      <c r="H98" s="3" t="s">
        <v>14</v>
      </c>
      <c r="I98" s="3" t="s">
        <v>6</v>
      </c>
      <c r="J98" s="3"/>
      <c r="K98" s="3" t="s">
        <v>513</v>
      </c>
      <c r="L98" s="3"/>
      <c r="M98" s="3"/>
      <c r="N98" s="3"/>
      <c r="O98" s="3"/>
      <c r="P98" s="3"/>
      <c r="Q98" s="4">
        <v>46053</v>
      </c>
      <c r="R98" s="5">
        <v>2870.02</v>
      </c>
      <c r="S98" s="3">
        <v>39</v>
      </c>
      <c r="T98" s="3"/>
      <c r="U98" s="3">
        <v>0</v>
      </c>
      <c r="V98" s="3" t="s">
        <v>8</v>
      </c>
      <c r="W98" s="5">
        <v>2870.02</v>
      </c>
      <c r="X98" s="3">
        <v>0</v>
      </c>
      <c r="Y98" s="3">
        <v>0</v>
      </c>
      <c r="Z98" s="3">
        <v>0</v>
      </c>
      <c r="AA98" s="3">
        <v>0</v>
      </c>
      <c r="AB98" s="5">
        <v>2870.02</v>
      </c>
      <c r="AD98" s="25"/>
      <c r="AE98" s="25"/>
      <c r="AF98" s="25"/>
      <c r="AG98" s="32"/>
      <c r="AH98" s="18"/>
      <c r="AI98" s="3"/>
      <c r="AJ98" s="3"/>
      <c r="AK98" s="3"/>
      <c r="AL98" s="15">
        <f t="shared" si="12"/>
        <v>0</v>
      </c>
      <c r="AM98" s="15">
        <f t="shared" si="13"/>
        <v>2870.02</v>
      </c>
      <c r="AN98" s="15">
        <f t="shared" si="15"/>
        <v>2870.02</v>
      </c>
      <c r="AO98" s="15">
        <f t="shared" si="14"/>
        <v>0</v>
      </c>
    </row>
    <row r="99" spans="1:41" hidden="1" x14ac:dyDescent="0.25">
      <c r="A99" s="25">
        <v>95</v>
      </c>
      <c r="B99" s="39">
        <v>1151</v>
      </c>
      <c r="C99" s="10" t="s">
        <v>1066</v>
      </c>
      <c r="D99" s="3" t="s">
        <v>514</v>
      </c>
      <c r="E99" s="3" t="s">
        <v>515</v>
      </c>
      <c r="F99" s="3" t="s">
        <v>516</v>
      </c>
      <c r="G99" s="3" t="s">
        <v>517</v>
      </c>
      <c r="H99" s="3" t="s">
        <v>14</v>
      </c>
      <c r="I99" s="3" t="s">
        <v>6</v>
      </c>
      <c r="J99" s="3"/>
      <c r="K99" s="3" t="s">
        <v>518</v>
      </c>
      <c r="L99" s="3"/>
      <c r="M99" s="3"/>
      <c r="N99" s="3" t="s">
        <v>22</v>
      </c>
      <c r="O99" s="3"/>
      <c r="P99" s="3"/>
      <c r="Q99" s="4">
        <v>46079</v>
      </c>
      <c r="R99" s="5">
        <v>2250.8200000000002</v>
      </c>
      <c r="S99" s="6" t="s">
        <v>519</v>
      </c>
      <c r="T99" s="3"/>
      <c r="U99" s="3">
        <v>0</v>
      </c>
      <c r="V99" s="3" t="s">
        <v>8</v>
      </c>
      <c r="W99" s="5">
        <v>10646.61</v>
      </c>
      <c r="X99" s="3">
        <v>0</v>
      </c>
      <c r="Y99" s="3">
        <v>0</v>
      </c>
      <c r="Z99" s="3">
        <v>0</v>
      </c>
      <c r="AA99" s="3">
        <v>0</v>
      </c>
      <c r="AB99" s="5">
        <v>10646.61</v>
      </c>
      <c r="AD99" s="25"/>
      <c r="AE99" s="25"/>
      <c r="AF99" s="25"/>
      <c r="AG99" s="32"/>
      <c r="AH99" s="18"/>
      <c r="AI99" s="3"/>
      <c r="AJ99" s="3"/>
      <c r="AK99" s="3"/>
      <c r="AL99" s="15">
        <f t="shared" si="12"/>
        <v>0</v>
      </c>
      <c r="AM99" s="15">
        <f t="shared" si="13"/>
        <v>10646.61</v>
      </c>
      <c r="AN99" s="15">
        <f t="shared" si="15"/>
        <v>10646.61</v>
      </c>
      <c r="AO99" s="15">
        <f t="shared" si="14"/>
        <v>0</v>
      </c>
    </row>
    <row r="100" spans="1:41" hidden="1" x14ac:dyDescent="0.25">
      <c r="A100" s="25">
        <v>96</v>
      </c>
      <c r="B100" s="39" t="s">
        <v>520</v>
      </c>
      <c r="C100" s="10" t="s">
        <v>1067</v>
      </c>
      <c r="D100" s="3" t="s">
        <v>521</v>
      </c>
      <c r="E100" s="3" t="s">
        <v>522</v>
      </c>
      <c r="F100" s="3" t="s">
        <v>523</v>
      </c>
      <c r="G100" s="3" t="s">
        <v>524</v>
      </c>
      <c r="H100" s="3" t="s">
        <v>14</v>
      </c>
      <c r="I100" s="3" t="s">
        <v>6</v>
      </c>
      <c r="J100" s="3"/>
      <c r="K100" s="3" t="s">
        <v>525</v>
      </c>
      <c r="L100" s="3"/>
      <c r="M100" s="3"/>
      <c r="N100" s="3" t="s">
        <v>22</v>
      </c>
      <c r="O100" s="3"/>
      <c r="P100" s="3"/>
      <c r="Q100" s="4">
        <v>46078</v>
      </c>
      <c r="R100" s="5">
        <v>4897.21</v>
      </c>
      <c r="S100" s="3">
        <v>179</v>
      </c>
      <c r="T100" s="3"/>
      <c r="U100" s="3">
        <v>0</v>
      </c>
      <c r="V100" s="3" t="s">
        <v>8</v>
      </c>
      <c r="W100" s="5">
        <v>4012.77</v>
      </c>
      <c r="X100" s="3">
        <v>0</v>
      </c>
      <c r="Y100" s="3">
        <v>0</v>
      </c>
      <c r="Z100" s="3">
        <v>0</v>
      </c>
      <c r="AA100" s="3">
        <v>0</v>
      </c>
      <c r="AB100" s="5">
        <v>4012.77</v>
      </c>
      <c r="AD100" s="25"/>
      <c r="AE100" s="25"/>
      <c r="AF100" s="25"/>
      <c r="AG100" s="32"/>
      <c r="AH100" s="18"/>
      <c r="AI100" s="3"/>
      <c r="AJ100" s="3"/>
      <c r="AK100" s="3"/>
      <c r="AL100" s="15">
        <f t="shared" si="12"/>
        <v>0</v>
      </c>
      <c r="AM100" s="15">
        <f t="shared" si="13"/>
        <v>4012.77</v>
      </c>
      <c r="AN100" s="15">
        <f t="shared" si="15"/>
        <v>4012.77</v>
      </c>
      <c r="AO100" s="15">
        <f t="shared" si="14"/>
        <v>0</v>
      </c>
    </row>
    <row r="101" spans="1:41" hidden="1" x14ac:dyDescent="0.25">
      <c r="A101" s="25">
        <v>97</v>
      </c>
      <c r="B101" s="39" t="s">
        <v>526</v>
      </c>
      <c r="C101" s="10" t="s">
        <v>1068</v>
      </c>
      <c r="D101" s="3" t="s">
        <v>527</v>
      </c>
      <c r="E101" s="3" t="s">
        <v>314</v>
      </c>
      <c r="F101" s="3" t="s">
        <v>528</v>
      </c>
      <c r="G101" s="3" t="s">
        <v>316</v>
      </c>
      <c r="H101" s="3" t="s">
        <v>14</v>
      </c>
      <c r="I101" s="3" t="s">
        <v>6</v>
      </c>
      <c r="J101" s="3" t="s">
        <v>33</v>
      </c>
      <c r="K101" s="3" t="s">
        <v>529</v>
      </c>
      <c r="L101" s="3"/>
      <c r="M101" s="3"/>
      <c r="N101" s="3"/>
      <c r="O101" s="3">
        <v>1422</v>
      </c>
      <c r="P101" s="3"/>
      <c r="Q101" s="4">
        <v>45930</v>
      </c>
      <c r="R101" s="5">
        <v>1207.5</v>
      </c>
      <c r="S101" s="3">
        <v>1339</v>
      </c>
      <c r="T101" s="3" t="s">
        <v>530</v>
      </c>
      <c r="U101" s="3">
        <v>0</v>
      </c>
      <c r="V101" s="3" t="s">
        <v>8</v>
      </c>
      <c r="W101" s="5">
        <v>28245.61</v>
      </c>
      <c r="X101" s="3">
        <v>0</v>
      </c>
      <c r="Y101" s="3">
        <v>0</v>
      </c>
      <c r="Z101" s="3">
        <v>0</v>
      </c>
      <c r="AA101" s="5">
        <v>-0.1</v>
      </c>
      <c r="AB101" s="5">
        <v>28245.51</v>
      </c>
      <c r="AD101" s="25"/>
      <c r="AE101" s="25"/>
      <c r="AF101" s="25"/>
      <c r="AG101" s="32"/>
      <c r="AH101" s="18"/>
      <c r="AI101" s="3"/>
      <c r="AJ101" s="3"/>
      <c r="AK101" s="5"/>
      <c r="AL101" s="15">
        <f t="shared" si="12"/>
        <v>0</v>
      </c>
      <c r="AM101" s="15">
        <f t="shared" si="13"/>
        <v>28245.51</v>
      </c>
      <c r="AN101" s="15">
        <f t="shared" si="15"/>
        <v>28245.51</v>
      </c>
      <c r="AO101" s="15">
        <f t="shared" si="14"/>
        <v>0</v>
      </c>
    </row>
    <row r="102" spans="1:41" hidden="1" x14ac:dyDescent="0.25">
      <c r="A102" s="25">
        <v>98</v>
      </c>
      <c r="B102" s="39" t="s">
        <v>531</v>
      </c>
      <c r="C102" s="10" t="s">
        <v>1069</v>
      </c>
      <c r="D102" s="3" t="s">
        <v>532</v>
      </c>
      <c r="E102" s="3" t="s">
        <v>314</v>
      </c>
      <c r="F102" s="3" t="s">
        <v>533</v>
      </c>
      <c r="G102" s="3" t="s">
        <v>316</v>
      </c>
      <c r="H102" s="3"/>
      <c r="I102" s="3" t="s">
        <v>6</v>
      </c>
      <c r="J102" s="3" t="s">
        <v>33</v>
      </c>
      <c r="K102" s="3" t="s">
        <v>534</v>
      </c>
      <c r="L102" s="3"/>
      <c r="M102" s="3"/>
      <c r="N102" s="3" t="s">
        <v>22</v>
      </c>
      <c r="O102" s="3"/>
      <c r="P102" s="3"/>
      <c r="Q102" s="4">
        <v>46081</v>
      </c>
      <c r="R102" s="5">
        <v>1212.6400000000001</v>
      </c>
      <c r="S102" s="3">
        <v>61</v>
      </c>
      <c r="T102" s="3"/>
      <c r="U102" s="3">
        <v>0</v>
      </c>
      <c r="V102" s="3" t="s">
        <v>8</v>
      </c>
      <c r="W102" s="5">
        <v>1212.6400000000001</v>
      </c>
      <c r="X102" s="3">
        <v>0</v>
      </c>
      <c r="Y102" s="3">
        <v>0</v>
      </c>
      <c r="Z102" s="3">
        <v>0</v>
      </c>
      <c r="AA102" s="3">
        <v>0</v>
      </c>
      <c r="AB102" s="5">
        <v>1212.6400000000001</v>
      </c>
      <c r="AD102" s="25"/>
      <c r="AE102" s="25"/>
      <c r="AF102" s="25"/>
      <c r="AG102" s="32"/>
      <c r="AH102" s="18"/>
      <c r="AI102" s="3"/>
      <c r="AJ102" s="3"/>
      <c r="AK102" s="3"/>
      <c r="AL102" s="15">
        <f t="shared" si="12"/>
        <v>0</v>
      </c>
      <c r="AM102" s="15">
        <f t="shared" si="13"/>
        <v>1212.6400000000001</v>
      </c>
      <c r="AN102" s="15">
        <f t="shared" si="15"/>
        <v>1212.6400000000001</v>
      </c>
      <c r="AO102" s="15">
        <f t="shared" si="14"/>
        <v>0</v>
      </c>
    </row>
    <row r="103" spans="1:41" hidden="1" x14ac:dyDescent="0.25">
      <c r="A103" s="25">
        <v>99</v>
      </c>
      <c r="B103" s="39" t="s">
        <v>535</v>
      </c>
      <c r="C103" s="10" t="s">
        <v>1070</v>
      </c>
      <c r="D103" s="3" t="s">
        <v>536</v>
      </c>
      <c r="E103" s="3" t="s">
        <v>314</v>
      </c>
      <c r="F103" s="3" t="s">
        <v>537</v>
      </c>
      <c r="G103" s="3" t="s">
        <v>316</v>
      </c>
      <c r="H103" s="3" t="s">
        <v>14</v>
      </c>
      <c r="I103" s="3" t="s">
        <v>6</v>
      </c>
      <c r="J103" s="3" t="s">
        <v>33</v>
      </c>
      <c r="K103" s="3" t="s">
        <v>538</v>
      </c>
      <c r="L103" s="3"/>
      <c r="M103" s="3"/>
      <c r="N103" s="3"/>
      <c r="O103" s="3">
        <v>2000</v>
      </c>
      <c r="P103" s="3"/>
      <c r="Q103" s="4">
        <v>46081</v>
      </c>
      <c r="R103" s="5">
        <v>6669.39</v>
      </c>
      <c r="S103" s="3">
        <v>127</v>
      </c>
      <c r="T103" s="3"/>
      <c r="U103" s="3">
        <v>0</v>
      </c>
      <c r="V103" s="3" t="s">
        <v>8</v>
      </c>
      <c r="W103" s="5">
        <v>7558.87</v>
      </c>
      <c r="X103" s="3">
        <v>0</v>
      </c>
      <c r="Y103" s="3">
        <v>0</v>
      </c>
      <c r="Z103" s="3">
        <v>0</v>
      </c>
      <c r="AA103" s="3">
        <v>0</v>
      </c>
      <c r="AB103" s="5">
        <v>7558.87</v>
      </c>
      <c r="AD103" s="25"/>
      <c r="AE103" s="25"/>
      <c r="AF103" s="25"/>
      <c r="AG103" s="32"/>
      <c r="AH103" s="18"/>
      <c r="AI103" s="3"/>
      <c r="AJ103" s="3"/>
      <c r="AK103" s="3"/>
      <c r="AL103" s="15">
        <f t="shared" si="12"/>
        <v>0</v>
      </c>
      <c r="AM103" s="15">
        <f t="shared" si="13"/>
        <v>7558.87</v>
      </c>
      <c r="AN103" s="15">
        <f t="shared" si="15"/>
        <v>7558.87</v>
      </c>
      <c r="AO103" s="15">
        <f t="shared" si="14"/>
        <v>0</v>
      </c>
    </row>
    <row r="104" spans="1:41" hidden="1" x14ac:dyDescent="0.25">
      <c r="A104" s="25">
        <v>100</v>
      </c>
      <c r="B104" s="39" t="s">
        <v>539</v>
      </c>
      <c r="C104" s="10" t="s">
        <v>1071</v>
      </c>
      <c r="D104" s="3" t="s">
        <v>540</v>
      </c>
      <c r="E104" s="3" t="s">
        <v>314</v>
      </c>
      <c r="F104" s="3" t="s">
        <v>541</v>
      </c>
      <c r="G104" s="3" t="s">
        <v>316</v>
      </c>
      <c r="H104" s="3" t="s">
        <v>14</v>
      </c>
      <c r="I104" s="3" t="s">
        <v>6</v>
      </c>
      <c r="J104" s="3" t="s">
        <v>33</v>
      </c>
      <c r="K104" s="3" t="s">
        <v>542</v>
      </c>
      <c r="L104" s="3"/>
      <c r="M104" s="3"/>
      <c r="N104" s="3"/>
      <c r="O104" s="3">
        <v>1508</v>
      </c>
      <c r="P104" s="3"/>
      <c r="Q104" s="4">
        <v>46081</v>
      </c>
      <c r="R104" s="5">
        <v>13064.4</v>
      </c>
      <c r="S104" s="3">
        <v>273</v>
      </c>
      <c r="T104" s="3" t="s">
        <v>543</v>
      </c>
      <c r="U104" s="3">
        <v>0</v>
      </c>
      <c r="V104" s="3" t="s">
        <v>8</v>
      </c>
      <c r="W104" s="5">
        <v>13064.4</v>
      </c>
      <c r="X104" s="3">
        <v>0</v>
      </c>
      <c r="Y104" s="3">
        <v>0</v>
      </c>
      <c r="Z104" s="3">
        <v>0</v>
      </c>
      <c r="AA104" s="5">
        <v>-0.06</v>
      </c>
      <c r="AB104" s="5">
        <v>13064.34</v>
      </c>
      <c r="AD104" s="25"/>
      <c r="AE104" s="25"/>
      <c r="AF104" s="25"/>
      <c r="AG104" s="32"/>
      <c r="AH104" s="18"/>
      <c r="AI104" s="3"/>
      <c r="AJ104" s="3"/>
      <c r="AK104" s="5"/>
      <c r="AL104" s="15">
        <f t="shared" si="12"/>
        <v>0</v>
      </c>
      <c r="AM104" s="15">
        <f t="shared" si="13"/>
        <v>13064.34</v>
      </c>
      <c r="AN104" s="15">
        <f t="shared" si="15"/>
        <v>13064.34</v>
      </c>
      <c r="AO104" s="15">
        <f t="shared" si="14"/>
        <v>0</v>
      </c>
    </row>
    <row r="105" spans="1:41" hidden="1" x14ac:dyDescent="0.25">
      <c r="A105" s="25">
        <v>101</v>
      </c>
      <c r="B105" s="39" t="s">
        <v>544</v>
      </c>
      <c r="C105" s="10" t="s">
        <v>1072</v>
      </c>
      <c r="D105" s="3" t="s">
        <v>545</v>
      </c>
      <c r="E105" s="3" t="s">
        <v>314</v>
      </c>
      <c r="F105" s="3" t="s">
        <v>533</v>
      </c>
      <c r="G105" s="3" t="s">
        <v>316</v>
      </c>
      <c r="H105" s="3" t="s">
        <v>14</v>
      </c>
      <c r="I105" s="3" t="s">
        <v>6</v>
      </c>
      <c r="J105" s="3" t="s">
        <v>33</v>
      </c>
      <c r="K105" s="3" t="s">
        <v>546</v>
      </c>
      <c r="L105" s="3"/>
      <c r="M105" s="3"/>
      <c r="N105" s="3"/>
      <c r="O105" s="3">
        <v>4110</v>
      </c>
      <c r="P105" s="3"/>
      <c r="Q105" s="4">
        <v>46081</v>
      </c>
      <c r="R105" s="5">
        <v>4495.95</v>
      </c>
      <c r="S105" s="3">
        <v>62</v>
      </c>
      <c r="T105" s="3"/>
      <c r="U105" s="3">
        <v>0</v>
      </c>
      <c r="V105" s="3" t="s">
        <v>8</v>
      </c>
      <c r="W105" s="5">
        <v>4495.91</v>
      </c>
      <c r="X105" s="3">
        <v>0</v>
      </c>
      <c r="Y105" s="3">
        <v>0</v>
      </c>
      <c r="Z105" s="3">
        <v>0</v>
      </c>
      <c r="AA105" s="3">
        <v>0</v>
      </c>
      <c r="AB105" s="5">
        <v>4495.91</v>
      </c>
      <c r="AD105" s="25"/>
      <c r="AE105" s="25"/>
      <c r="AF105" s="25"/>
      <c r="AG105" s="32"/>
      <c r="AH105" s="18"/>
      <c r="AI105" s="3"/>
      <c r="AJ105" s="3"/>
      <c r="AK105" s="3"/>
      <c r="AL105" s="15">
        <f t="shared" si="12"/>
        <v>0</v>
      </c>
      <c r="AM105" s="15">
        <f t="shared" si="13"/>
        <v>4495.91</v>
      </c>
      <c r="AN105" s="15">
        <f t="shared" si="15"/>
        <v>4495.91</v>
      </c>
      <c r="AO105" s="15">
        <f t="shared" si="14"/>
        <v>0</v>
      </c>
    </row>
    <row r="106" spans="1:41" hidden="1" x14ac:dyDescent="0.25">
      <c r="A106" s="25">
        <v>102</v>
      </c>
      <c r="B106" s="39" t="s">
        <v>547</v>
      </c>
      <c r="C106" s="10" t="s">
        <v>1073</v>
      </c>
      <c r="D106" s="3" t="s">
        <v>548</v>
      </c>
      <c r="E106" s="3" t="s">
        <v>314</v>
      </c>
      <c r="F106" s="3" t="s">
        <v>549</v>
      </c>
      <c r="G106" s="3" t="s">
        <v>316</v>
      </c>
      <c r="H106" s="3" t="s">
        <v>14</v>
      </c>
      <c r="I106" s="3" t="s">
        <v>6</v>
      </c>
      <c r="J106" s="3" t="s">
        <v>33</v>
      </c>
      <c r="K106" s="3" t="s">
        <v>550</v>
      </c>
      <c r="L106" s="3"/>
      <c r="M106" s="3"/>
      <c r="N106" s="3"/>
      <c r="O106" s="3">
        <v>9300</v>
      </c>
      <c r="P106" s="3"/>
      <c r="Q106" s="4">
        <v>46081</v>
      </c>
      <c r="R106" s="5">
        <v>15462.71</v>
      </c>
      <c r="S106" s="3">
        <v>284</v>
      </c>
      <c r="T106" s="3"/>
      <c r="U106" s="3">
        <v>0</v>
      </c>
      <c r="V106" s="3" t="s">
        <v>8</v>
      </c>
      <c r="W106" s="5">
        <v>15462.71</v>
      </c>
      <c r="X106" s="3">
        <v>0</v>
      </c>
      <c r="Y106" s="3">
        <v>0.01</v>
      </c>
      <c r="Z106" s="3">
        <v>0</v>
      </c>
      <c r="AA106" s="5">
        <v>-0.08</v>
      </c>
      <c r="AB106" s="5">
        <v>15462.64</v>
      </c>
      <c r="AD106" s="25"/>
      <c r="AE106" s="25"/>
      <c r="AF106" s="25"/>
      <c r="AG106" s="32"/>
      <c r="AH106" s="18"/>
      <c r="AI106" s="3"/>
      <c r="AJ106" s="3"/>
      <c r="AK106" s="5"/>
      <c r="AL106" s="15">
        <f t="shared" si="12"/>
        <v>0</v>
      </c>
      <c r="AM106" s="15">
        <f t="shared" si="13"/>
        <v>15462.64</v>
      </c>
      <c r="AN106" s="15">
        <f t="shared" si="15"/>
        <v>15462.64</v>
      </c>
      <c r="AO106" s="15">
        <f t="shared" si="14"/>
        <v>0</v>
      </c>
    </row>
    <row r="107" spans="1:41" hidden="1" x14ac:dyDescent="0.25">
      <c r="A107" s="25">
        <v>103</v>
      </c>
      <c r="B107" s="39" t="s">
        <v>551</v>
      </c>
      <c r="C107" s="10"/>
      <c r="D107" s="3" t="s">
        <v>552</v>
      </c>
      <c r="E107" s="3" t="s">
        <v>314</v>
      </c>
      <c r="F107" s="3" t="s">
        <v>553</v>
      </c>
      <c r="G107" s="3" t="s">
        <v>316</v>
      </c>
      <c r="H107" s="3" t="s">
        <v>14</v>
      </c>
      <c r="I107" s="3" t="s">
        <v>6</v>
      </c>
      <c r="J107" s="3" t="s">
        <v>33</v>
      </c>
      <c r="K107" s="3" t="s">
        <v>554</v>
      </c>
      <c r="L107" s="3"/>
      <c r="M107" s="3"/>
      <c r="N107" s="3"/>
      <c r="O107" s="3">
        <v>1960</v>
      </c>
      <c r="P107" s="3"/>
      <c r="Q107" s="4">
        <v>46081</v>
      </c>
      <c r="R107" s="5">
        <v>6778.22</v>
      </c>
      <c r="S107" s="3">
        <v>183</v>
      </c>
      <c r="T107" s="3"/>
      <c r="U107" s="3">
        <v>0</v>
      </c>
      <c r="V107" s="3" t="s">
        <v>8</v>
      </c>
      <c r="W107" s="5">
        <v>14691.38</v>
      </c>
      <c r="X107" s="3">
        <v>0</v>
      </c>
      <c r="Y107" s="3">
        <v>0</v>
      </c>
      <c r="Z107" s="3">
        <v>0</v>
      </c>
      <c r="AA107" s="3">
        <v>0</v>
      </c>
      <c r="AB107" s="5">
        <v>14691.38</v>
      </c>
      <c r="AD107" s="25"/>
      <c r="AE107" s="25"/>
      <c r="AF107" s="25"/>
      <c r="AG107" s="32"/>
      <c r="AH107" s="18"/>
      <c r="AI107" s="3"/>
      <c r="AJ107" s="3"/>
      <c r="AK107" s="3"/>
      <c r="AL107" s="15">
        <f t="shared" si="12"/>
        <v>0</v>
      </c>
      <c r="AM107" s="15">
        <f t="shared" si="13"/>
        <v>14691.38</v>
      </c>
      <c r="AN107" s="15">
        <f t="shared" si="15"/>
        <v>14691.38</v>
      </c>
      <c r="AO107" s="15">
        <f t="shared" si="14"/>
        <v>0</v>
      </c>
    </row>
    <row r="108" spans="1:41" hidden="1" x14ac:dyDescent="0.25">
      <c r="A108" s="25">
        <v>104</v>
      </c>
      <c r="B108" s="39" t="s">
        <v>555</v>
      </c>
      <c r="C108" s="10" t="s">
        <v>1074</v>
      </c>
      <c r="D108" s="3" t="s">
        <v>556</v>
      </c>
      <c r="E108" s="3" t="s">
        <v>314</v>
      </c>
      <c r="F108" s="3" t="s">
        <v>557</v>
      </c>
      <c r="G108" s="3" t="s">
        <v>316</v>
      </c>
      <c r="H108" s="3" t="s">
        <v>14</v>
      </c>
      <c r="I108" s="3" t="s">
        <v>6</v>
      </c>
      <c r="J108" s="3" t="s">
        <v>33</v>
      </c>
      <c r="K108" s="3" t="s">
        <v>558</v>
      </c>
      <c r="L108" s="3"/>
      <c r="M108" s="3"/>
      <c r="N108" s="3"/>
      <c r="O108" s="3">
        <v>7535</v>
      </c>
      <c r="P108" s="3"/>
      <c r="Q108" s="4">
        <v>46081</v>
      </c>
      <c r="R108" s="5">
        <v>23815.02</v>
      </c>
      <c r="S108" s="3">
        <v>290</v>
      </c>
      <c r="T108" s="3" t="s">
        <v>559</v>
      </c>
      <c r="U108" s="3">
        <v>0</v>
      </c>
      <c r="V108" s="3" t="s">
        <v>8</v>
      </c>
      <c r="W108" s="5">
        <v>23815.02</v>
      </c>
      <c r="X108" s="3">
        <v>0</v>
      </c>
      <c r="Y108" s="3">
        <v>0</v>
      </c>
      <c r="Z108" s="3">
        <v>0</v>
      </c>
      <c r="AA108" s="3">
        <v>0</v>
      </c>
      <c r="AB108" s="5">
        <v>23815.02</v>
      </c>
      <c r="AD108" s="25"/>
      <c r="AE108" s="25"/>
      <c r="AF108" s="25"/>
      <c r="AG108" s="32"/>
      <c r="AH108" s="18"/>
      <c r="AI108" s="3"/>
      <c r="AJ108" s="3"/>
      <c r="AK108" s="3"/>
      <c r="AL108" s="15">
        <f t="shared" si="12"/>
        <v>0</v>
      </c>
      <c r="AM108" s="15">
        <f t="shared" si="13"/>
        <v>23815.02</v>
      </c>
      <c r="AN108" s="15">
        <f t="shared" si="15"/>
        <v>23815.02</v>
      </c>
      <c r="AO108" s="15">
        <f t="shared" si="14"/>
        <v>0</v>
      </c>
    </row>
    <row r="109" spans="1:41" hidden="1" x14ac:dyDescent="0.25">
      <c r="A109" s="25">
        <v>105</v>
      </c>
      <c r="B109" s="39" t="s">
        <v>560</v>
      </c>
      <c r="C109" s="10" t="s">
        <v>1075</v>
      </c>
      <c r="D109" s="3" t="s">
        <v>561</v>
      </c>
      <c r="E109" s="3" t="s">
        <v>314</v>
      </c>
      <c r="F109" s="3" t="s">
        <v>533</v>
      </c>
      <c r="G109" s="3" t="s">
        <v>316</v>
      </c>
      <c r="H109" s="3" t="s">
        <v>14</v>
      </c>
      <c r="I109" s="3" t="s">
        <v>6</v>
      </c>
      <c r="J109" s="3" t="s">
        <v>33</v>
      </c>
      <c r="K109" s="3" t="s">
        <v>546</v>
      </c>
      <c r="L109" s="3"/>
      <c r="M109" s="3"/>
      <c r="N109" s="3"/>
      <c r="O109" s="3">
        <v>4000</v>
      </c>
      <c r="P109" s="3"/>
      <c r="Q109" s="4">
        <v>46081</v>
      </c>
      <c r="R109" s="5">
        <v>3314.76</v>
      </c>
      <c r="S109" s="3">
        <v>216</v>
      </c>
      <c r="T109" s="3" t="s">
        <v>562</v>
      </c>
      <c r="U109" s="3">
        <v>0</v>
      </c>
      <c r="V109" s="3" t="s">
        <v>8</v>
      </c>
      <c r="W109" s="5">
        <v>30561.75</v>
      </c>
      <c r="X109" s="3">
        <v>0.01</v>
      </c>
      <c r="Y109" s="3">
        <v>0.01</v>
      </c>
      <c r="Z109" s="3">
        <v>0.01</v>
      </c>
      <c r="AA109" s="3">
        <v>0.01</v>
      </c>
      <c r="AB109" s="5">
        <v>30561.79</v>
      </c>
      <c r="AD109" s="25"/>
      <c r="AE109" s="25"/>
      <c r="AF109" s="25"/>
      <c r="AG109" s="32"/>
      <c r="AH109" s="18"/>
      <c r="AI109" s="3"/>
      <c r="AJ109" s="3"/>
      <c r="AK109" s="3"/>
      <c r="AL109" s="15">
        <f t="shared" si="12"/>
        <v>0</v>
      </c>
      <c r="AM109" s="15">
        <f t="shared" si="13"/>
        <v>30561.79</v>
      </c>
      <c r="AN109" s="15">
        <f t="shared" si="15"/>
        <v>30561.79</v>
      </c>
      <c r="AO109" s="15">
        <f t="shared" si="14"/>
        <v>0</v>
      </c>
    </row>
    <row r="110" spans="1:41" hidden="1" x14ac:dyDescent="0.25">
      <c r="A110" s="25">
        <v>106</v>
      </c>
      <c r="B110" s="39" t="s">
        <v>563</v>
      </c>
      <c r="C110" s="10" t="s">
        <v>1076</v>
      </c>
      <c r="D110" s="3" t="s">
        <v>564</v>
      </c>
      <c r="E110" s="3" t="s">
        <v>314</v>
      </c>
      <c r="F110" s="3" t="s">
        <v>541</v>
      </c>
      <c r="G110" s="3" t="s">
        <v>316</v>
      </c>
      <c r="H110" s="3" t="s">
        <v>14</v>
      </c>
      <c r="I110" s="3" t="s">
        <v>6</v>
      </c>
      <c r="J110" s="3" t="s">
        <v>33</v>
      </c>
      <c r="K110" s="3" t="s">
        <v>565</v>
      </c>
      <c r="L110" s="3"/>
      <c r="M110" s="3"/>
      <c r="N110" s="3"/>
      <c r="O110" s="3">
        <v>2000</v>
      </c>
      <c r="P110" s="3"/>
      <c r="Q110" s="4">
        <v>46081</v>
      </c>
      <c r="R110" s="5">
        <v>62304.67</v>
      </c>
      <c r="S110" s="3">
        <v>463</v>
      </c>
      <c r="T110" s="3" t="s">
        <v>566</v>
      </c>
      <c r="U110" s="3">
        <v>0</v>
      </c>
      <c r="V110" s="3" t="s">
        <v>8</v>
      </c>
      <c r="W110" s="5">
        <v>62304.639999999999</v>
      </c>
      <c r="X110" s="3">
        <v>0</v>
      </c>
      <c r="Y110" s="3">
        <v>0</v>
      </c>
      <c r="Z110" s="3">
        <v>0</v>
      </c>
      <c r="AA110" s="5">
        <v>-0.38</v>
      </c>
      <c r="AB110" s="5">
        <v>62304.26</v>
      </c>
      <c r="AD110" s="25"/>
      <c r="AE110" s="25"/>
      <c r="AF110" s="25"/>
      <c r="AG110" s="32"/>
      <c r="AH110" s="18"/>
      <c r="AI110" s="3"/>
      <c r="AJ110" s="3"/>
      <c r="AK110" s="5"/>
      <c r="AL110" s="15">
        <f t="shared" si="12"/>
        <v>0</v>
      </c>
      <c r="AM110" s="15">
        <f t="shared" si="13"/>
        <v>62304.26</v>
      </c>
      <c r="AN110" s="15">
        <f t="shared" si="15"/>
        <v>62304.26</v>
      </c>
      <c r="AO110" s="15">
        <f t="shared" si="14"/>
        <v>0</v>
      </c>
    </row>
    <row r="111" spans="1:41" hidden="1" x14ac:dyDescent="0.25">
      <c r="A111" s="25">
        <v>107</v>
      </c>
      <c r="B111" s="39" t="s">
        <v>567</v>
      </c>
      <c r="C111" s="10" t="s">
        <v>1077</v>
      </c>
      <c r="D111" s="3" t="s">
        <v>568</v>
      </c>
      <c r="E111" s="3" t="s">
        <v>314</v>
      </c>
      <c r="F111" s="3" t="s">
        <v>569</v>
      </c>
      <c r="G111" s="3" t="s">
        <v>316</v>
      </c>
      <c r="H111" s="3" t="s">
        <v>14</v>
      </c>
      <c r="I111" s="3" t="s">
        <v>6</v>
      </c>
      <c r="J111" s="3"/>
      <c r="K111" s="3" t="s">
        <v>570</v>
      </c>
      <c r="L111" s="3"/>
      <c r="M111" s="3"/>
      <c r="N111" s="3"/>
      <c r="O111" s="3">
        <v>2000</v>
      </c>
      <c r="P111" s="3"/>
      <c r="Q111" s="4">
        <v>46081</v>
      </c>
      <c r="R111" s="5">
        <v>4091.06</v>
      </c>
      <c r="S111" s="3">
        <v>414</v>
      </c>
      <c r="T111" s="3"/>
      <c r="U111" s="3">
        <v>0</v>
      </c>
      <c r="V111" s="3" t="s">
        <v>8</v>
      </c>
      <c r="W111" s="5">
        <v>3646.31</v>
      </c>
      <c r="X111" s="3">
        <v>0</v>
      </c>
      <c r="Y111" s="3">
        <v>0</v>
      </c>
      <c r="Z111" s="3">
        <v>0</v>
      </c>
      <c r="AA111" s="3">
        <v>0.04</v>
      </c>
      <c r="AB111" s="5">
        <v>3646.35</v>
      </c>
      <c r="AD111" s="25"/>
      <c r="AE111" s="25"/>
      <c r="AF111" s="25"/>
      <c r="AG111" s="32"/>
      <c r="AH111" s="18"/>
      <c r="AI111" s="3"/>
      <c r="AJ111" s="3"/>
      <c r="AK111" s="3"/>
      <c r="AL111" s="15">
        <f t="shared" si="12"/>
        <v>0</v>
      </c>
      <c r="AM111" s="15">
        <f t="shared" si="13"/>
        <v>3646.35</v>
      </c>
      <c r="AN111" s="15">
        <f t="shared" si="15"/>
        <v>3646.35</v>
      </c>
      <c r="AO111" s="15">
        <f t="shared" si="14"/>
        <v>0</v>
      </c>
    </row>
    <row r="112" spans="1:41" hidden="1" x14ac:dyDescent="0.25">
      <c r="A112" s="25">
        <v>108</v>
      </c>
      <c r="B112" s="39" t="s">
        <v>571</v>
      </c>
      <c r="C112" s="10" t="s">
        <v>1078</v>
      </c>
      <c r="D112" s="3" t="s">
        <v>572</v>
      </c>
      <c r="E112" s="3" t="s">
        <v>314</v>
      </c>
      <c r="F112" s="3" t="s">
        <v>541</v>
      </c>
      <c r="G112" s="3" t="s">
        <v>316</v>
      </c>
      <c r="H112" s="3" t="s">
        <v>14</v>
      </c>
      <c r="I112" s="3" t="s">
        <v>6</v>
      </c>
      <c r="J112" s="3" t="s">
        <v>33</v>
      </c>
      <c r="K112" s="3" t="s">
        <v>573</v>
      </c>
      <c r="L112" s="3"/>
      <c r="M112" s="3"/>
      <c r="N112" s="3"/>
      <c r="O112" s="3">
        <v>1390</v>
      </c>
      <c r="P112" s="3"/>
      <c r="Q112" s="4">
        <v>46081</v>
      </c>
      <c r="R112" s="5">
        <v>4051.17</v>
      </c>
      <c r="S112" s="3">
        <v>166</v>
      </c>
      <c r="T112" s="3" t="s">
        <v>574</v>
      </c>
      <c r="U112" s="3">
        <v>0</v>
      </c>
      <c r="V112" s="3" t="s">
        <v>8</v>
      </c>
      <c r="W112" s="5">
        <v>4051.17</v>
      </c>
      <c r="X112" s="3">
        <v>0</v>
      </c>
      <c r="Y112" s="3">
        <v>0</v>
      </c>
      <c r="Z112" s="3">
        <v>0</v>
      </c>
      <c r="AA112" s="3">
        <v>0</v>
      </c>
      <c r="AB112" s="5">
        <v>4051.17</v>
      </c>
      <c r="AD112" s="25"/>
      <c r="AE112" s="25"/>
      <c r="AF112" s="25"/>
      <c r="AG112" s="32"/>
      <c r="AH112" s="18"/>
      <c r="AI112" s="3"/>
      <c r="AJ112" s="3"/>
      <c r="AK112" s="3"/>
      <c r="AL112" s="15">
        <f t="shared" si="12"/>
        <v>0</v>
      </c>
      <c r="AM112" s="15">
        <f t="shared" si="13"/>
        <v>4051.17</v>
      </c>
      <c r="AN112" s="15">
        <f t="shared" si="15"/>
        <v>4051.17</v>
      </c>
      <c r="AO112" s="15">
        <f t="shared" si="14"/>
        <v>0</v>
      </c>
    </row>
    <row r="113" spans="1:41" hidden="1" x14ac:dyDescent="0.25">
      <c r="A113" s="25">
        <v>109</v>
      </c>
      <c r="B113" s="39" t="s">
        <v>575</v>
      </c>
      <c r="C113" s="10" t="s">
        <v>30</v>
      </c>
      <c r="D113" s="3" t="s">
        <v>576</v>
      </c>
      <c r="E113" s="3" t="s">
        <v>314</v>
      </c>
      <c r="F113" s="3" t="s">
        <v>577</v>
      </c>
      <c r="G113" s="3" t="s">
        <v>316</v>
      </c>
      <c r="H113" s="3" t="s">
        <v>14</v>
      </c>
      <c r="I113" s="3" t="s">
        <v>6</v>
      </c>
      <c r="J113" s="3" t="s">
        <v>33</v>
      </c>
      <c r="K113" s="3" t="s">
        <v>578</v>
      </c>
      <c r="L113" s="3"/>
      <c r="M113" s="3"/>
      <c r="N113" s="3"/>
      <c r="O113" s="3">
        <v>1422</v>
      </c>
      <c r="P113" s="3"/>
      <c r="Q113" s="4">
        <v>46081</v>
      </c>
      <c r="R113" s="5">
        <v>10931.65</v>
      </c>
      <c r="S113" s="3">
        <v>240</v>
      </c>
      <c r="T113" s="3" t="s">
        <v>579</v>
      </c>
      <c r="U113" s="3">
        <v>0</v>
      </c>
      <c r="V113" s="3" t="s">
        <v>8</v>
      </c>
      <c r="W113" s="5">
        <v>10931.65</v>
      </c>
      <c r="X113" s="3">
        <v>0</v>
      </c>
      <c r="Y113" s="3">
        <v>0</v>
      </c>
      <c r="Z113" s="3">
        <v>0</v>
      </c>
      <c r="AA113" s="5">
        <v>-0.02</v>
      </c>
      <c r="AB113" s="5">
        <v>10931.63</v>
      </c>
      <c r="AD113" s="25"/>
      <c r="AE113" s="25"/>
      <c r="AF113" s="25"/>
      <c r="AG113" s="32"/>
      <c r="AH113" s="18"/>
      <c r="AI113" s="3"/>
      <c r="AJ113" s="3"/>
      <c r="AK113" s="5"/>
      <c r="AL113" s="15">
        <f t="shared" ref="AL113:AL144" si="16">AH113+AI113+AJ113+AK113+AG113</f>
        <v>0</v>
      </c>
      <c r="AM113" s="15">
        <f t="shared" ref="AM113:AM144" si="17">AB113-AL113</f>
        <v>10931.63</v>
      </c>
      <c r="AN113" s="15">
        <f t="shared" si="15"/>
        <v>10931.63</v>
      </c>
      <c r="AO113" s="15">
        <f t="shared" ref="AO113:AO144" si="18">AM113-AN113</f>
        <v>0</v>
      </c>
    </row>
    <row r="114" spans="1:41" hidden="1" x14ac:dyDescent="0.25">
      <c r="A114" s="25">
        <v>110</v>
      </c>
      <c r="B114" s="39" t="s">
        <v>580</v>
      </c>
      <c r="C114" s="10" t="s">
        <v>1080</v>
      </c>
      <c r="D114" s="3" t="s">
        <v>581</v>
      </c>
      <c r="E114" s="3" t="s">
        <v>314</v>
      </c>
      <c r="F114" s="3" t="s">
        <v>582</v>
      </c>
      <c r="G114" s="3" t="s">
        <v>316</v>
      </c>
      <c r="H114" s="3" t="s">
        <v>14</v>
      </c>
      <c r="I114" s="3" t="s">
        <v>6</v>
      </c>
      <c r="J114" s="3" t="s">
        <v>33</v>
      </c>
      <c r="K114" s="3" t="s">
        <v>583</v>
      </c>
      <c r="L114" s="3"/>
      <c r="M114" s="3"/>
      <c r="N114" s="3"/>
      <c r="O114" s="3">
        <v>6000</v>
      </c>
      <c r="P114" s="3"/>
      <c r="Q114" s="4">
        <v>46081</v>
      </c>
      <c r="R114" s="5">
        <v>8642.8799999999992</v>
      </c>
      <c r="S114" s="3">
        <v>239</v>
      </c>
      <c r="T114" s="3"/>
      <c r="U114" s="3">
        <v>0</v>
      </c>
      <c r="V114" s="3" t="s">
        <v>8</v>
      </c>
      <c r="W114" s="5">
        <v>8642.89</v>
      </c>
      <c r="X114" s="3">
        <v>0</v>
      </c>
      <c r="Y114" s="3">
        <v>0</v>
      </c>
      <c r="Z114" s="3">
        <v>0</v>
      </c>
      <c r="AA114" s="5">
        <v>-0.39</v>
      </c>
      <c r="AB114" s="5">
        <v>8642.5</v>
      </c>
      <c r="AD114" s="25"/>
      <c r="AE114" s="25"/>
      <c r="AF114" s="25"/>
      <c r="AG114" s="32"/>
      <c r="AH114" s="18"/>
      <c r="AI114" s="3"/>
      <c r="AJ114" s="3"/>
      <c r="AK114" s="5"/>
      <c r="AL114" s="15">
        <f t="shared" si="16"/>
        <v>0</v>
      </c>
      <c r="AM114" s="15">
        <f t="shared" si="17"/>
        <v>8642.5</v>
      </c>
      <c r="AN114" s="15">
        <f t="shared" si="15"/>
        <v>8642.5</v>
      </c>
      <c r="AO114" s="15">
        <f t="shared" si="18"/>
        <v>0</v>
      </c>
    </row>
    <row r="115" spans="1:41" hidden="1" x14ac:dyDescent="0.25">
      <c r="A115" s="25">
        <v>111</v>
      </c>
      <c r="B115" s="39" t="s">
        <v>584</v>
      </c>
      <c r="C115" s="10" t="s">
        <v>1079</v>
      </c>
      <c r="D115" s="3" t="s">
        <v>585</v>
      </c>
      <c r="E115" s="3" t="s">
        <v>314</v>
      </c>
      <c r="F115" s="3" t="s">
        <v>586</v>
      </c>
      <c r="G115" s="3" t="s">
        <v>316</v>
      </c>
      <c r="H115" s="3" t="s">
        <v>14</v>
      </c>
      <c r="I115" s="3" t="s">
        <v>6</v>
      </c>
      <c r="J115" s="3" t="s">
        <v>33</v>
      </c>
      <c r="K115" s="3" t="s">
        <v>587</v>
      </c>
      <c r="L115" s="3"/>
      <c r="M115" s="3"/>
      <c r="N115" s="3"/>
      <c r="O115" s="3">
        <v>1467</v>
      </c>
      <c r="P115" s="3"/>
      <c r="Q115" s="4">
        <v>46081</v>
      </c>
      <c r="R115" s="5">
        <v>19058.46</v>
      </c>
      <c r="S115" s="3">
        <v>357</v>
      </c>
      <c r="T115" s="3"/>
      <c r="U115" s="3">
        <v>0</v>
      </c>
      <c r="V115" s="3" t="s">
        <v>8</v>
      </c>
      <c r="W115" s="5">
        <v>18613.72</v>
      </c>
      <c r="X115" s="3">
        <v>0</v>
      </c>
      <c r="Y115" s="3">
        <v>0</v>
      </c>
      <c r="Z115" s="3">
        <v>0</v>
      </c>
      <c r="AA115" s="3">
        <v>0</v>
      </c>
      <c r="AB115" s="5">
        <v>18613.72</v>
      </c>
      <c r="AD115" s="25"/>
      <c r="AE115" s="25"/>
      <c r="AF115" s="25"/>
      <c r="AG115" s="32"/>
      <c r="AH115" s="18"/>
      <c r="AI115" s="3"/>
      <c r="AJ115" s="3"/>
      <c r="AK115" s="3"/>
      <c r="AL115" s="15">
        <f t="shared" si="16"/>
        <v>0</v>
      </c>
      <c r="AM115" s="15">
        <f t="shared" si="17"/>
        <v>18613.72</v>
      </c>
      <c r="AN115" s="15">
        <f t="shared" si="15"/>
        <v>18613.72</v>
      </c>
      <c r="AO115" s="15">
        <f t="shared" si="18"/>
        <v>0</v>
      </c>
    </row>
    <row r="116" spans="1:41" hidden="1" x14ac:dyDescent="0.25">
      <c r="A116" s="25">
        <v>112</v>
      </c>
      <c r="B116" s="39" t="s">
        <v>588</v>
      </c>
      <c r="C116" s="10" t="s">
        <v>1081</v>
      </c>
      <c r="D116" s="3" t="s">
        <v>589</v>
      </c>
      <c r="E116" s="3" t="s">
        <v>590</v>
      </c>
      <c r="F116" s="3" t="s">
        <v>591</v>
      </c>
      <c r="G116" s="3" t="s">
        <v>592</v>
      </c>
      <c r="H116" s="3" t="s">
        <v>14</v>
      </c>
      <c r="I116" s="3" t="s">
        <v>6</v>
      </c>
      <c r="J116" s="3" t="s">
        <v>15</v>
      </c>
      <c r="K116" s="3" t="s">
        <v>593</v>
      </c>
      <c r="L116" s="3"/>
      <c r="M116" s="3"/>
      <c r="N116" s="3"/>
      <c r="O116" s="3">
        <v>1457</v>
      </c>
      <c r="P116" s="3"/>
      <c r="Q116" s="4">
        <v>46081</v>
      </c>
      <c r="R116" s="5">
        <v>65469.06</v>
      </c>
      <c r="S116" s="3">
        <v>168</v>
      </c>
      <c r="T116" s="3" t="s">
        <v>594</v>
      </c>
      <c r="U116" s="3">
        <v>0</v>
      </c>
      <c r="V116" s="3" t="s">
        <v>8</v>
      </c>
      <c r="W116" s="5">
        <v>65469.06</v>
      </c>
      <c r="X116" s="3">
        <v>0</v>
      </c>
      <c r="Y116" s="3">
        <v>0</v>
      </c>
      <c r="Z116" s="3">
        <v>0</v>
      </c>
      <c r="AA116" s="3">
        <v>0</v>
      </c>
      <c r="AB116" s="5">
        <v>65469.06</v>
      </c>
      <c r="AD116" s="25"/>
      <c r="AE116" s="25"/>
      <c r="AF116" s="25"/>
      <c r="AG116" s="32"/>
      <c r="AH116" s="18"/>
      <c r="AI116" s="3"/>
      <c r="AJ116" s="3"/>
      <c r="AK116" s="3"/>
      <c r="AL116" s="15">
        <f t="shared" si="16"/>
        <v>0</v>
      </c>
      <c r="AM116" s="15">
        <f t="shared" si="17"/>
        <v>65469.06</v>
      </c>
      <c r="AN116" s="15">
        <f t="shared" si="15"/>
        <v>65469.06</v>
      </c>
      <c r="AO116" s="15">
        <f t="shared" si="18"/>
        <v>0</v>
      </c>
    </row>
    <row r="117" spans="1:41" hidden="1" x14ac:dyDescent="0.25">
      <c r="A117" s="25">
        <v>113</v>
      </c>
      <c r="B117" s="39" t="s">
        <v>595</v>
      </c>
      <c r="C117" s="10" t="s">
        <v>1082</v>
      </c>
      <c r="D117" s="3" t="s">
        <v>596</v>
      </c>
      <c r="E117" s="3" t="s">
        <v>597</v>
      </c>
      <c r="F117" s="3" t="s">
        <v>598</v>
      </c>
      <c r="G117" s="3" t="s">
        <v>599</v>
      </c>
      <c r="H117" s="3" t="s">
        <v>14</v>
      </c>
      <c r="I117" s="3" t="s">
        <v>6</v>
      </c>
      <c r="J117" s="3" t="s">
        <v>15</v>
      </c>
      <c r="K117" s="3" t="s">
        <v>600</v>
      </c>
      <c r="L117" s="3"/>
      <c r="M117" s="3"/>
      <c r="N117" s="3"/>
      <c r="O117" s="3">
        <v>9460</v>
      </c>
      <c r="P117" s="3"/>
      <c r="Q117" s="4">
        <v>46081</v>
      </c>
      <c r="R117" s="5">
        <v>175.18</v>
      </c>
      <c r="S117" s="3">
        <v>27</v>
      </c>
      <c r="T117" s="3" t="s">
        <v>601</v>
      </c>
      <c r="U117" s="3">
        <v>0</v>
      </c>
      <c r="V117" s="3" t="s">
        <v>8</v>
      </c>
      <c r="W117" s="5">
        <v>175.18</v>
      </c>
      <c r="X117" s="3">
        <v>0</v>
      </c>
      <c r="Y117" s="3">
        <v>0</v>
      </c>
      <c r="Z117" s="3">
        <v>0</v>
      </c>
      <c r="AA117" s="3">
        <v>0</v>
      </c>
      <c r="AB117" s="5">
        <v>175.18</v>
      </c>
      <c r="AD117" s="25"/>
      <c r="AE117" s="25"/>
      <c r="AF117" s="25"/>
      <c r="AG117" s="32"/>
      <c r="AH117" s="18"/>
      <c r="AI117" s="3"/>
      <c r="AJ117" s="3"/>
      <c r="AK117" s="3"/>
      <c r="AL117" s="15">
        <f t="shared" si="16"/>
        <v>0</v>
      </c>
      <c r="AM117" s="15">
        <f t="shared" si="17"/>
        <v>175.18</v>
      </c>
      <c r="AN117" s="15">
        <f t="shared" si="15"/>
        <v>175.18</v>
      </c>
      <c r="AO117" s="15">
        <f t="shared" si="18"/>
        <v>0</v>
      </c>
    </row>
    <row r="118" spans="1:41" hidden="1" x14ac:dyDescent="0.25">
      <c r="A118" s="25">
        <v>114</v>
      </c>
      <c r="B118" s="39" t="s">
        <v>602</v>
      </c>
      <c r="C118" s="10" t="s">
        <v>1083</v>
      </c>
      <c r="D118" s="3" t="s">
        <v>603</v>
      </c>
      <c r="E118" s="3" t="s">
        <v>603</v>
      </c>
      <c r="F118" s="3"/>
      <c r="G118" s="3" t="s">
        <v>604</v>
      </c>
      <c r="H118" s="3" t="s">
        <v>14</v>
      </c>
      <c r="I118" s="3" t="s">
        <v>6</v>
      </c>
      <c r="J118" s="3"/>
      <c r="K118" s="3" t="s">
        <v>605</v>
      </c>
      <c r="L118" s="3"/>
      <c r="M118" s="3"/>
      <c r="N118" s="3"/>
      <c r="O118" s="3"/>
      <c r="P118" s="3"/>
      <c r="Q118" s="4">
        <v>46081</v>
      </c>
      <c r="R118" s="5">
        <v>214.27</v>
      </c>
      <c r="S118" s="3">
        <v>39</v>
      </c>
      <c r="T118" s="3"/>
      <c r="U118" s="3">
        <v>0</v>
      </c>
      <c r="V118" s="3" t="s">
        <v>8</v>
      </c>
      <c r="W118" s="5">
        <v>214.27</v>
      </c>
      <c r="X118" s="3">
        <v>0</v>
      </c>
      <c r="Y118" s="3">
        <v>0</v>
      </c>
      <c r="Z118" s="3">
        <v>0</v>
      </c>
      <c r="AA118" s="3">
        <v>0</v>
      </c>
      <c r="AB118" s="5">
        <v>214.27</v>
      </c>
      <c r="AD118" s="25"/>
      <c r="AE118" s="25"/>
      <c r="AF118" s="25"/>
      <c r="AG118" s="32"/>
      <c r="AH118" s="18"/>
      <c r="AI118" s="3"/>
      <c r="AJ118" s="3"/>
      <c r="AK118" s="3"/>
      <c r="AL118" s="15">
        <f t="shared" si="16"/>
        <v>0</v>
      </c>
      <c r="AM118" s="15">
        <f t="shared" si="17"/>
        <v>214.27</v>
      </c>
      <c r="AN118" s="15">
        <f t="shared" si="15"/>
        <v>214.27</v>
      </c>
      <c r="AO118" s="15">
        <f t="shared" si="18"/>
        <v>0</v>
      </c>
    </row>
    <row r="119" spans="1:41" hidden="1" x14ac:dyDescent="0.25">
      <c r="A119" s="25">
        <v>115</v>
      </c>
      <c r="B119" s="39" t="s">
        <v>606</v>
      </c>
      <c r="C119" s="10"/>
      <c r="D119" s="3" t="s">
        <v>607</v>
      </c>
      <c r="E119" s="3" t="s">
        <v>608</v>
      </c>
      <c r="F119" s="3"/>
      <c r="G119" s="3" t="s">
        <v>609</v>
      </c>
      <c r="H119" s="3" t="s">
        <v>14</v>
      </c>
      <c r="I119" s="3" t="s">
        <v>6</v>
      </c>
      <c r="J119" s="3"/>
      <c r="K119" s="3" t="s">
        <v>610</v>
      </c>
      <c r="L119" s="3"/>
      <c r="M119" s="3"/>
      <c r="N119" s="3"/>
      <c r="O119" s="3"/>
      <c r="P119" s="3"/>
      <c r="Q119" s="4">
        <v>46080</v>
      </c>
      <c r="R119" s="5">
        <v>131.80000000000001</v>
      </c>
      <c r="S119" s="3">
        <v>23</v>
      </c>
      <c r="T119" s="3"/>
      <c r="U119" s="3">
        <v>0</v>
      </c>
      <c r="V119" s="3" t="s">
        <v>8</v>
      </c>
      <c r="W119" s="5">
        <v>131.80000000000001</v>
      </c>
      <c r="X119" s="3">
        <v>0</v>
      </c>
      <c r="Y119" s="3">
        <v>0</v>
      </c>
      <c r="Z119" s="3">
        <v>0</v>
      </c>
      <c r="AA119" s="3">
        <v>0</v>
      </c>
      <c r="AB119" s="5">
        <v>131.80000000000001</v>
      </c>
      <c r="AD119" s="25"/>
      <c r="AE119" s="25"/>
      <c r="AF119" s="25"/>
      <c r="AG119" s="32"/>
      <c r="AH119" s="18"/>
      <c r="AI119" s="3"/>
      <c r="AJ119" s="3"/>
      <c r="AK119" s="3"/>
      <c r="AL119" s="15">
        <f t="shared" si="16"/>
        <v>0</v>
      </c>
      <c r="AM119" s="15">
        <f t="shared" si="17"/>
        <v>131.80000000000001</v>
      </c>
      <c r="AN119" s="15">
        <f t="shared" si="15"/>
        <v>131.80000000000001</v>
      </c>
      <c r="AO119" s="15">
        <f t="shared" si="18"/>
        <v>0</v>
      </c>
    </row>
    <row r="120" spans="1:41" hidden="1" x14ac:dyDescent="0.25">
      <c r="A120" s="25">
        <v>117</v>
      </c>
      <c r="B120" s="39" t="s">
        <v>615</v>
      </c>
      <c r="C120" s="10" t="s">
        <v>1084</v>
      </c>
      <c r="D120" s="3" t="s">
        <v>616</v>
      </c>
      <c r="E120" s="3"/>
      <c r="F120" s="3" t="s">
        <v>617</v>
      </c>
      <c r="G120" s="3" t="s">
        <v>618</v>
      </c>
      <c r="H120" s="3" t="s">
        <v>14</v>
      </c>
      <c r="I120" s="3" t="s">
        <v>6</v>
      </c>
      <c r="J120" s="3"/>
      <c r="K120" s="3" t="s">
        <v>619</v>
      </c>
      <c r="L120" s="3" t="s">
        <v>620</v>
      </c>
      <c r="M120" s="3"/>
      <c r="N120" s="3"/>
      <c r="O120" s="3">
        <v>2066</v>
      </c>
      <c r="P120" s="3"/>
      <c r="Q120" s="4">
        <v>46055</v>
      </c>
      <c r="R120" s="5">
        <v>30000</v>
      </c>
      <c r="S120" s="3">
        <v>56</v>
      </c>
      <c r="T120" s="3"/>
      <c r="U120" s="3">
        <v>0</v>
      </c>
      <c r="V120" s="3" t="s">
        <v>8</v>
      </c>
      <c r="W120" s="5">
        <v>11037.7</v>
      </c>
      <c r="X120" s="5">
        <v>9657.7000000000007</v>
      </c>
      <c r="Y120" s="5">
        <v>173555.83</v>
      </c>
      <c r="Z120" s="3">
        <v>0</v>
      </c>
      <c r="AA120" s="5">
        <v>-23712.95</v>
      </c>
      <c r="AB120" s="5">
        <v>170538.28</v>
      </c>
      <c r="AD120" s="25" t="s">
        <v>1152</v>
      </c>
      <c r="AE120" s="25" t="s">
        <v>1188</v>
      </c>
      <c r="AF120" s="26">
        <v>30000</v>
      </c>
      <c r="AG120" s="32"/>
      <c r="AH120" s="19"/>
      <c r="AI120" s="5">
        <f>AF120</f>
        <v>30000</v>
      </c>
      <c r="AJ120" s="3"/>
      <c r="AK120" s="5"/>
      <c r="AL120" s="15">
        <f t="shared" si="16"/>
        <v>30000</v>
      </c>
      <c r="AM120" s="15">
        <f t="shared" si="17"/>
        <v>140538.28</v>
      </c>
      <c r="AN120">
        <v>140538.28</v>
      </c>
      <c r="AO120" s="15">
        <f t="shared" si="18"/>
        <v>0</v>
      </c>
    </row>
    <row r="121" spans="1:41" hidden="1" x14ac:dyDescent="0.25">
      <c r="A121" s="25">
        <v>118</v>
      </c>
      <c r="B121" s="39" t="s">
        <v>621</v>
      </c>
      <c r="C121" s="10"/>
      <c r="D121" s="3" t="s">
        <v>622</v>
      </c>
      <c r="E121" s="3" t="s">
        <v>622</v>
      </c>
      <c r="F121" s="3"/>
      <c r="G121" s="3" t="s">
        <v>623</v>
      </c>
      <c r="H121" s="3" t="s">
        <v>14</v>
      </c>
      <c r="I121" s="3" t="s">
        <v>6</v>
      </c>
      <c r="J121" s="3"/>
      <c r="K121" s="3" t="s">
        <v>624</v>
      </c>
      <c r="L121" s="3"/>
      <c r="M121" s="3"/>
      <c r="N121" s="3" t="s">
        <v>22</v>
      </c>
      <c r="O121" s="3"/>
      <c r="P121" s="3"/>
      <c r="Q121" s="4">
        <v>46081</v>
      </c>
      <c r="R121" s="5">
        <v>128.80000000000001</v>
      </c>
      <c r="S121" s="3">
        <v>42</v>
      </c>
      <c r="T121" s="3"/>
      <c r="U121" s="3">
        <v>0</v>
      </c>
      <c r="V121" s="3" t="s">
        <v>8</v>
      </c>
      <c r="W121" s="5">
        <v>128.80000000000001</v>
      </c>
      <c r="X121" s="3">
        <v>0</v>
      </c>
      <c r="Y121" s="3">
        <v>0</v>
      </c>
      <c r="Z121" s="3">
        <v>0</v>
      </c>
      <c r="AA121" s="3">
        <v>0</v>
      </c>
      <c r="AB121" s="5">
        <v>128.80000000000001</v>
      </c>
      <c r="AD121" s="25"/>
      <c r="AE121" s="25"/>
      <c r="AF121" s="25"/>
      <c r="AG121" s="32"/>
      <c r="AH121" s="18"/>
      <c r="AI121" s="3"/>
      <c r="AJ121" s="3"/>
      <c r="AK121" s="3"/>
      <c r="AL121" s="15">
        <f t="shared" si="16"/>
        <v>0</v>
      </c>
      <c r="AM121" s="15">
        <f t="shared" si="17"/>
        <v>128.80000000000001</v>
      </c>
      <c r="AN121" s="15">
        <f t="shared" ref="AN121:AN129" si="19">AM121</f>
        <v>128.80000000000001</v>
      </c>
      <c r="AO121" s="15">
        <f t="shared" si="18"/>
        <v>0</v>
      </c>
    </row>
    <row r="122" spans="1:41" hidden="1" x14ac:dyDescent="0.25">
      <c r="A122" s="25">
        <v>119</v>
      </c>
      <c r="B122" s="39" t="s">
        <v>625</v>
      </c>
      <c r="C122" s="10" t="s">
        <v>1085</v>
      </c>
      <c r="D122" s="3" t="s">
        <v>626</v>
      </c>
      <c r="E122" s="3" t="s">
        <v>626</v>
      </c>
      <c r="F122" s="3"/>
      <c r="G122" s="3" t="s">
        <v>627</v>
      </c>
      <c r="H122" s="3" t="s">
        <v>14</v>
      </c>
      <c r="I122" s="3" t="s">
        <v>6</v>
      </c>
      <c r="J122" s="3" t="s">
        <v>15</v>
      </c>
      <c r="K122" s="3" t="s">
        <v>628</v>
      </c>
      <c r="L122" s="3"/>
      <c r="M122" s="3"/>
      <c r="N122" s="3" t="s">
        <v>22</v>
      </c>
      <c r="O122" s="3"/>
      <c r="P122" s="3"/>
      <c r="Q122" s="4">
        <v>46079</v>
      </c>
      <c r="R122" s="5">
        <v>143.41999999999999</v>
      </c>
      <c r="S122" s="3">
        <v>60</v>
      </c>
      <c r="T122" s="3"/>
      <c r="U122" s="3">
        <v>0</v>
      </c>
      <c r="V122" s="3" t="s">
        <v>8</v>
      </c>
      <c r="W122" s="3">
        <v>0</v>
      </c>
      <c r="X122" s="3">
        <v>0</v>
      </c>
      <c r="Y122" s="3">
        <v>0</v>
      </c>
      <c r="Z122" s="5">
        <v>143.41999999999999</v>
      </c>
      <c r="AA122" s="5">
        <v>143.41999999999999</v>
      </c>
      <c r="AB122" s="5">
        <v>286.83999999999997</v>
      </c>
      <c r="AD122" s="25"/>
      <c r="AE122" s="25"/>
      <c r="AF122" s="25"/>
      <c r="AG122" s="32"/>
      <c r="AH122" s="18"/>
      <c r="AI122" s="3"/>
      <c r="AJ122" s="5"/>
      <c r="AK122" s="5"/>
      <c r="AL122" s="15">
        <f t="shared" si="16"/>
        <v>0</v>
      </c>
      <c r="AM122" s="15">
        <f t="shared" si="17"/>
        <v>286.83999999999997</v>
      </c>
      <c r="AN122" s="15">
        <f t="shared" si="19"/>
        <v>286.83999999999997</v>
      </c>
      <c r="AO122" s="15">
        <f t="shared" si="18"/>
        <v>0</v>
      </c>
    </row>
    <row r="123" spans="1:41" hidden="1" x14ac:dyDescent="0.25">
      <c r="A123" s="25">
        <v>120</v>
      </c>
      <c r="B123" s="39" t="s">
        <v>629</v>
      </c>
      <c r="C123" s="10" t="s">
        <v>1086</v>
      </c>
      <c r="D123" s="3" t="s">
        <v>630</v>
      </c>
      <c r="E123" s="3" t="s">
        <v>631</v>
      </c>
      <c r="F123" s="3"/>
      <c r="G123" s="3" t="s">
        <v>632</v>
      </c>
      <c r="H123" s="3" t="s">
        <v>14</v>
      </c>
      <c r="I123" s="3" t="s">
        <v>6</v>
      </c>
      <c r="J123" s="3" t="s">
        <v>15</v>
      </c>
      <c r="K123" s="3" t="s">
        <v>633</v>
      </c>
      <c r="L123" s="3"/>
      <c r="M123" s="3"/>
      <c r="N123" s="3"/>
      <c r="O123" s="3">
        <v>2196</v>
      </c>
      <c r="P123" s="3"/>
      <c r="Q123" s="4">
        <v>46081</v>
      </c>
      <c r="R123" s="5">
        <v>742.42</v>
      </c>
      <c r="S123" s="3">
        <v>85</v>
      </c>
      <c r="T123" s="3"/>
      <c r="U123" s="3">
        <v>0</v>
      </c>
      <c r="V123" s="3" t="s">
        <v>8</v>
      </c>
      <c r="W123" s="5">
        <v>742.42</v>
      </c>
      <c r="X123" s="3">
        <v>0</v>
      </c>
      <c r="Y123" s="3">
        <v>0</v>
      </c>
      <c r="Z123" s="3">
        <v>0</v>
      </c>
      <c r="AA123" s="3">
        <v>0</v>
      </c>
      <c r="AB123" s="5">
        <v>742.42</v>
      </c>
      <c r="AD123" s="25"/>
      <c r="AE123" s="25"/>
      <c r="AF123" s="25"/>
      <c r="AG123" s="32"/>
      <c r="AH123" s="18"/>
      <c r="AI123" s="3"/>
      <c r="AJ123" s="3"/>
      <c r="AK123" s="3"/>
      <c r="AL123" s="15">
        <f t="shared" si="16"/>
        <v>0</v>
      </c>
      <c r="AM123" s="15">
        <f t="shared" si="17"/>
        <v>742.42</v>
      </c>
      <c r="AN123" s="15">
        <f t="shared" si="19"/>
        <v>742.42</v>
      </c>
      <c r="AO123" s="15">
        <f t="shared" si="18"/>
        <v>0</v>
      </c>
    </row>
    <row r="124" spans="1:41" hidden="1" x14ac:dyDescent="0.25">
      <c r="A124" s="25">
        <v>123</v>
      </c>
      <c r="B124" s="39" t="s">
        <v>640</v>
      </c>
      <c r="C124" s="10"/>
      <c r="D124" s="3" t="s">
        <v>641</v>
      </c>
      <c r="E124" s="3" t="s">
        <v>642</v>
      </c>
      <c r="F124" s="3"/>
      <c r="G124" s="3" t="s">
        <v>643</v>
      </c>
      <c r="H124" s="3" t="s">
        <v>14</v>
      </c>
      <c r="I124" s="3" t="s">
        <v>6</v>
      </c>
      <c r="J124" s="3"/>
      <c r="K124" s="3" t="s">
        <v>644</v>
      </c>
      <c r="L124" s="3"/>
      <c r="M124" s="3"/>
      <c r="N124" s="3" t="s">
        <v>22</v>
      </c>
      <c r="O124" s="3"/>
      <c r="P124" s="3"/>
      <c r="Q124" s="4">
        <v>46045</v>
      </c>
      <c r="R124" s="5">
        <v>21948.9</v>
      </c>
      <c r="S124" s="3">
        <v>59</v>
      </c>
      <c r="T124" s="3"/>
      <c r="U124" s="3">
        <v>0</v>
      </c>
      <c r="V124" s="3" t="s">
        <v>8</v>
      </c>
      <c r="W124" s="5">
        <v>21319.15</v>
      </c>
      <c r="X124" s="5">
        <v>3117.61</v>
      </c>
      <c r="Y124" s="5">
        <v>747.5</v>
      </c>
      <c r="Z124" s="3">
        <v>0.02</v>
      </c>
      <c r="AA124" s="3">
        <v>0</v>
      </c>
      <c r="AB124" s="5">
        <v>25184.28</v>
      </c>
      <c r="AD124" s="25" t="s">
        <v>1164</v>
      </c>
      <c r="AE124" s="25" t="s">
        <v>640</v>
      </c>
      <c r="AF124" s="26">
        <v>3117.65</v>
      </c>
      <c r="AG124" s="32"/>
      <c r="AH124" s="19">
        <f>AF124</f>
        <v>3117.65</v>
      </c>
      <c r="AI124" s="5"/>
      <c r="AJ124" s="3"/>
      <c r="AK124" s="3"/>
      <c r="AL124" s="15">
        <f t="shared" si="16"/>
        <v>3117.65</v>
      </c>
      <c r="AM124" s="15">
        <f t="shared" si="17"/>
        <v>22066.629999999997</v>
      </c>
      <c r="AN124" s="15">
        <f t="shared" si="19"/>
        <v>22066.629999999997</v>
      </c>
      <c r="AO124" s="15">
        <f t="shared" si="18"/>
        <v>0</v>
      </c>
    </row>
    <row r="125" spans="1:41" hidden="1" x14ac:dyDescent="0.25">
      <c r="A125" s="25">
        <v>124</v>
      </c>
      <c r="B125" s="39" t="s">
        <v>645</v>
      </c>
      <c r="C125" s="10" t="s">
        <v>1087</v>
      </c>
      <c r="D125" s="3" t="s">
        <v>646</v>
      </c>
      <c r="E125" s="3" t="s">
        <v>647</v>
      </c>
      <c r="F125" s="3"/>
      <c r="G125" s="3" t="s">
        <v>648</v>
      </c>
      <c r="H125" s="3" t="s">
        <v>14</v>
      </c>
      <c r="I125" s="3" t="s">
        <v>6</v>
      </c>
      <c r="J125" s="3"/>
      <c r="K125" s="3" t="s">
        <v>649</v>
      </c>
      <c r="L125" s="3"/>
      <c r="M125" s="3"/>
      <c r="N125" s="3" t="s">
        <v>22</v>
      </c>
      <c r="O125" s="3"/>
      <c r="P125" s="3"/>
      <c r="Q125" s="4">
        <v>46081</v>
      </c>
      <c r="R125" s="5">
        <v>18400</v>
      </c>
      <c r="S125" s="3">
        <v>71</v>
      </c>
      <c r="T125" s="3"/>
      <c r="U125" s="3">
        <v>0</v>
      </c>
      <c r="V125" s="3" t="s">
        <v>8</v>
      </c>
      <c r="W125" s="5">
        <v>20861</v>
      </c>
      <c r="X125" s="3">
        <v>0</v>
      </c>
      <c r="Y125" s="3">
        <v>0</v>
      </c>
      <c r="Z125" s="3">
        <v>0</v>
      </c>
      <c r="AA125" s="3">
        <v>0</v>
      </c>
      <c r="AB125" s="5">
        <v>20861</v>
      </c>
      <c r="AD125" s="25"/>
      <c r="AE125" s="25"/>
      <c r="AF125" s="25"/>
      <c r="AG125" s="32"/>
      <c r="AH125" s="18"/>
      <c r="AI125" s="3"/>
      <c r="AJ125" s="3"/>
      <c r="AK125" s="3"/>
      <c r="AL125" s="15">
        <f t="shared" si="16"/>
        <v>0</v>
      </c>
      <c r="AM125" s="15">
        <f t="shared" si="17"/>
        <v>20861</v>
      </c>
      <c r="AN125" s="15">
        <f t="shared" si="19"/>
        <v>20861</v>
      </c>
      <c r="AO125" s="15">
        <f t="shared" si="18"/>
        <v>0</v>
      </c>
    </row>
    <row r="126" spans="1:41" hidden="1" x14ac:dyDescent="0.25">
      <c r="A126" s="25">
        <v>125</v>
      </c>
      <c r="B126" s="39" t="s">
        <v>650</v>
      </c>
      <c r="C126" s="10"/>
      <c r="D126" s="3" t="s">
        <v>651</v>
      </c>
      <c r="E126" s="3" t="s">
        <v>652</v>
      </c>
      <c r="F126" s="3" t="s">
        <v>653</v>
      </c>
      <c r="G126" s="3"/>
      <c r="H126" s="3" t="s">
        <v>14</v>
      </c>
      <c r="I126" s="3" t="s">
        <v>6</v>
      </c>
      <c r="J126" s="3"/>
      <c r="K126" s="3" t="s">
        <v>654</v>
      </c>
      <c r="L126" s="3"/>
      <c r="M126" s="3"/>
      <c r="N126" s="3"/>
      <c r="O126" s="3">
        <v>1400</v>
      </c>
      <c r="P126" s="3"/>
      <c r="Q126" s="4">
        <v>46058</v>
      </c>
      <c r="R126" s="5">
        <v>340000</v>
      </c>
      <c r="S126" s="3">
        <v>1456</v>
      </c>
      <c r="T126" s="3"/>
      <c r="U126" s="3">
        <v>0</v>
      </c>
      <c r="V126" s="3" t="s">
        <v>8</v>
      </c>
      <c r="W126" s="3">
        <v>0</v>
      </c>
      <c r="X126" s="5">
        <v>895</v>
      </c>
      <c r="Y126" s="3">
        <v>0</v>
      </c>
      <c r="Z126" s="3">
        <v>0</v>
      </c>
      <c r="AA126" s="3">
        <v>0</v>
      </c>
      <c r="AB126" s="5">
        <v>895</v>
      </c>
      <c r="AD126" s="25"/>
      <c r="AE126" s="25"/>
      <c r="AF126" s="25"/>
      <c r="AG126" s="32"/>
      <c r="AH126" s="19"/>
      <c r="AI126" s="3"/>
      <c r="AJ126" s="3"/>
      <c r="AK126" s="3"/>
      <c r="AL126" s="15">
        <f t="shared" si="16"/>
        <v>0</v>
      </c>
      <c r="AM126" s="15">
        <f t="shared" si="17"/>
        <v>895</v>
      </c>
      <c r="AN126" s="15">
        <f t="shared" si="19"/>
        <v>895</v>
      </c>
      <c r="AO126" s="15">
        <f t="shared" si="18"/>
        <v>0</v>
      </c>
    </row>
    <row r="127" spans="1:41" hidden="1" x14ac:dyDescent="0.25">
      <c r="A127" s="25">
        <v>126</v>
      </c>
      <c r="B127" s="39" t="s">
        <v>655</v>
      </c>
      <c r="C127" s="10" t="s">
        <v>1088</v>
      </c>
      <c r="D127" s="3" t="s">
        <v>656</v>
      </c>
      <c r="E127" s="3" t="s">
        <v>657</v>
      </c>
      <c r="F127" s="3" t="s">
        <v>658</v>
      </c>
      <c r="G127" s="3" t="s">
        <v>659</v>
      </c>
      <c r="H127" s="3" t="s">
        <v>14</v>
      </c>
      <c r="I127" s="3" t="s">
        <v>6</v>
      </c>
      <c r="J127" s="3"/>
      <c r="K127" s="3" t="s">
        <v>660</v>
      </c>
      <c r="L127" s="3"/>
      <c r="M127" s="3"/>
      <c r="N127" s="3" t="s">
        <v>22</v>
      </c>
      <c r="O127" s="3"/>
      <c r="P127" s="3"/>
      <c r="Q127" s="4">
        <v>46051</v>
      </c>
      <c r="R127" s="5">
        <v>13627.5</v>
      </c>
      <c r="S127" s="3">
        <v>31</v>
      </c>
      <c r="T127" s="3"/>
      <c r="U127" s="3">
        <v>0</v>
      </c>
      <c r="V127" s="3" t="s">
        <v>8</v>
      </c>
      <c r="W127" s="5">
        <v>13627.5</v>
      </c>
      <c r="X127" s="3">
        <v>0</v>
      </c>
      <c r="Y127" s="3">
        <v>0</v>
      </c>
      <c r="Z127" s="3">
        <v>0</v>
      </c>
      <c r="AA127" s="3">
        <v>0</v>
      </c>
      <c r="AB127" s="5">
        <v>13627.5</v>
      </c>
      <c r="AD127" s="25" t="s">
        <v>1149</v>
      </c>
      <c r="AE127" s="25">
        <v>118236</v>
      </c>
      <c r="AF127" s="26">
        <v>13627.5</v>
      </c>
      <c r="AG127" s="33">
        <f>W127</f>
        <v>13627.5</v>
      </c>
      <c r="AH127" s="18"/>
      <c r="AI127" s="3"/>
      <c r="AJ127" s="3"/>
      <c r="AK127" s="3"/>
      <c r="AL127" s="15">
        <f t="shared" si="16"/>
        <v>13627.5</v>
      </c>
      <c r="AM127" s="15">
        <f t="shared" si="17"/>
        <v>0</v>
      </c>
      <c r="AN127" s="15">
        <f t="shared" si="19"/>
        <v>0</v>
      </c>
      <c r="AO127" s="15">
        <f t="shared" si="18"/>
        <v>0</v>
      </c>
    </row>
    <row r="128" spans="1:41" hidden="1" x14ac:dyDescent="0.25">
      <c r="A128" s="25">
        <v>127</v>
      </c>
      <c r="B128" s="39">
        <v>1137</v>
      </c>
      <c r="C128" s="10"/>
      <c r="D128" s="3" t="s">
        <v>661</v>
      </c>
      <c r="E128" s="3" t="s">
        <v>662</v>
      </c>
      <c r="F128" s="3"/>
      <c r="G128" s="3" t="s">
        <v>663</v>
      </c>
      <c r="H128" s="3" t="s">
        <v>14</v>
      </c>
      <c r="I128" s="3" t="s">
        <v>6</v>
      </c>
      <c r="J128" s="3" t="s">
        <v>15</v>
      </c>
      <c r="K128" s="3" t="s">
        <v>664</v>
      </c>
      <c r="L128" s="3"/>
      <c r="M128" s="3"/>
      <c r="N128" s="3" t="s">
        <v>22</v>
      </c>
      <c r="O128" s="3"/>
      <c r="P128" s="3"/>
      <c r="Q128" s="4">
        <v>46081</v>
      </c>
      <c r="R128" s="5">
        <v>2458.6999999999998</v>
      </c>
      <c r="S128" s="3">
        <v>279</v>
      </c>
      <c r="T128" s="3"/>
      <c r="U128" s="3">
        <v>0</v>
      </c>
      <c r="V128" s="3" t="s">
        <v>8</v>
      </c>
      <c r="W128" s="5">
        <v>2458.6999999999998</v>
      </c>
      <c r="X128" s="3">
        <v>0</v>
      </c>
      <c r="Y128" s="3">
        <v>0</v>
      </c>
      <c r="Z128" s="3">
        <v>0</v>
      </c>
      <c r="AA128" s="3">
        <v>0</v>
      </c>
      <c r="AB128" s="5">
        <v>2458.6999999999998</v>
      </c>
      <c r="AD128" s="25"/>
      <c r="AE128" s="25"/>
      <c r="AF128" s="25"/>
      <c r="AG128" s="32"/>
      <c r="AH128" s="18"/>
      <c r="AI128" s="3"/>
      <c r="AJ128" s="3"/>
      <c r="AK128" s="3"/>
      <c r="AL128" s="15">
        <f t="shared" si="16"/>
        <v>0</v>
      </c>
      <c r="AM128" s="15">
        <f t="shared" si="17"/>
        <v>2458.6999999999998</v>
      </c>
      <c r="AN128" s="15">
        <f t="shared" si="19"/>
        <v>2458.6999999999998</v>
      </c>
      <c r="AO128" s="15">
        <f t="shared" si="18"/>
        <v>0</v>
      </c>
    </row>
    <row r="129" spans="1:41" hidden="1" x14ac:dyDescent="0.25">
      <c r="A129" s="25">
        <v>128</v>
      </c>
      <c r="B129" s="39" t="s">
        <v>665</v>
      </c>
      <c r="C129" s="10"/>
      <c r="D129" s="3" t="s">
        <v>666</v>
      </c>
      <c r="E129" s="3" t="s">
        <v>667</v>
      </c>
      <c r="F129" s="3" t="s">
        <v>668</v>
      </c>
      <c r="G129" s="3" t="s">
        <v>669</v>
      </c>
      <c r="H129" s="3" t="s">
        <v>14</v>
      </c>
      <c r="I129" s="3" t="s">
        <v>6</v>
      </c>
      <c r="J129" s="3" t="s">
        <v>15</v>
      </c>
      <c r="K129" s="3" t="s">
        <v>670</v>
      </c>
      <c r="L129" s="3"/>
      <c r="M129" s="3"/>
      <c r="N129" s="3" t="s">
        <v>22</v>
      </c>
      <c r="O129" s="3"/>
      <c r="P129" s="3"/>
      <c r="Q129" s="4">
        <v>45625</v>
      </c>
      <c r="R129" s="5">
        <v>19285.5</v>
      </c>
      <c r="S129" s="3">
        <v>200</v>
      </c>
      <c r="T129" s="3"/>
      <c r="U129" s="3">
        <v>0</v>
      </c>
      <c r="V129" s="3" t="s">
        <v>8</v>
      </c>
      <c r="W129" s="3">
        <v>0</v>
      </c>
      <c r="X129" s="3">
        <v>0</v>
      </c>
      <c r="Y129" s="3">
        <v>0</v>
      </c>
      <c r="Z129" s="3">
        <v>0</v>
      </c>
      <c r="AA129" s="5">
        <v>38548</v>
      </c>
      <c r="AB129" s="5">
        <v>38548</v>
      </c>
      <c r="AD129" s="25"/>
      <c r="AE129" s="25"/>
      <c r="AF129" s="25"/>
      <c r="AG129" s="32"/>
      <c r="AH129" s="18"/>
      <c r="AI129" s="3"/>
      <c r="AJ129" s="3"/>
      <c r="AK129" s="5"/>
      <c r="AL129" s="15">
        <f t="shared" si="16"/>
        <v>0</v>
      </c>
      <c r="AM129" s="15">
        <f t="shared" si="17"/>
        <v>38548</v>
      </c>
      <c r="AN129" s="15">
        <f t="shared" si="19"/>
        <v>38548</v>
      </c>
      <c r="AO129" s="15">
        <f t="shared" si="18"/>
        <v>0</v>
      </c>
    </row>
    <row r="130" spans="1:41" hidden="1" x14ac:dyDescent="0.25">
      <c r="A130" s="25">
        <v>129</v>
      </c>
      <c r="B130" s="39" t="s">
        <v>671</v>
      </c>
      <c r="C130" s="10"/>
      <c r="D130" s="3" t="s">
        <v>672</v>
      </c>
      <c r="E130" s="3" t="s">
        <v>672</v>
      </c>
      <c r="F130" s="6" t="s">
        <v>673</v>
      </c>
      <c r="G130" s="3" t="s">
        <v>674</v>
      </c>
      <c r="H130" s="3" t="s">
        <v>14</v>
      </c>
      <c r="I130" s="3" t="s">
        <v>6</v>
      </c>
      <c r="J130" s="3"/>
      <c r="K130" s="3" t="s">
        <v>675</v>
      </c>
      <c r="L130" s="3"/>
      <c r="M130" s="3"/>
      <c r="N130" s="3"/>
      <c r="O130" s="3"/>
      <c r="P130" s="3"/>
      <c r="Q130" s="4">
        <v>46055</v>
      </c>
      <c r="R130" s="5">
        <v>113.85</v>
      </c>
      <c r="S130" s="3">
        <v>54</v>
      </c>
      <c r="T130" s="3"/>
      <c r="U130" s="3">
        <v>0</v>
      </c>
      <c r="V130" s="3" t="s">
        <v>8</v>
      </c>
      <c r="W130" s="16">
        <v>113.85</v>
      </c>
      <c r="X130" s="3">
        <v>0</v>
      </c>
      <c r="Y130" s="3">
        <v>0</v>
      </c>
      <c r="Z130" s="3">
        <v>0</v>
      </c>
      <c r="AA130" s="5">
        <v>-113.79</v>
      </c>
      <c r="AB130" s="3">
        <v>0.06</v>
      </c>
      <c r="AD130" s="25" t="s">
        <v>1147</v>
      </c>
      <c r="AE130" s="25" t="s">
        <v>1150</v>
      </c>
      <c r="AF130" s="26">
        <v>113.85</v>
      </c>
      <c r="AG130" s="33"/>
      <c r="AH130" s="20">
        <f>AF130</f>
        <v>113.85</v>
      </c>
      <c r="AI130" s="3"/>
      <c r="AJ130" s="3"/>
      <c r="AK130" s="5"/>
      <c r="AL130" s="15">
        <f t="shared" si="16"/>
        <v>113.85</v>
      </c>
      <c r="AM130" s="15">
        <f t="shared" si="17"/>
        <v>-113.78999999999999</v>
      </c>
      <c r="AN130">
        <v>-113.79</v>
      </c>
      <c r="AO130" s="15">
        <f t="shared" si="18"/>
        <v>0</v>
      </c>
    </row>
    <row r="131" spans="1:41" hidden="1" x14ac:dyDescent="0.25">
      <c r="A131" s="25">
        <v>130</v>
      </c>
      <c r="B131" s="39" t="s">
        <v>676</v>
      </c>
      <c r="C131" s="10" t="s">
        <v>1089</v>
      </c>
      <c r="D131" s="3" t="s">
        <v>677</v>
      </c>
      <c r="E131" s="3" t="s">
        <v>678</v>
      </c>
      <c r="F131" s="3" t="s">
        <v>679</v>
      </c>
      <c r="G131" s="3" t="s">
        <v>680</v>
      </c>
      <c r="H131" s="3" t="s">
        <v>14</v>
      </c>
      <c r="I131" s="3" t="s">
        <v>6</v>
      </c>
      <c r="J131" s="3" t="s">
        <v>15</v>
      </c>
      <c r="K131" s="3" t="s">
        <v>681</v>
      </c>
      <c r="L131" s="3"/>
      <c r="M131" s="3"/>
      <c r="N131" s="3"/>
      <c r="O131" s="3">
        <v>2000</v>
      </c>
      <c r="P131" s="3"/>
      <c r="Q131" s="4">
        <v>46081</v>
      </c>
      <c r="R131" s="5">
        <v>338.25</v>
      </c>
      <c r="S131" s="3">
        <v>41</v>
      </c>
      <c r="T131" s="3"/>
      <c r="U131" s="3">
        <v>0</v>
      </c>
      <c r="V131" s="3" t="s">
        <v>8</v>
      </c>
      <c r="W131" s="5">
        <v>338.25</v>
      </c>
      <c r="X131" s="3">
        <v>0</v>
      </c>
      <c r="Y131" s="3">
        <v>0.33</v>
      </c>
      <c r="Z131" s="3">
        <v>0</v>
      </c>
      <c r="AA131" s="5">
        <v>-0.33</v>
      </c>
      <c r="AB131" s="5">
        <v>338.25</v>
      </c>
      <c r="AD131" s="25"/>
      <c r="AE131" s="25"/>
      <c r="AF131" s="25"/>
      <c r="AG131" s="32"/>
      <c r="AH131" s="18"/>
      <c r="AI131" s="3"/>
      <c r="AJ131" s="3"/>
      <c r="AK131" s="5"/>
      <c r="AL131" s="15">
        <f t="shared" si="16"/>
        <v>0</v>
      </c>
      <c r="AM131" s="15">
        <f t="shared" si="17"/>
        <v>338.25</v>
      </c>
      <c r="AN131" s="15">
        <f>AM131</f>
        <v>338.25</v>
      </c>
      <c r="AO131" s="15">
        <f t="shared" si="18"/>
        <v>0</v>
      </c>
    </row>
    <row r="132" spans="1:41" hidden="1" x14ac:dyDescent="0.25">
      <c r="A132" s="25">
        <v>133</v>
      </c>
      <c r="B132" s="39" t="s">
        <v>688</v>
      </c>
      <c r="C132" s="10" t="s">
        <v>1091</v>
      </c>
      <c r="D132" s="3" t="s">
        <v>689</v>
      </c>
      <c r="E132" s="3" t="s">
        <v>690</v>
      </c>
      <c r="F132" s="3" t="s">
        <v>691</v>
      </c>
      <c r="G132" s="3" t="s">
        <v>692</v>
      </c>
      <c r="H132" s="3" t="s">
        <v>14</v>
      </c>
      <c r="I132" s="3" t="s">
        <v>6</v>
      </c>
      <c r="J132" s="3"/>
      <c r="K132" s="3" t="s">
        <v>693</v>
      </c>
      <c r="L132" s="3"/>
      <c r="M132" s="3"/>
      <c r="N132" s="3"/>
      <c r="O132" s="3"/>
      <c r="P132" s="3"/>
      <c r="Q132" s="4">
        <v>46062</v>
      </c>
      <c r="R132" s="5">
        <v>14934.9</v>
      </c>
      <c r="S132" s="3">
        <v>284</v>
      </c>
      <c r="T132" s="3" t="s">
        <v>694</v>
      </c>
      <c r="U132" s="3">
        <v>0</v>
      </c>
      <c r="V132" s="3" t="s">
        <v>8</v>
      </c>
      <c r="W132" s="5">
        <v>14934.9</v>
      </c>
      <c r="X132" s="3">
        <v>0</v>
      </c>
      <c r="Y132" s="3">
        <v>0</v>
      </c>
      <c r="Z132" s="3">
        <v>0</v>
      </c>
      <c r="AA132" s="3">
        <v>0</v>
      </c>
      <c r="AB132" s="5">
        <v>14934.9</v>
      </c>
      <c r="AD132" s="25" t="s">
        <v>1175</v>
      </c>
      <c r="AE132" s="25" t="s">
        <v>1176</v>
      </c>
      <c r="AF132" s="26">
        <v>14934.9</v>
      </c>
      <c r="AG132" s="33">
        <f>W132</f>
        <v>14934.9</v>
      </c>
      <c r="AH132" s="18"/>
      <c r="AI132" s="3"/>
      <c r="AJ132" s="3"/>
      <c r="AK132" s="3"/>
      <c r="AL132" s="15">
        <f t="shared" si="16"/>
        <v>14934.9</v>
      </c>
      <c r="AM132" s="15">
        <f t="shared" si="17"/>
        <v>0</v>
      </c>
      <c r="AN132">
        <v>0</v>
      </c>
      <c r="AO132" s="15">
        <f t="shared" si="18"/>
        <v>0</v>
      </c>
    </row>
    <row r="133" spans="1:41" hidden="1" x14ac:dyDescent="0.25">
      <c r="A133" s="25">
        <v>134</v>
      </c>
      <c r="B133" s="39" t="s">
        <v>695</v>
      </c>
      <c r="C133" s="10" t="s">
        <v>1092</v>
      </c>
      <c r="D133" s="3" t="s">
        <v>696</v>
      </c>
      <c r="E133" s="3" t="s">
        <v>697</v>
      </c>
      <c r="F133" s="3" t="s">
        <v>698</v>
      </c>
      <c r="G133" s="3" t="s">
        <v>699</v>
      </c>
      <c r="H133" s="3" t="s">
        <v>14</v>
      </c>
      <c r="I133" s="3" t="s">
        <v>6</v>
      </c>
      <c r="J133" s="3"/>
      <c r="K133" s="3" t="s">
        <v>700</v>
      </c>
      <c r="L133" s="3"/>
      <c r="M133" s="3"/>
      <c r="N133" s="3"/>
      <c r="O133" s="3">
        <v>2136</v>
      </c>
      <c r="P133" s="3"/>
      <c r="Q133" s="4">
        <v>46081</v>
      </c>
      <c r="R133" s="5">
        <v>1682.26</v>
      </c>
      <c r="S133" s="3">
        <v>66</v>
      </c>
      <c r="T133" s="3"/>
      <c r="U133" s="3">
        <v>0</v>
      </c>
      <c r="V133" s="3" t="s">
        <v>8</v>
      </c>
      <c r="W133" s="5">
        <v>1682.26</v>
      </c>
      <c r="X133" s="3">
        <v>0</v>
      </c>
      <c r="Y133" s="3">
        <v>0</v>
      </c>
      <c r="Z133" s="3">
        <v>0</v>
      </c>
      <c r="AA133" s="3">
        <v>0</v>
      </c>
      <c r="AB133" s="5">
        <v>1682.26</v>
      </c>
      <c r="AD133" s="25"/>
      <c r="AE133" s="25"/>
      <c r="AF133" s="32"/>
      <c r="AH133" s="18"/>
      <c r="AI133" s="3"/>
      <c r="AJ133" s="3"/>
      <c r="AK133" s="3"/>
      <c r="AL133" s="15">
        <f t="shared" si="16"/>
        <v>0</v>
      </c>
      <c r="AM133" s="15">
        <f t="shared" si="17"/>
        <v>1682.26</v>
      </c>
      <c r="AN133" s="15">
        <f>AM133</f>
        <v>1682.26</v>
      </c>
      <c r="AO133" s="15">
        <f t="shared" si="18"/>
        <v>0</v>
      </c>
    </row>
    <row r="134" spans="1:41" hidden="1" x14ac:dyDescent="0.25">
      <c r="A134" s="25">
        <v>135</v>
      </c>
      <c r="B134" s="39" t="s">
        <v>701</v>
      </c>
      <c r="C134" s="10"/>
      <c r="D134" s="3" t="s">
        <v>702</v>
      </c>
      <c r="E134" s="3" t="s">
        <v>703</v>
      </c>
      <c r="F134" s="3" t="s">
        <v>704</v>
      </c>
      <c r="G134" s="3" t="s">
        <v>705</v>
      </c>
      <c r="H134" s="3" t="s">
        <v>14</v>
      </c>
      <c r="I134" s="3" t="s">
        <v>6</v>
      </c>
      <c r="J134" s="3"/>
      <c r="K134" s="3" t="s">
        <v>706</v>
      </c>
      <c r="L134" s="3"/>
      <c r="M134" s="3"/>
      <c r="N134" s="3"/>
      <c r="O134" s="3"/>
      <c r="P134" s="3"/>
      <c r="Q134" s="4">
        <v>46056</v>
      </c>
      <c r="R134" s="5">
        <v>583.03</v>
      </c>
      <c r="S134" s="3">
        <v>113</v>
      </c>
      <c r="T134" s="3"/>
      <c r="U134" s="3">
        <v>0</v>
      </c>
      <c r="V134" s="3" t="s">
        <v>8</v>
      </c>
      <c r="W134" s="16">
        <v>583.03</v>
      </c>
      <c r="X134" s="3">
        <v>0</v>
      </c>
      <c r="Y134" s="3">
        <v>0</v>
      </c>
      <c r="Z134" s="3">
        <v>0</v>
      </c>
      <c r="AA134" s="3">
        <v>0</v>
      </c>
      <c r="AB134" s="5">
        <v>583.03</v>
      </c>
      <c r="AD134" s="25" t="s">
        <v>1149</v>
      </c>
      <c r="AE134" s="25" t="s">
        <v>1150</v>
      </c>
      <c r="AF134" s="26">
        <v>583.03</v>
      </c>
      <c r="AG134" s="34">
        <f>AF134</f>
        <v>583.03</v>
      </c>
      <c r="AH134" s="18"/>
      <c r="AI134" s="3"/>
      <c r="AJ134" s="3"/>
      <c r="AK134" s="3"/>
      <c r="AL134" s="15">
        <f t="shared" si="16"/>
        <v>583.03</v>
      </c>
      <c r="AM134" s="15">
        <f t="shared" si="17"/>
        <v>0</v>
      </c>
      <c r="AN134">
        <v>0</v>
      </c>
      <c r="AO134" s="15">
        <f t="shared" si="18"/>
        <v>0</v>
      </c>
    </row>
    <row r="135" spans="1:41" hidden="1" x14ac:dyDescent="0.25">
      <c r="A135" s="25">
        <v>137</v>
      </c>
      <c r="B135" s="39" t="s">
        <v>713</v>
      </c>
      <c r="C135" s="10"/>
      <c r="D135" s="3" t="s">
        <v>714</v>
      </c>
      <c r="E135" s="3" t="s">
        <v>715</v>
      </c>
      <c r="F135" s="3" t="s">
        <v>716</v>
      </c>
      <c r="G135" s="3" t="s">
        <v>717</v>
      </c>
      <c r="H135" s="3" t="s">
        <v>14</v>
      </c>
      <c r="I135" s="3" t="s">
        <v>6</v>
      </c>
      <c r="J135" s="3" t="s">
        <v>33</v>
      </c>
      <c r="K135" s="3" t="s">
        <v>718</v>
      </c>
      <c r="L135" s="3"/>
      <c r="M135" s="3"/>
      <c r="N135" s="3" t="s">
        <v>22</v>
      </c>
      <c r="O135" s="3"/>
      <c r="P135" s="3"/>
      <c r="Q135" s="3"/>
      <c r="R135" s="3">
        <v>0</v>
      </c>
      <c r="S135" s="3">
        <v>523</v>
      </c>
      <c r="T135" s="3"/>
      <c r="U135" s="3">
        <v>0</v>
      </c>
      <c r="V135" s="3" t="s">
        <v>8</v>
      </c>
      <c r="W135" s="3">
        <v>0</v>
      </c>
      <c r="X135" s="3">
        <v>0</v>
      </c>
      <c r="Y135" s="3">
        <v>0</v>
      </c>
      <c r="Z135" s="5">
        <v>1505.1</v>
      </c>
      <c r="AA135" s="3">
        <v>0</v>
      </c>
      <c r="AB135" s="5">
        <v>1505.1</v>
      </c>
      <c r="AD135" s="25"/>
      <c r="AE135" s="25"/>
      <c r="AF135" s="25"/>
      <c r="AG135" s="32"/>
      <c r="AH135" s="18"/>
      <c r="AI135" s="3"/>
      <c r="AJ135" s="5"/>
      <c r="AK135" s="3"/>
      <c r="AL135" s="15">
        <f t="shared" si="16"/>
        <v>0</v>
      </c>
      <c r="AM135" s="15">
        <f t="shared" si="17"/>
        <v>1505.1</v>
      </c>
      <c r="AN135" s="15">
        <f>AM135</f>
        <v>1505.1</v>
      </c>
      <c r="AO135" s="15">
        <f t="shared" si="18"/>
        <v>0</v>
      </c>
    </row>
    <row r="136" spans="1:41" hidden="1" x14ac:dyDescent="0.25">
      <c r="A136" s="25">
        <v>138</v>
      </c>
      <c r="B136" s="39" t="s">
        <v>719</v>
      </c>
      <c r="C136" s="10" t="s">
        <v>1093</v>
      </c>
      <c r="D136" s="3" t="s">
        <v>720</v>
      </c>
      <c r="E136" s="3" t="s">
        <v>721</v>
      </c>
      <c r="F136" s="3" t="s">
        <v>722</v>
      </c>
      <c r="G136" s="3" t="s">
        <v>723</v>
      </c>
      <c r="H136" s="3" t="s">
        <v>14</v>
      </c>
      <c r="I136" s="3" t="s">
        <v>6</v>
      </c>
      <c r="J136" s="3" t="s">
        <v>15</v>
      </c>
      <c r="K136" s="3" t="s">
        <v>724</v>
      </c>
      <c r="L136" s="3"/>
      <c r="M136" s="3"/>
      <c r="N136" s="3"/>
      <c r="O136" s="3">
        <v>1462</v>
      </c>
      <c r="P136" s="3"/>
      <c r="Q136" s="4">
        <v>46081</v>
      </c>
      <c r="R136" s="5">
        <v>60140.26</v>
      </c>
      <c r="S136" s="3">
        <v>549</v>
      </c>
      <c r="T136" s="3"/>
      <c r="U136" s="3">
        <v>0</v>
      </c>
      <c r="V136" s="3" t="s">
        <v>8</v>
      </c>
      <c r="W136" s="5">
        <v>60140.26</v>
      </c>
      <c r="X136" s="3">
        <v>0</v>
      </c>
      <c r="Y136" s="3">
        <v>0</v>
      </c>
      <c r="Z136" s="3">
        <v>0</v>
      </c>
      <c r="AA136" s="3">
        <v>0</v>
      </c>
      <c r="AB136" s="5">
        <v>60140.26</v>
      </c>
      <c r="AD136" s="25"/>
      <c r="AE136" s="25"/>
      <c r="AF136" s="25"/>
      <c r="AG136" s="32"/>
      <c r="AH136" s="18"/>
      <c r="AI136" s="3"/>
      <c r="AJ136" s="3"/>
      <c r="AK136" s="3"/>
      <c r="AL136" s="15">
        <f t="shared" si="16"/>
        <v>0</v>
      </c>
      <c r="AM136" s="15">
        <f t="shared" si="17"/>
        <v>60140.26</v>
      </c>
      <c r="AN136" s="15">
        <f>AM136</f>
        <v>60140.26</v>
      </c>
      <c r="AO136" s="15">
        <f t="shared" si="18"/>
        <v>0</v>
      </c>
    </row>
    <row r="137" spans="1:41" hidden="1" x14ac:dyDescent="0.25">
      <c r="A137" s="25">
        <v>139</v>
      </c>
      <c r="B137" s="39" t="s">
        <v>725</v>
      </c>
      <c r="C137" s="10" t="s">
        <v>1094</v>
      </c>
      <c r="D137" s="3" t="s">
        <v>726</v>
      </c>
      <c r="E137" s="3" t="s">
        <v>727</v>
      </c>
      <c r="F137" s="3" t="s">
        <v>728</v>
      </c>
      <c r="G137" s="3" t="s">
        <v>729</v>
      </c>
      <c r="H137" s="3" t="s">
        <v>14</v>
      </c>
      <c r="I137" s="3" t="s">
        <v>6</v>
      </c>
      <c r="J137" s="3" t="s">
        <v>15</v>
      </c>
      <c r="K137" s="3" t="s">
        <v>730</v>
      </c>
      <c r="L137" s="3"/>
      <c r="M137" s="3"/>
      <c r="N137" s="3"/>
      <c r="O137" s="3"/>
      <c r="P137" s="3"/>
      <c r="Q137" s="4">
        <v>46081</v>
      </c>
      <c r="R137" s="5">
        <v>698.74</v>
      </c>
      <c r="S137" s="3">
        <v>78</v>
      </c>
      <c r="T137" s="3"/>
      <c r="U137" s="3">
        <v>0</v>
      </c>
      <c r="V137" s="3" t="s">
        <v>8</v>
      </c>
      <c r="W137" s="5">
        <v>349.37</v>
      </c>
      <c r="X137" s="3">
        <v>0</v>
      </c>
      <c r="Y137" s="3">
        <v>0</v>
      </c>
      <c r="Z137" s="3">
        <v>0</v>
      </c>
      <c r="AA137" s="3">
        <v>0</v>
      </c>
      <c r="AB137" s="5">
        <v>349.37</v>
      </c>
      <c r="AD137" s="25"/>
      <c r="AE137" s="25"/>
      <c r="AF137" s="25"/>
      <c r="AG137" s="32"/>
      <c r="AH137" s="18"/>
      <c r="AI137" s="3"/>
      <c r="AJ137" s="3"/>
      <c r="AK137" s="3"/>
      <c r="AL137" s="15">
        <f t="shared" si="16"/>
        <v>0</v>
      </c>
      <c r="AM137" s="15">
        <f t="shared" si="17"/>
        <v>349.37</v>
      </c>
      <c r="AN137" s="15">
        <f>AM137</f>
        <v>349.37</v>
      </c>
      <c r="AO137" s="15">
        <f t="shared" si="18"/>
        <v>0</v>
      </c>
    </row>
    <row r="138" spans="1:41" hidden="1" x14ac:dyDescent="0.25">
      <c r="A138" s="25">
        <v>140</v>
      </c>
      <c r="B138" s="39" t="s">
        <v>731</v>
      </c>
      <c r="C138" s="10" t="s">
        <v>1095</v>
      </c>
      <c r="D138" s="3" t="s">
        <v>732</v>
      </c>
      <c r="E138" s="3" t="s">
        <v>733</v>
      </c>
      <c r="F138" s="3" t="s">
        <v>734</v>
      </c>
      <c r="G138" s="3" t="s">
        <v>735</v>
      </c>
      <c r="H138" s="3" t="s">
        <v>14</v>
      </c>
      <c r="I138" s="3" t="s">
        <v>6</v>
      </c>
      <c r="J138" s="3"/>
      <c r="K138" s="3" t="s">
        <v>736</v>
      </c>
      <c r="L138" s="3"/>
      <c r="M138" s="3"/>
      <c r="N138" s="3"/>
      <c r="O138" s="3">
        <v>2037</v>
      </c>
      <c r="P138" s="3"/>
      <c r="Q138" s="4">
        <v>46080</v>
      </c>
      <c r="R138" s="5">
        <v>938.4</v>
      </c>
      <c r="S138" s="3">
        <v>106</v>
      </c>
      <c r="T138" s="3"/>
      <c r="U138" s="3">
        <v>0</v>
      </c>
      <c r="V138" s="3" t="s">
        <v>8</v>
      </c>
      <c r="W138" s="5">
        <v>938.4</v>
      </c>
      <c r="X138" s="3">
        <v>0</v>
      </c>
      <c r="Y138" s="3">
        <v>0</v>
      </c>
      <c r="Z138" s="3">
        <v>0</v>
      </c>
      <c r="AA138" s="3">
        <v>0</v>
      </c>
      <c r="AB138" s="5">
        <v>938.4</v>
      </c>
      <c r="AD138" s="25"/>
      <c r="AE138" s="25"/>
      <c r="AF138" s="25"/>
      <c r="AG138" s="32"/>
      <c r="AH138" s="18"/>
      <c r="AI138" s="3"/>
      <c r="AJ138" s="3"/>
      <c r="AK138" s="3"/>
      <c r="AL138" s="15">
        <f t="shared" si="16"/>
        <v>0</v>
      </c>
      <c r="AM138" s="15">
        <f t="shared" si="17"/>
        <v>938.4</v>
      </c>
      <c r="AN138" s="15">
        <f>AM138</f>
        <v>938.4</v>
      </c>
      <c r="AO138" s="15">
        <f t="shared" si="18"/>
        <v>0</v>
      </c>
    </row>
    <row r="139" spans="1:41" hidden="1" x14ac:dyDescent="0.25">
      <c r="A139" s="25">
        <v>141</v>
      </c>
      <c r="B139" s="39" t="s">
        <v>737</v>
      </c>
      <c r="C139" s="10" t="s">
        <v>1096</v>
      </c>
      <c r="D139" s="3" t="s">
        <v>738</v>
      </c>
      <c r="E139" s="3" t="s">
        <v>739</v>
      </c>
      <c r="F139" s="3"/>
      <c r="G139" s="3" t="s">
        <v>740</v>
      </c>
      <c r="H139" s="3" t="s">
        <v>14</v>
      </c>
      <c r="I139" s="3"/>
      <c r="J139" s="3"/>
      <c r="K139" s="3" t="s">
        <v>741</v>
      </c>
      <c r="L139" s="3"/>
      <c r="M139" s="3"/>
      <c r="N139" s="3"/>
      <c r="O139" s="3">
        <v>2144</v>
      </c>
      <c r="P139" s="3"/>
      <c r="Q139" s="4">
        <v>46077</v>
      </c>
      <c r="R139" s="5">
        <v>2817.5</v>
      </c>
      <c r="S139" s="3">
        <v>179</v>
      </c>
      <c r="T139" s="3"/>
      <c r="U139" s="3">
        <v>0</v>
      </c>
      <c r="V139" s="3" t="s">
        <v>8</v>
      </c>
      <c r="W139" s="5">
        <v>2817.5</v>
      </c>
      <c r="X139" s="3">
        <v>0</v>
      </c>
      <c r="Y139" s="3">
        <v>0</v>
      </c>
      <c r="Z139" s="3">
        <v>0</v>
      </c>
      <c r="AA139" s="3">
        <v>0</v>
      </c>
      <c r="AB139" s="5">
        <v>2817.5</v>
      </c>
      <c r="AD139" s="25" t="s">
        <v>1163</v>
      </c>
      <c r="AE139" s="25" t="s">
        <v>737</v>
      </c>
      <c r="AF139" s="26">
        <v>2817.5</v>
      </c>
      <c r="AG139" s="32"/>
      <c r="AH139" s="19">
        <f>AF139</f>
        <v>2817.5</v>
      </c>
      <c r="AI139" s="3"/>
      <c r="AJ139" s="3"/>
      <c r="AK139" s="3"/>
      <c r="AL139" s="15">
        <f t="shared" si="16"/>
        <v>2817.5</v>
      </c>
      <c r="AM139" s="15">
        <f t="shared" si="17"/>
        <v>0</v>
      </c>
      <c r="AN139">
        <v>0</v>
      </c>
      <c r="AO139" s="15">
        <f t="shared" si="18"/>
        <v>0</v>
      </c>
    </row>
    <row r="140" spans="1:41" hidden="1" x14ac:dyDescent="0.25">
      <c r="A140" s="25">
        <v>142</v>
      </c>
      <c r="B140" s="39" t="s">
        <v>742</v>
      </c>
      <c r="C140" s="10" t="s">
        <v>1097</v>
      </c>
      <c r="D140" s="3" t="s">
        <v>743</v>
      </c>
      <c r="E140" s="3" t="s">
        <v>744</v>
      </c>
      <c r="F140" s="3" t="s">
        <v>745</v>
      </c>
      <c r="G140" s="3" t="s">
        <v>746</v>
      </c>
      <c r="H140" s="3" t="s">
        <v>14</v>
      </c>
      <c r="I140" s="3" t="s">
        <v>6</v>
      </c>
      <c r="J140" s="3" t="s">
        <v>15</v>
      </c>
      <c r="K140" s="3" t="s">
        <v>747</v>
      </c>
      <c r="L140" s="3"/>
      <c r="M140" s="3"/>
      <c r="N140" s="3" t="s">
        <v>22</v>
      </c>
      <c r="O140" s="3"/>
      <c r="P140" s="3"/>
      <c r="Q140" s="4">
        <v>46081</v>
      </c>
      <c r="R140" s="5">
        <v>232.14</v>
      </c>
      <c r="S140" s="3">
        <v>68</v>
      </c>
      <c r="T140" s="3"/>
      <c r="U140" s="3">
        <v>0</v>
      </c>
      <c r="V140" s="3" t="s">
        <v>8</v>
      </c>
      <c r="W140" s="5">
        <v>232.14</v>
      </c>
      <c r="X140" s="3">
        <v>0</v>
      </c>
      <c r="Y140" s="3">
        <v>0</v>
      </c>
      <c r="Z140" s="3">
        <v>0</v>
      </c>
      <c r="AA140" s="3">
        <v>0</v>
      </c>
      <c r="AB140" s="5">
        <v>232.14</v>
      </c>
      <c r="AD140" s="25"/>
      <c r="AE140" s="25"/>
      <c r="AF140" s="25"/>
      <c r="AG140" s="32"/>
      <c r="AH140" s="18"/>
      <c r="AI140" s="3"/>
      <c r="AJ140" s="3"/>
      <c r="AK140" s="3"/>
      <c r="AL140" s="15">
        <f t="shared" si="16"/>
        <v>0</v>
      </c>
      <c r="AM140" s="15">
        <f t="shared" si="17"/>
        <v>232.14</v>
      </c>
      <c r="AN140" s="15">
        <f>AM140</f>
        <v>232.14</v>
      </c>
      <c r="AO140" s="15">
        <f t="shared" si="18"/>
        <v>0</v>
      </c>
    </row>
    <row r="141" spans="1:41" hidden="1" x14ac:dyDescent="0.25">
      <c r="A141" s="25">
        <v>143</v>
      </c>
      <c r="B141" s="39">
        <v>1119</v>
      </c>
      <c r="C141" s="10"/>
      <c r="D141" s="3" t="s">
        <v>748</v>
      </c>
      <c r="E141" s="3" t="s">
        <v>749</v>
      </c>
      <c r="F141" s="3" t="s">
        <v>750</v>
      </c>
      <c r="G141" s="3" t="s">
        <v>751</v>
      </c>
      <c r="H141" s="3" t="s">
        <v>14</v>
      </c>
      <c r="I141" s="3" t="s">
        <v>6</v>
      </c>
      <c r="J141" s="3" t="s">
        <v>33</v>
      </c>
      <c r="K141" s="3" t="s">
        <v>752</v>
      </c>
      <c r="L141" s="3" t="s">
        <v>753</v>
      </c>
      <c r="M141" s="3" t="s">
        <v>754</v>
      </c>
      <c r="N141" s="3"/>
      <c r="O141" s="3">
        <v>3910</v>
      </c>
      <c r="P141" s="3"/>
      <c r="Q141" s="4">
        <v>45847</v>
      </c>
      <c r="R141" s="5">
        <v>5000</v>
      </c>
      <c r="S141" s="3">
        <v>300</v>
      </c>
      <c r="T141" s="3"/>
      <c r="U141" s="3">
        <v>0</v>
      </c>
      <c r="V141" s="3" t="s">
        <v>8</v>
      </c>
      <c r="W141" s="3">
        <v>0</v>
      </c>
      <c r="X141" s="3">
        <v>0</v>
      </c>
      <c r="Y141" s="3">
        <v>0</v>
      </c>
      <c r="Z141" s="3">
        <v>0</v>
      </c>
      <c r="AA141" s="5">
        <v>88002.8</v>
      </c>
      <c r="AB141" s="5">
        <v>88002.8</v>
      </c>
      <c r="AD141" s="25"/>
      <c r="AE141" s="25"/>
      <c r="AF141" s="25"/>
      <c r="AG141" s="32"/>
      <c r="AH141" s="18"/>
      <c r="AI141" s="3"/>
      <c r="AJ141" s="3"/>
      <c r="AK141" s="5"/>
      <c r="AL141" s="15">
        <f t="shared" si="16"/>
        <v>0</v>
      </c>
      <c r="AM141" s="15">
        <f t="shared" si="17"/>
        <v>88002.8</v>
      </c>
      <c r="AN141" s="15">
        <f>AM141</f>
        <v>88002.8</v>
      </c>
      <c r="AO141" s="15">
        <f t="shared" si="18"/>
        <v>0</v>
      </c>
    </row>
    <row r="142" spans="1:41" hidden="1" x14ac:dyDescent="0.25">
      <c r="A142" s="25">
        <v>146</v>
      </c>
      <c r="B142" s="39">
        <v>682</v>
      </c>
      <c r="C142" s="10" t="s">
        <v>1099</v>
      </c>
      <c r="D142" s="3" t="s">
        <v>762</v>
      </c>
      <c r="E142" s="3" t="s">
        <v>763</v>
      </c>
      <c r="F142" s="3" t="s">
        <v>764</v>
      </c>
      <c r="G142" s="3" t="s">
        <v>765</v>
      </c>
      <c r="H142" s="3" t="s">
        <v>14</v>
      </c>
      <c r="I142" s="3" t="s">
        <v>6</v>
      </c>
      <c r="J142" s="3" t="s">
        <v>15</v>
      </c>
      <c r="K142" s="3"/>
      <c r="L142" s="3"/>
      <c r="M142" s="3"/>
      <c r="N142" s="3"/>
      <c r="O142" s="3"/>
      <c r="P142" s="3"/>
      <c r="Q142" s="4">
        <v>46081</v>
      </c>
      <c r="R142" s="5">
        <v>5559.8</v>
      </c>
      <c r="S142" s="3">
        <v>261</v>
      </c>
      <c r="T142" s="3"/>
      <c r="U142" s="3">
        <v>0</v>
      </c>
      <c r="V142" s="3" t="s">
        <v>8</v>
      </c>
      <c r="W142" s="5">
        <v>5559.8</v>
      </c>
      <c r="X142" s="3">
        <v>0</v>
      </c>
      <c r="Y142" s="3">
        <v>0</v>
      </c>
      <c r="Z142" s="3">
        <v>0</v>
      </c>
      <c r="AA142" s="3">
        <v>0</v>
      </c>
      <c r="AB142" s="5">
        <v>5559.8</v>
      </c>
      <c r="AD142" s="25"/>
      <c r="AE142" s="25"/>
      <c r="AF142" s="25"/>
      <c r="AG142" s="32"/>
      <c r="AH142" s="18"/>
      <c r="AI142" s="3"/>
      <c r="AJ142" s="3"/>
      <c r="AK142" s="3"/>
      <c r="AL142" s="15">
        <f t="shared" si="16"/>
        <v>0</v>
      </c>
      <c r="AM142" s="15">
        <f t="shared" si="17"/>
        <v>5559.8</v>
      </c>
      <c r="AN142" s="15">
        <f>AM142</f>
        <v>5559.8</v>
      </c>
      <c r="AO142" s="15">
        <f t="shared" si="18"/>
        <v>0</v>
      </c>
    </row>
    <row r="143" spans="1:41" hidden="1" x14ac:dyDescent="0.25">
      <c r="A143" s="25">
        <v>148</v>
      </c>
      <c r="B143" s="39" t="s">
        <v>767</v>
      </c>
      <c r="C143" s="10" t="s">
        <v>1101</v>
      </c>
      <c r="D143" s="3" t="s">
        <v>768</v>
      </c>
      <c r="E143" s="3" t="s">
        <v>769</v>
      </c>
      <c r="F143" s="3" t="s">
        <v>770</v>
      </c>
      <c r="G143" s="3" t="s">
        <v>771</v>
      </c>
      <c r="H143" s="3" t="s">
        <v>14</v>
      </c>
      <c r="I143" s="3"/>
      <c r="J143" s="3"/>
      <c r="K143" s="3" t="s">
        <v>772</v>
      </c>
      <c r="L143" s="3"/>
      <c r="M143" s="3"/>
      <c r="N143" s="3"/>
      <c r="O143" s="3">
        <v>1465</v>
      </c>
      <c r="P143" s="3"/>
      <c r="Q143" s="4">
        <v>46052</v>
      </c>
      <c r="R143" s="5">
        <v>21721.360000000001</v>
      </c>
      <c r="S143" s="3">
        <v>172</v>
      </c>
      <c r="T143" s="3"/>
      <c r="U143" s="3">
        <v>0</v>
      </c>
      <c r="V143" s="3" t="s">
        <v>8</v>
      </c>
      <c r="W143" s="5">
        <v>10860.68</v>
      </c>
      <c r="X143" s="5">
        <v>10860.68</v>
      </c>
      <c r="Y143" s="3">
        <v>0</v>
      </c>
      <c r="Z143" s="3">
        <v>0</v>
      </c>
      <c r="AA143" s="3">
        <v>0</v>
      </c>
      <c r="AB143" s="5">
        <v>21721.360000000001</v>
      </c>
      <c r="AD143" s="25" t="s">
        <v>1154</v>
      </c>
      <c r="AE143" s="25" t="s">
        <v>1171</v>
      </c>
      <c r="AF143" s="26">
        <v>10860.68</v>
      </c>
      <c r="AG143" s="32"/>
      <c r="AH143" s="19">
        <f>X143</f>
        <v>10860.68</v>
      </c>
      <c r="AI143" s="3"/>
      <c r="AJ143" s="3"/>
      <c r="AK143" s="3"/>
      <c r="AL143" s="15">
        <f t="shared" si="16"/>
        <v>10860.68</v>
      </c>
      <c r="AM143" s="15">
        <f t="shared" si="17"/>
        <v>10860.68</v>
      </c>
      <c r="AN143">
        <v>10860.68</v>
      </c>
      <c r="AO143" s="15">
        <f t="shared" si="18"/>
        <v>0</v>
      </c>
    </row>
    <row r="144" spans="1:41" hidden="1" x14ac:dyDescent="0.25">
      <c r="A144" s="25">
        <v>149</v>
      </c>
      <c r="B144" s="39" t="s">
        <v>773</v>
      </c>
      <c r="C144" s="10" t="s">
        <v>1102</v>
      </c>
      <c r="D144" s="3" t="s">
        <v>774</v>
      </c>
      <c r="E144" s="3" t="s">
        <v>774</v>
      </c>
      <c r="F144" s="3" t="s">
        <v>775</v>
      </c>
      <c r="G144" s="3" t="s">
        <v>776</v>
      </c>
      <c r="H144" s="3" t="s">
        <v>14</v>
      </c>
      <c r="I144" s="3" t="s">
        <v>6</v>
      </c>
      <c r="J144" s="3" t="s">
        <v>15</v>
      </c>
      <c r="K144" s="3" t="s">
        <v>777</v>
      </c>
      <c r="L144" s="3"/>
      <c r="M144" s="3"/>
      <c r="N144" s="3"/>
      <c r="O144" s="3">
        <v>2196</v>
      </c>
      <c r="P144" s="3"/>
      <c r="Q144" s="4">
        <v>46081</v>
      </c>
      <c r="R144" s="5">
        <v>162.97999999999999</v>
      </c>
      <c r="S144" s="3">
        <v>60</v>
      </c>
      <c r="T144" s="3"/>
      <c r="U144" s="3">
        <v>0</v>
      </c>
      <c r="V144" s="3" t="s">
        <v>8</v>
      </c>
      <c r="W144" s="5">
        <v>162.97999999999999</v>
      </c>
      <c r="X144" s="3">
        <v>0</v>
      </c>
      <c r="Y144" s="3">
        <v>0</v>
      </c>
      <c r="Z144" s="3">
        <v>0</v>
      </c>
      <c r="AA144" s="3">
        <v>0</v>
      </c>
      <c r="AB144" s="5">
        <v>162.97999999999999</v>
      </c>
      <c r="AD144" s="25"/>
      <c r="AE144" s="25"/>
      <c r="AF144" s="25"/>
      <c r="AG144" s="32"/>
      <c r="AH144" s="18"/>
      <c r="AI144" s="3"/>
      <c r="AJ144" s="3"/>
      <c r="AK144" s="3"/>
      <c r="AL144" s="15">
        <f t="shared" si="16"/>
        <v>0</v>
      </c>
      <c r="AM144" s="15">
        <f t="shared" si="17"/>
        <v>162.97999999999999</v>
      </c>
      <c r="AN144" s="15">
        <f>AM144</f>
        <v>162.97999999999999</v>
      </c>
      <c r="AO144" s="15">
        <f t="shared" si="18"/>
        <v>0</v>
      </c>
    </row>
    <row r="145" spans="1:41" hidden="1" x14ac:dyDescent="0.25">
      <c r="A145" s="25">
        <v>150</v>
      </c>
      <c r="B145" s="39" t="s">
        <v>778</v>
      </c>
      <c r="C145" s="10" t="s">
        <v>1103</v>
      </c>
      <c r="D145" s="3" t="s">
        <v>779</v>
      </c>
      <c r="E145" s="3" t="s">
        <v>314</v>
      </c>
      <c r="F145" s="3" t="s">
        <v>315</v>
      </c>
      <c r="G145" s="3" t="s">
        <v>316</v>
      </c>
      <c r="H145" s="3" t="s">
        <v>14</v>
      </c>
      <c r="I145" s="3" t="s">
        <v>6</v>
      </c>
      <c r="J145" s="3"/>
      <c r="K145" s="3" t="s">
        <v>780</v>
      </c>
      <c r="L145" s="3"/>
      <c r="M145" s="3"/>
      <c r="N145" s="3"/>
      <c r="O145" s="3">
        <v>1540</v>
      </c>
      <c r="P145" s="3"/>
      <c r="Q145" s="4">
        <v>46081</v>
      </c>
      <c r="R145" s="5">
        <v>8345.5</v>
      </c>
      <c r="S145" s="3">
        <v>43</v>
      </c>
      <c r="T145" s="3"/>
      <c r="U145" s="3">
        <v>0</v>
      </c>
      <c r="V145" s="3" t="s">
        <v>8</v>
      </c>
      <c r="W145" s="5">
        <v>8345.5</v>
      </c>
      <c r="X145" s="3">
        <v>0</v>
      </c>
      <c r="Y145" s="3">
        <v>0</v>
      </c>
      <c r="Z145" s="3">
        <v>0</v>
      </c>
      <c r="AA145" s="3">
        <v>0</v>
      </c>
      <c r="AB145" s="5">
        <v>8345.5</v>
      </c>
      <c r="AD145" s="25"/>
      <c r="AE145" s="25"/>
      <c r="AF145" s="25"/>
      <c r="AG145" s="32"/>
      <c r="AH145" s="18"/>
      <c r="AI145" s="3"/>
      <c r="AJ145" s="3"/>
      <c r="AK145" s="3"/>
      <c r="AL145" s="15">
        <f t="shared" ref="AL145:AL176" si="20">AH145+AI145+AJ145+AK145+AG145</f>
        <v>0</v>
      </c>
      <c r="AM145" s="15">
        <f t="shared" ref="AM145:AM176" si="21">AB145-AL145</f>
        <v>8345.5</v>
      </c>
      <c r="AN145" s="15">
        <f>AM145</f>
        <v>8345.5</v>
      </c>
      <c r="AO145" s="15">
        <f t="shared" ref="AO145:AO176" si="22">AM145-AN145</f>
        <v>0</v>
      </c>
    </row>
    <row r="146" spans="1:41" hidden="1" x14ac:dyDescent="0.25">
      <c r="A146" s="25">
        <v>151</v>
      </c>
      <c r="B146" s="39" t="s">
        <v>781</v>
      </c>
      <c r="C146" s="10" t="s">
        <v>1104</v>
      </c>
      <c r="D146" s="3" t="s">
        <v>782</v>
      </c>
      <c r="E146" s="3" t="s">
        <v>783</v>
      </c>
      <c r="F146" s="3"/>
      <c r="G146" s="3" t="s">
        <v>784</v>
      </c>
      <c r="H146" s="3" t="s">
        <v>14</v>
      </c>
      <c r="I146" s="3" t="s">
        <v>6</v>
      </c>
      <c r="J146" s="3" t="s">
        <v>15</v>
      </c>
      <c r="K146" s="3" t="s">
        <v>785</v>
      </c>
      <c r="L146" s="3"/>
      <c r="M146" s="3"/>
      <c r="N146" s="3" t="s">
        <v>22</v>
      </c>
      <c r="O146" s="3"/>
      <c r="P146" s="3"/>
      <c r="Q146" s="4">
        <v>46081</v>
      </c>
      <c r="R146" s="5">
        <v>297.85000000000002</v>
      </c>
      <c r="S146" s="3">
        <v>68</v>
      </c>
      <c r="T146" s="3"/>
      <c r="U146" s="3">
        <v>0</v>
      </c>
      <c r="V146" s="3" t="s">
        <v>8</v>
      </c>
      <c r="W146" s="5">
        <v>297.85000000000002</v>
      </c>
      <c r="X146" s="3">
        <v>0</v>
      </c>
      <c r="Y146" s="3">
        <v>0</v>
      </c>
      <c r="Z146" s="3">
        <v>0</v>
      </c>
      <c r="AA146" s="3">
        <v>0</v>
      </c>
      <c r="AB146" s="5">
        <v>297.85000000000002</v>
      </c>
      <c r="AD146" s="25"/>
      <c r="AE146" s="25"/>
      <c r="AF146" s="25"/>
      <c r="AG146" s="32"/>
      <c r="AH146" s="18"/>
      <c r="AI146" s="3"/>
      <c r="AJ146" s="3"/>
      <c r="AK146" s="3"/>
      <c r="AL146" s="15">
        <f t="shared" si="20"/>
        <v>0</v>
      </c>
      <c r="AM146" s="15">
        <f t="shared" si="21"/>
        <v>297.85000000000002</v>
      </c>
      <c r="AN146" s="15">
        <f>AM146</f>
        <v>297.85000000000002</v>
      </c>
      <c r="AO146" s="15">
        <f t="shared" si="22"/>
        <v>0</v>
      </c>
    </row>
    <row r="147" spans="1:41" hidden="1" x14ac:dyDescent="0.25">
      <c r="A147" s="25">
        <v>154</v>
      </c>
      <c r="B147" s="39" t="s">
        <v>801</v>
      </c>
      <c r="C147" s="3" t="s">
        <v>1106</v>
      </c>
      <c r="D147" s="3" t="s">
        <v>802</v>
      </c>
      <c r="E147" s="3" t="s">
        <v>803</v>
      </c>
      <c r="F147" s="3" t="s">
        <v>804</v>
      </c>
      <c r="G147" s="3" t="s">
        <v>805</v>
      </c>
      <c r="H147" s="3" t="s">
        <v>14</v>
      </c>
      <c r="I147" s="3"/>
      <c r="J147" s="3"/>
      <c r="K147" s="3" t="s">
        <v>806</v>
      </c>
      <c r="L147" s="3"/>
      <c r="M147" s="3"/>
      <c r="N147" s="3"/>
      <c r="O147" s="3">
        <v>1462</v>
      </c>
      <c r="P147" s="3"/>
      <c r="Q147" s="4">
        <v>46055</v>
      </c>
      <c r="R147" s="5">
        <v>25968.959999999999</v>
      </c>
      <c r="S147" s="3">
        <v>1218</v>
      </c>
      <c r="T147" s="3"/>
      <c r="U147" s="3">
        <v>0</v>
      </c>
      <c r="V147" s="3" t="s">
        <v>8</v>
      </c>
      <c r="W147" s="5">
        <v>26116.12</v>
      </c>
      <c r="X147" s="5">
        <v>23990.9</v>
      </c>
      <c r="Y147" s="3">
        <v>0</v>
      </c>
      <c r="Z147" s="3">
        <v>0</v>
      </c>
      <c r="AA147" s="3">
        <v>0.02</v>
      </c>
      <c r="AB147" s="5">
        <v>50107.040000000001</v>
      </c>
      <c r="AD147" s="25" t="s">
        <v>1147</v>
      </c>
      <c r="AE147" s="25" t="s">
        <v>1185</v>
      </c>
      <c r="AF147" s="26">
        <v>23990.9</v>
      </c>
      <c r="AG147" s="32"/>
      <c r="AH147" s="19">
        <f>AF147</f>
        <v>23990.9</v>
      </c>
      <c r="AI147" s="3"/>
      <c r="AJ147" s="3"/>
      <c r="AK147" s="3"/>
      <c r="AL147" s="15">
        <f t="shared" si="20"/>
        <v>23990.9</v>
      </c>
      <c r="AM147" s="15">
        <f t="shared" si="21"/>
        <v>26116.14</v>
      </c>
      <c r="AN147">
        <v>26116.14</v>
      </c>
      <c r="AO147" s="15">
        <f t="shared" si="22"/>
        <v>0</v>
      </c>
    </row>
    <row r="148" spans="1:41" hidden="1" x14ac:dyDescent="0.25">
      <c r="A148" s="25">
        <v>155</v>
      </c>
      <c r="B148" s="39" t="s">
        <v>807</v>
      </c>
      <c r="C148" s="10" t="s">
        <v>1107</v>
      </c>
      <c r="D148" s="3" t="s">
        <v>808</v>
      </c>
      <c r="E148" s="3" t="s">
        <v>809</v>
      </c>
      <c r="F148" s="3" t="s">
        <v>810</v>
      </c>
      <c r="G148" s="3" t="s">
        <v>811</v>
      </c>
      <c r="H148" s="3" t="s">
        <v>14</v>
      </c>
      <c r="I148" s="3"/>
      <c r="J148" s="3" t="s">
        <v>15</v>
      </c>
      <c r="K148" s="3" t="s">
        <v>812</v>
      </c>
      <c r="L148" s="3"/>
      <c r="M148" s="3"/>
      <c r="N148" s="3"/>
      <c r="O148" s="3">
        <v>2090</v>
      </c>
      <c r="P148" s="3"/>
      <c r="Q148" s="4">
        <v>46081</v>
      </c>
      <c r="R148" s="5">
        <v>188.7</v>
      </c>
      <c r="S148" s="3">
        <v>76</v>
      </c>
      <c r="T148" s="3"/>
      <c r="U148" s="3">
        <v>0</v>
      </c>
      <c r="V148" s="3" t="s">
        <v>8</v>
      </c>
      <c r="W148" s="5">
        <v>188.7</v>
      </c>
      <c r="X148" s="3">
        <v>0</v>
      </c>
      <c r="Y148" s="3">
        <v>0</v>
      </c>
      <c r="Z148" s="3">
        <v>0</v>
      </c>
      <c r="AA148" s="3">
        <v>0</v>
      </c>
      <c r="AB148" s="5">
        <v>188.7</v>
      </c>
      <c r="AD148" s="25"/>
      <c r="AE148" s="25"/>
      <c r="AF148" s="25"/>
      <c r="AG148" s="32"/>
      <c r="AH148" s="18"/>
      <c r="AI148" s="3"/>
      <c r="AJ148" s="3"/>
      <c r="AK148" s="3"/>
      <c r="AL148" s="15">
        <f t="shared" si="20"/>
        <v>0</v>
      </c>
      <c r="AM148" s="15">
        <f t="shared" si="21"/>
        <v>188.7</v>
      </c>
      <c r="AN148" s="15">
        <f>AM148</f>
        <v>188.7</v>
      </c>
      <c r="AO148" s="15">
        <f t="shared" si="22"/>
        <v>0</v>
      </c>
    </row>
    <row r="149" spans="1:41" hidden="1" x14ac:dyDescent="0.25">
      <c r="A149" s="25">
        <v>156</v>
      </c>
      <c r="B149" s="39" t="s">
        <v>813</v>
      </c>
      <c r="C149" s="10" t="s">
        <v>1108</v>
      </c>
      <c r="D149" s="3" t="s">
        <v>814</v>
      </c>
      <c r="E149" s="3" t="s">
        <v>815</v>
      </c>
      <c r="F149" s="3" t="s">
        <v>816</v>
      </c>
      <c r="G149" s="3" t="s">
        <v>817</v>
      </c>
      <c r="H149" s="3" t="s">
        <v>14</v>
      </c>
      <c r="I149" s="3" t="s">
        <v>6</v>
      </c>
      <c r="J149" s="3"/>
      <c r="K149" s="3" t="s">
        <v>818</v>
      </c>
      <c r="L149" s="3"/>
      <c r="M149" s="3"/>
      <c r="N149" s="3"/>
      <c r="O149" s="3">
        <v>8305</v>
      </c>
      <c r="P149" s="3"/>
      <c r="Q149" s="4">
        <v>46080</v>
      </c>
      <c r="R149" s="5">
        <v>9359.0499999999993</v>
      </c>
      <c r="S149" s="3">
        <v>293</v>
      </c>
      <c r="T149" s="3"/>
      <c r="U149" s="3">
        <v>0</v>
      </c>
      <c r="V149" s="3" t="s">
        <v>8</v>
      </c>
      <c r="W149" s="5">
        <v>16364.48</v>
      </c>
      <c r="X149" s="5">
        <v>48581.06</v>
      </c>
      <c r="Y149" s="3">
        <v>0</v>
      </c>
      <c r="Z149" s="3">
        <v>0</v>
      </c>
      <c r="AA149" s="5">
        <v>-402.56</v>
      </c>
      <c r="AB149" s="5">
        <v>64542.98</v>
      </c>
      <c r="AD149" s="25"/>
      <c r="AE149" s="25"/>
      <c r="AF149" s="25"/>
      <c r="AG149" s="32"/>
      <c r="AH149" s="19"/>
      <c r="AI149" s="3"/>
      <c r="AJ149" s="3"/>
      <c r="AK149" s="5"/>
      <c r="AL149" s="15">
        <f t="shared" si="20"/>
        <v>0</v>
      </c>
      <c r="AM149" s="15">
        <f t="shared" si="21"/>
        <v>64542.98</v>
      </c>
      <c r="AN149" s="15">
        <f>AM149</f>
        <v>64542.98</v>
      </c>
      <c r="AO149" s="15">
        <f t="shared" si="22"/>
        <v>0</v>
      </c>
    </row>
    <row r="150" spans="1:41" hidden="1" x14ac:dyDescent="0.25">
      <c r="A150" s="25">
        <v>157</v>
      </c>
      <c r="B150" s="39" t="s">
        <v>819</v>
      </c>
      <c r="C150" s="10" t="s">
        <v>1109</v>
      </c>
      <c r="D150" s="3" t="s">
        <v>820</v>
      </c>
      <c r="E150" s="3" t="s">
        <v>821</v>
      </c>
      <c r="F150" s="3" t="s">
        <v>822</v>
      </c>
      <c r="G150" s="3" t="s">
        <v>823</v>
      </c>
      <c r="H150" s="3" t="s">
        <v>14</v>
      </c>
      <c r="I150" s="3" t="s">
        <v>6</v>
      </c>
      <c r="J150" s="3" t="s">
        <v>15</v>
      </c>
      <c r="K150" s="3" t="s">
        <v>824</v>
      </c>
      <c r="L150" s="3"/>
      <c r="M150" s="3"/>
      <c r="N150" s="3"/>
      <c r="O150" s="3">
        <v>2067</v>
      </c>
      <c r="P150" s="3"/>
      <c r="Q150" s="4">
        <v>46081</v>
      </c>
      <c r="R150" s="5">
        <v>204.7</v>
      </c>
      <c r="S150" s="3">
        <v>107</v>
      </c>
      <c r="T150" s="3"/>
      <c r="U150" s="3">
        <v>0</v>
      </c>
      <c r="V150" s="3" t="s">
        <v>8</v>
      </c>
      <c r="W150" s="5">
        <v>204.7</v>
      </c>
      <c r="X150" s="3">
        <v>0</v>
      </c>
      <c r="Y150" s="3">
        <v>0</v>
      </c>
      <c r="Z150" s="3">
        <v>0</v>
      </c>
      <c r="AA150" s="3">
        <v>0</v>
      </c>
      <c r="AB150" s="5">
        <v>204.7</v>
      </c>
      <c r="AD150" s="25"/>
      <c r="AE150" s="25"/>
      <c r="AF150" s="25"/>
      <c r="AG150" s="32"/>
      <c r="AH150" s="18"/>
      <c r="AI150" s="3"/>
      <c r="AJ150" s="3"/>
      <c r="AK150" s="3"/>
      <c r="AL150" s="15">
        <f t="shared" si="20"/>
        <v>0</v>
      </c>
      <c r="AM150" s="15">
        <f t="shared" si="21"/>
        <v>204.7</v>
      </c>
      <c r="AN150" s="15">
        <f>AM150</f>
        <v>204.7</v>
      </c>
      <c r="AO150" s="15">
        <f t="shared" si="22"/>
        <v>0</v>
      </c>
    </row>
    <row r="151" spans="1:41" hidden="1" x14ac:dyDescent="0.25">
      <c r="A151" s="25">
        <v>158</v>
      </c>
      <c r="B151" s="39" t="s">
        <v>825</v>
      </c>
      <c r="C151" s="10" t="s">
        <v>1110</v>
      </c>
      <c r="D151" s="3" t="s">
        <v>826</v>
      </c>
      <c r="E151" s="3" t="s">
        <v>827</v>
      </c>
      <c r="F151" s="3"/>
      <c r="G151" s="3" t="s">
        <v>828</v>
      </c>
      <c r="H151" s="3" t="s">
        <v>14</v>
      </c>
      <c r="I151" s="3" t="s">
        <v>6</v>
      </c>
      <c r="J151" s="3"/>
      <c r="K151" s="3" t="s">
        <v>829</v>
      </c>
      <c r="L151" s="3"/>
      <c r="M151" s="3"/>
      <c r="N151" s="3" t="s">
        <v>22</v>
      </c>
      <c r="O151" s="3">
        <v>1401</v>
      </c>
      <c r="P151" s="3"/>
      <c r="Q151" s="4">
        <v>46060</v>
      </c>
      <c r="R151" s="5">
        <v>11641.45</v>
      </c>
      <c r="S151" s="3">
        <v>56</v>
      </c>
      <c r="T151" s="3"/>
      <c r="U151" s="3">
        <v>0</v>
      </c>
      <c r="V151" s="3" t="s">
        <v>8</v>
      </c>
      <c r="W151" s="5">
        <v>5828.2</v>
      </c>
      <c r="X151" s="5">
        <v>5828.2</v>
      </c>
      <c r="Y151" s="3">
        <v>0</v>
      </c>
      <c r="Z151" s="3">
        <v>0</v>
      </c>
      <c r="AA151" s="3">
        <v>0</v>
      </c>
      <c r="AB151" s="5">
        <v>11656.4</v>
      </c>
      <c r="AD151" s="25" t="s">
        <v>1151</v>
      </c>
      <c r="AE151" s="25" t="s">
        <v>826</v>
      </c>
      <c r="AF151" s="26">
        <v>5828.2</v>
      </c>
      <c r="AG151" s="32"/>
      <c r="AH151" s="19">
        <f>X151</f>
        <v>5828.2</v>
      </c>
      <c r="AI151" s="3"/>
      <c r="AJ151" s="3"/>
      <c r="AK151" s="3"/>
      <c r="AL151" s="15">
        <f t="shared" si="20"/>
        <v>5828.2</v>
      </c>
      <c r="AM151" s="15">
        <f t="shared" si="21"/>
        <v>5828.2</v>
      </c>
      <c r="AN151">
        <v>5828.2</v>
      </c>
      <c r="AO151" s="15">
        <f t="shared" si="22"/>
        <v>0</v>
      </c>
    </row>
    <row r="152" spans="1:41" hidden="1" x14ac:dyDescent="0.25">
      <c r="A152" s="25">
        <v>159</v>
      </c>
      <c r="B152" s="39" t="s">
        <v>830</v>
      </c>
      <c r="C152" s="10" t="s">
        <v>1111</v>
      </c>
      <c r="D152" s="3" t="s">
        <v>831</v>
      </c>
      <c r="E152" s="3" t="s">
        <v>832</v>
      </c>
      <c r="F152" s="3" t="s">
        <v>833</v>
      </c>
      <c r="G152" s="3" t="s">
        <v>834</v>
      </c>
      <c r="H152" s="3" t="s">
        <v>14</v>
      </c>
      <c r="I152" s="3" t="s">
        <v>6</v>
      </c>
      <c r="J152" s="3" t="s">
        <v>15</v>
      </c>
      <c r="K152" s="3" t="s">
        <v>835</v>
      </c>
      <c r="L152" s="3"/>
      <c r="M152" s="3"/>
      <c r="N152" s="3"/>
      <c r="O152" s="3">
        <v>2130</v>
      </c>
      <c r="P152" s="3"/>
      <c r="Q152" s="4">
        <v>46081</v>
      </c>
      <c r="R152" s="5">
        <v>227.7</v>
      </c>
      <c r="S152" s="3">
        <v>55</v>
      </c>
      <c r="T152" s="3"/>
      <c r="U152" s="3">
        <v>0</v>
      </c>
      <c r="V152" s="3" t="s">
        <v>8</v>
      </c>
      <c r="W152" s="5">
        <v>227.7</v>
      </c>
      <c r="X152" s="3">
        <v>0</v>
      </c>
      <c r="Y152" s="3">
        <v>0</v>
      </c>
      <c r="Z152" s="3">
        <v>0</v>
      </c>
      <c r="AA152" s="3">
        <v>0</v>
      </c>
      <c r="AB152" s="5">
        <v>227.7</v>
      </c>
      <c r="AD152" s="25"/>
      <c r="AE152" s="25"/>
      <c r="AF152" s="25"/>
      <c r="AG152" s="32"/>
      <c r="AH152" s="18"/>
      <c r="AI152" s="3"/>
      <c r="AJ152" s="3"/>
      <c r="AK152" s="3"/>
      <c r="AL152" s="15">
        <f t="shared" si="20"/>
        <v>0</v>
      </c>
      <c r="AM152" s="15">
        <f t="shared" si="21"/>
        <v>227.7</v>
      </c>
      <c r="AN152" s="15">
        <f>AM152</f>
        <v>227.7</v>
      </c>
      <c r="AO152" s="15">
        <f t="shared" si="22"/>
        <v>0</v>
      </c>
    </row>
    <row r="153" spans="1:41" hidden="1" x14ac:dyDescent="0.25">
      <c r="A153" s="25">
        <v>161</v>
      </c>
      <c r="B153" s="39" t="s">
        <v>839</v>
      </c>
      <c r="C153" s="10"/>
      <c r="D153" s="3" t="s">
        <v>840</v>
      </c>
      <c r="E153" s="3" t="s">
        <v>841</v>
      </c>
      <c r="F153" s="3" t="s">
        <v>842</v>
      </c>
      <c r="G153" s="3" t="s">
        <v>843</v>
      </c>
      <c r="H153" s="3" t="s">
        <v>14</v>
      </c>
      <c r="I153" s="3"/>
      <c r="J153" s="3" t="s">
        <v>15</v>
      </c>
      <c r="K153" s="3" t="s">
        <v>844</v>
      </c>
      <c r="L153" s="3"/>
      <c r="M153" s="3" t="s">
        <v>69</v>
      </c>
      <c r="N153" s="3"/>
      <c r="O153" s="3">
        <v>1501</v>
      </c>
      <c r="P153" s="3"/>
      <c r="Q153" s="4">
        <v>46081</v>
      </c>
      <c r="R153" s="5">
        <v>165.8</v>
      </c>
      <c r="S153" s="3">
        <v>108</v>
      </c>
      <c r="T153" s="3"/>
      <c r="U153" s="3">
        <v>0</v>
      </c>
      <c r="V153" s="3" t="s">
        <v>8</v>
      </c>
      <c r="W153" s="5">
        <v>165.8</v>
      </c>
      <c r="X153" s="3">
        <v>0.01</v>
      </c>
      <c r="Y153" s="3">
        <v>0</v>
      </c>
      <c r="Z153" s="3">
        <v>0</v>
      </c>
      <c r="AA153" s="5">
        <v>-0.01</v>
      </c>
      <c r="AB153" s="5">
        <v>165.8</v>
      </c>
      <c r="AD153" s="25"/>
      <c r="AE153" s="25"/>
      <c r="AF153" s="25"/>
      <c r="AG153" s="32"/>
      <c r="AH153" s="18"/>
      <c r="AI153" s="3"/>
      <c r="AJ153" s="3"/>
      <c r="AK153" s="5"/>
      <c r="AL153" s="15">
        <f t="shared" si="20"/>
        <v>0</v>
      </c>
      <c r="AM153" s="15">
        <f t="shared" si="21"/>
        <v>165.8</v>
      </c>
      <c r="AN153" s="15">
        <f>AM153</f>
        <v>165.8</v>
      </c>
      <c r="AO153" s="15">
        <f t="shared" si="22"/>
        <v>0</v>
      </c>
    </row>
    <row r="154" spans="1:41" hidden="1" x14ac:dyDescent="0.25">
      <c r="A154" s="25">
        <v>162</v>
      </c>
      <c r="B154" s="39">
        <v>1113</v>
      </c>
      <c r="C154" s="10"/>
      <c r="D154" s="3" t="s">
        <v>845</v>
      </c>
      <c r="E154" s="3" t="s">
        <v>846</v>
      </c>
      <c r="F154" s="3" t="s">
        <v>847</v>
      </c>
      <c r="G154" s="3" t="s">
        <v>848</v>
      </c>
      <c r="H154" s="3" t="s">
        <v>14</v>
      </c>
      <c r="I154" s="3" t="s">
        <v>6</v>
      </c>
      <c r="J154" s="3"/>
      <c r="K154" s="3" t="s">
        <v>849</v>
      </c>
      <c r="L154" s="3"/>
      <c r="M154" s="3"/>
      <c r="N154" s="3" t="s">
        <v>22</v>
      </c>
      <c r="O154" s="3"/>
      <c r="P154" s="3"/>
      <c r="Q154" s="4">
        <v>46077</v>
      </c>
      <c r="R154" s="5">
        <v>655.56</v>
      </c>
      <c r="S154" s="3">
        <v>96</v>
      </c>
      <c r="T154" s="3"/>
      <c r="U154" s="3">
        <v>0</v>
      </c>
      <c r="V154" s="3" t="s">
        <v>8</v>
      </c>
      <c r="W154" s="5">
        <v>165</v>
      </c>
      <c r="X154" s="3">
        <v>0</v>
      </c>
      <c r="Y154" s="3">
        <v>0</v>
      </c>
      <c r="Z154" s="3">
        <v>0</v>
      </c>
      <c r="AA154" s="3">
        <v>0</v>
      </c>
      <c r="AB154" s="5">
        <v>165</v>
      </c>
      <c r="AD154" s="25"/>
      <c r="AE154" s="25"/>
      <c r="AF154" s="25"/>
      <c r="AG154" s="32"/>
      <c r="AH154" s="18"/>
      <c r="AI154" s="3"/>
      <c r="AJ154" s="3"/>
      <c r="AK154" s="3"/>
      <c r="AL154" s="15">
        <f t="shared" si="20"/>
        <v>0</v>
      </c>
      <c r="AM154" s="15">
        <f t="shared" si="21"/>
        <v>165</v>
      </c>
      <c r="AN154" s="15">
        <f>AM154</f>
        <v>165</v>
      </c>
      <c r="AO154" s="15">
        <f t="shared" si="22"/>
        <v>0</v>
      </c>
    </row>
    <row r="155" spans="1:41" hidden="1" x14ac:dyDescent="0.25">
      <c r="A155" s="25">
        <v>163</v>
      </c>
      <c r="B155" s="39" t="s">
        <v>850</v>
      </c>
      <c r="C155" s="10" t="s">
        <v>1113</v>
      </c>
      <c r="D155" s="3" t="s">
        <v>851</v>
      </c>
      <c r="E155" s="3" t="s">
        <v>852</v>
      </c>
      <c r="F155" s="3" t="s">
        <v>853</v>
      </c>
      <c r="G155" s="3" t="s">
        <v>854</v>
      </c>
      <c r="H155" s="3" t="s">
        <v>14</v>
      </c>
      <c r="I155" s="3" t="s">
        <v>6</v>
      </c>
      <c r="J155" s="3" t="s">
        <v>15</v>
      </c>
      <c r="K155" s="3" t="s">
        <v>855</v>
      </c>
      <c r="L155" s="3">
        <v>1900</v>
      </c>
      <c r="M155" s="3"/>
      <c r="N155" s="3" t="s">
        <v>22</v>
      </c>
      <c r="O155" s="3"/>
      <c r="P155" s="3"/>
      <c r="Q155" s="4">
        <v>46056</v>
      </c>
      <c r="R155" s="5">
        <v>23840.65</v>
      </c>
      <c r="S155" s="3">
        <v>181</v>
      </c>
      <c r="T155" s="3"/>
      <c r="U155" s="3">
        <v>0</v>
      </c>
      <c r="V155" s="3" t="s">
        <v>8</v>
      </c>
      <c r="W155" s="5">
        <v>23840.65</v>
      </c>
      <c r="X155" s="3">
        <v>0</v>
      </c>
      <c r="Y155" s="3">
        <v>0</v>
      </c>
      <c r="Z155" s="3">
        <v>0</v>
      </c>
      <c r="AA155" s="3">
        <v>0</v>
      </c>
      <c r="AB155" s="5">
        <v>23840.65</v>
      </c>
      <c r="AD155" s="25" t="s">
        <v>1183</v>
      </c>
      <c r="AE155" s="25" t="s">
        <v>1184</v>
      </c>
      <c r="AF155" s="26">
        <v>23840.65</v>
      </c>
      <c r="AG155" s="33">
        <f>AF155</f>
        <v>23840.65</v>
      </c>
      <c r="AH155" s="18"/>
      <c r="AI155" s="3"/>
      <c r="AJ155" s="3"/>
      <c r="AK155" s="3"/>
      <c r="AL155" s="15">
        <f t="shared" si="20"/>
        <v>23840.65</v>
      </c>
      <c r="AM155" s="15">
        <f t="shared" si="21"/>
        <v>0</v>
      </c>
      <c r="AN155">
        <v>0</v>
      </c>
      <c r="AO155" s="15">
        <f t="shared" si="22"/>
        <v>0</v>
      </c>
    </row>
    <row r="156" spans="1:41" hidden="1" x14ac:dyDescent="0.25">
      <c r="A156" s="25">
        <v>164</v>
      </c>
      <c r="B156" s="39" t="s">
        <v>856</v>
      </c>
      <c r="C156" s="10" t="s">
        <v>1114</v>
      </c>
      <c r="D156" s="3" t="s">
        <v>857</v>
      </c>
      <c r="E156" s="3" t="s">
        <v>857</v>
      </c>
      <c r="F156" s="3"/>
      <c r="G156" s="3" t="s">
        <v>858</v>
      </c>
      <c r="H156" s="3" t="s">
        <v>14</v>
      </c>
      <c r="I156" s="3" t="s">
        <v>6</v>
      </c>
      <c r="J156" s="3"/>
      <c r="K156" s="3" t="s">
        <v>859</v>
      </c>
      <c r="L156" s="3"/>
      <c r="M156" s="3"/>
      <c r="N156" s="3" t="s">
        <v>22</v>
      </c>
      <c r="O156" s="3"/>
      <c r="P156" s="3"/>
      <c r="Q156" s="3"/>
      <c r="R156" s="3">
        <v>0</v>
      </c>
      <c r="S156" s="3">
        <v>61</v>
      </c>
      <c r="T156" s="3"/>
      <c r="U156" s="3">
        <v>0</v>
      </c>
      <c r="V156" s="3" t="s">
        <v>8</v>
      </c>
      <c r="W156" s="5">
        <v>616.4</v>
      </c>
      <c r="X156" s="5">
        <v>3109.6</v>
      </c>
      <c r="Y156" s="3">
        <v>0</v>
      </c>
      <c r="Z156" s="3">
        <v>0</v>
      </c>
      <c r="AA156" s="3">
        <v>0</v>
      </c>
      <c r="AB156" s="5">
        <v>3726</v>
      </c>
      <c r="AD156" s="25"/>
      <c r="AE156" s="25"/>
      <c r="AF156" s="25"/>
      <c r="AG156" s="32"/>
      <c r="AH156" s="19"/>
      <c r="AI156" s="3"/>
      <c r="AJ156" s="3"/>
      <c r="AK156" s="3"/>
      <c r="AL156" s="15">
        <f t="shared" si="20"/>
        <v>0</v>
      </c>
      <c r="AM156" s="15">
        <f t="shared" si="21"/>
        <v>3726</v>
      </c>
      <c r="AN156" s="15">
        <f>AM156</f>
        <v>3726</v>
      </c>
      <c r="AO156" s="15">
        <f t="shared" si="22"/>
        <v>0</v>
      </c>
    </row>
    <row r="157" spans="1:41" hidden="1" x14ac:dyDescent="0.25">
      <c r="A157" s="25">
        <v>167</v>
      </c>
      <c r="B157" s="39" t="s">
        <v>862</v>
      </c>
      <c r="C157" s="10" t="s">
        <v>1117</v>
      </c>
      <c r="D157" s="3" t="s">
        <v>863</v>
      </c>
      <c r="E157" s="3" t="s">
        <v>864</v>
      </c>
      <c r="F157" s="3"/>
      <c r="G157" s="3" t="s">
        <v>865</v>
      </c>
      <c r="H157" s="3" t="s">
        <v>14</v>
      </c>
      <c r="I157" s="3" t="s">
        <v>6</v>
      </c>
      <c r="J157" s="3"/>
      <c r="K157" s="3" t="s">
        <v>866</v>
      </c>
      <c r="L157" s="3"/>
      <c r="M157" s="3"/>
      <c r="N157" s="3" t="s">
        <v>22</v>
      </c>
      <c r="O157" s="3"/>
      <c r="P157" s="3"/>
      <c r="Q157" s="3"/>
      <c r="R157" s="3">
        <v>0</v>
      </c>
      <c r="S157" s="3">
        <v>53</v>
      </c>
      <c r="T157" s="3"/>
      <c r="U157" s="3">
        <v>0</v>
      </c>
      <c r="V157" s="3" t="s">
        <v>8</v>
      </c>
      <c r="W157" s="5">
        <v>31424.9</v>
      </c>
      <c r="X157" s="5">
        <v>85852.1</v>
      </c>
      <c r="Y157" s="3">
        <v>0</v>
      </c>
      <c r="Z157" s="3">
        <v>0</v>
      </c>
      <c r="AA157" s="3">
        <v>0</v>
      </c>
      <c r="AB157" s="5">
        <v>117277</v>
      </c>
      <c r="AD157" s="25"/>
      <c r="AE157" s="25"/>
      <c r="AF157" s="25"/>
      <c r="AG157" s="32"/>
      <c r="AH157" s="19"/>
      <c r="AI157" s="3"/>
      <c r="AJ157" s="3"/>
      <c r="AK157" s="3"/>
      <c r="AL157" s="15">
        <f t="shared" si="20"/>
        <v>0</v>
      </c>
      <c r="AM157" s="15">
        <f t="shared" si="21"/>
        <v>117277</v>
      </c>
      <c r="AN157" s="15">
        <f>AM157</f>
        <v>117277</v>
      </c>
      <c r="AO157" s="15">
        <f t="shared" si="22"/>
        <v>0</v>
      </c>
    </row>
    <row r="158" spans="1:41" hidden="1" x14ac:dyDescent="0.25">
      <c r="A158" s="25">
        <v>168</v>
      </c>
      <c r="B158" s="39" t="s">
        <v>867</v>
      </c>
      <c r="C158" s="10" t="s">
        <v>1118</v>
      </c>
      <c r="D158" s="3" t="s">
        <v>868</v>
      </c>
      <c r="E158" s="3" t="s">
        <v>869</v>
      </c>
      <c r="F158" s="3" t="s">
        <v>870</v>
      </c>
      <c r="G158" s="3" t="s">
        <v>871</v>
      </c>
      <c r="H158" s="3" t="s">
        <v>14</v>
      </c>
      <c r="I158" s="3" t="s">
        <v>6</v>
      </c>
      <c r="J158" s="3" t="s">
        <v>15</v>
      </c>
      <c r="K158" s="3" t="s">
        <v>872</v>
      </c>
      <c r="L158" s="3"/>
      <c r="M158" s="3"/>
      <c r="N158" s="3" t="s">
        <v>22</v>
      </c>
      <c r="O158" s="3"/>
      <c r="P158" s="3"/>
      <c r="Q158" s="4">
        <v>46080</v>
      </c>
      <c r="R158" s="5">
        <v>69723.350000000006</v>
      </c>
      <c r="S158" s="3">
        <v>344</v>
      </c>
      <c r="T158" s="3"/>
      <c r="U158" s="3">
        <v>0</v>
      </c>
      <c r="V158" s="3" t="s">
        <v>8</v>
      </c>
      <c r="W158" s="5">
        <v>101242.55</v>
      </c>
      <c r="X158" s="3">
        <v>0</v>
      </c>
      <c r="Y158" s="3">
        <v>0</v>
      </c>
      <c r="Z158" s="3">
        <v>0</v>
      </c>
      <c r="AA158" s="3">
        <v>0</v>
      </c>
      <c r="AB158" s="5">
        <v>101242.55</v>
      </c>
      <c r="AD158" s="25"/>
      <c r="AE158" s="25"/>
      <c r="AF158" s="25"/>
      <c r="AG158" s="32"/>
      <c r="AH158" s="18"/>
      <c r="AI158" s="3"/>
      <c r="AJ158" s="3"/>
      <c r="AK158" s="3"/>
      <c r="AL158" s="15">
        <f t="shared" si="20"/>
        <v>0</v>
      </c>
      <c r="AM158" s="15">
        <f t="shared" si="21"/>
        <v>101242.55</v>
      </c>
      <c r="AN158" s="15">
        <f>AM158</f>
        <v>101242.55</v>
      </c>
      <c r="AO158" s="15">
        <f t="shared" si="22"/>
        <v>0</v>
      </c>
    </row>
    <row r="159" spans="1:41" hidden="1" x14ac:dyDescent="0.25">
      <c r="A159" s="25">
        <v>169</v>
      </c>
      <c r="B159" s="39" t="s">
        <v>873</v>
      </c>
      <c r="C159" s="10" t="s">
        <v>1119</v>
      </c>
      <c r="D159" s="3" t="s">
        <v>874</v>
      </c>
      <c r="E159" s="3" t="s">
        <v>875</v>
      </c>
      <c r="F159" s="3" t="s">
        <v>876</v>
      </c>
      <c r="G159" s="3" t="s">
        <v>877</v>
      </c>
      <c r="H159" s="3" t="s">
        <v>14</v>
      </c>
      <c r="I159" s="3" t="s">
        <v>6</v>
      </c>
      <c r="J159" s="3" t="s">
        <v>15</v>
      </c>
      <c r="K159" s="3" t="s">
        <v>878</v>
      </c>
      <c r="L159" s="3"/>
      <c r="M159" s="3"/>
      <c r="N159" s="3" t="s">
        <v>22</v>
      </c>
      <c r="O159" s="3"/>
      <c r="P159" s="3"/>
      <c r="Q159" s="4">
        <v>46081</v>
      </c>
      <c r="R159" s="5">
        <v>7664.75</v>
      </c>
      <c r="S159" s="3">
        <v>117</v>
      </c>
      <c r="T159" s="3"/>
      <c r="U159" s="3">
        <v>0</v>
      </c>
      <c r="V159" s="3" t="s">
        <v>8</v>
      </c>
      <c r="W159" s="5">
        <v>7664.75</v>
      </c>
      <c r="X159" s="3">
        <v>0</v>
      </c>
      <c r="Y159" s="3">
        <v>0</v>
      </c>
      <c r="Z159" s="3">
        <v>0</v>
      </c>
      <c r="AA159" s="3">
        <v>0</v>
      </c>
      <c r="AB159" s="5">
        <v>7664.75</v>
      </c>
      <c r="AD159" s="25"/>
      <c r="AE159" s="25"/>
      <c r="AF159" s="25"/>
      <c r="AG159" s="32"/>
      <c r="AH159" s="18"/>
      <c r="AI159" s="3"/>
      <c r="AJ159" s="3"/>
      <c r="AK159" s="3"/>
      <c r="AL159" s="15">
        <f t="shared" si="20"/>
        <v>0</v>
      </c>
      <c r="AM159" s="15">
        <f t="shared" si="21"/>
        <v>7664.75</v>
      </c>
      <c r="AN159" s="15">
        <f>AM159</f>
        <v>7664.75</v>
      </c>
      <c r="AO159" s="15">
        <f t="shared" si="22"/>
        <v>0</v>
      </c>
    </row>
    <row r="160" spans="1:41" hidden="1" x14ac:dyDescent="0.25">
      <c r="A160" s="25">
        <v>170</v>
      </c>
      <c r="B160" s="39" t="s">
        <v>879</v>
      </c>
      <c r="C160" s="10" t="s">
        <v>1120</v>
      </c>
      <c r="D160" s="3" t="s">
        <v>880</v>
      </c>
      <c r="E160" s="3" t="s">
        <v>880</v>
      </c>
      <c r="F160" s="3" t="s">
        <v>881</v>
      </c>
      <c r="G160" s="3" t="s">
        <v>882</v>
      </c>
      <c r="H160" s="3" t="s">
        <v>14</v>
      </c>
      <c r="I160" s="3" t="s">
        <v>6</v>
      </c>
      <c r="J160" s="3" t="s">
        <v>15</v>
      </c>
      <c r="K160" s="3" t="s">
        <v>883</v>
      </c>
      <c r="L160" s="3"/>
      <c r="M160" s="3"/>
      <c r="N160" s="3" t="s">
        <v>22</v>
      </c>
      <c r="O160" s="3"/>
      <c r="P160" s="3"/>
      <c r="Q160" s="4">
        <v>46081</v>
      </c>
      <c r="R160" s="5">
        <v>90.85</v>
      </c>
      <c r="S160" s="3">
        <v>175</v>
      </c>
      <c r="T160" s="3"/>
      <c r="U160" s="3">
        <v>0</v>
      </c>
      <c r="V160" s="3" t="s">
        <v>8</v>
      </c>
      <c r="W160" s="3">
        <v>0</v>
      </c>
      <c r="X160" s="3">
        <v>0</v>
      </c>
      <c r="Y160" s="3">
        <v>0</v>
      </c>
      <c r="Z160" s="3">
        <v>0</v>
      </c>
      <c r="AA160" s="5">
        <v>90.85</v>
      </c>
      <c r="AB160" s="5">
        <v>90.85</v>
      </c>
      <c r="AD160" s="25"/>
      <c r="AE160" s="25"/>
      <c r="AF160" s="25"/>
      <c r="AG160" s="32"/>
      <c r="AH160" s="18"/>
      <c r="AI160" s="3"/>
      <c r="AJ160" s="3"/>
      <c r="AK160" s="5"/>
      <c r="AL160" s="15">
        <f t="shared" si="20"/>
        <v>0</v>
      </c>
      <c r="AM160" s="15">
        <f t="shared" si="21"/>
        <v>90.85</v>
      </c>
      <c r="AN160" s="15">
        <f>AM160</f>
        <v>90.85</v>
      </c>
      <c r="AO160" s="15">
        <f t="shared" si="22"/>
        <v>0</v>
      </c>
    </row>
    <row r="161" spans="1:41" hidden="1" x14ac:dyDescent="0.25">
      <c r="A161" s="25">
        <v>171</v>
      </c>
      <c r="B161" s="39" t="s">
        <v>884</v>
      </c>
      <c r="C161" s="10"/>
      <c r="D161" s="3" t="s">
        <v>885</v>
      </c>
      <c r="E161" s="3" t="s">
        <v>885</v>
      </c>
      <c r="F161" s="3" t="s">
        <v>886</v>
      </c>
      <c r="G161" s="3" t="s">
        <v>887</v>
      </c>
      <c r="H161" s="3" t="s">
        <v>14</v>
      </c>
      <c r="I161" s="3" t="s">
        <v>6</v>
      </c>
      <c r="J161" s="3" t="s">
        <v>15</v>
      </c>
      <c r="K161" s="3" t="s">
        <v>888</v>
      </c>
      <c r="L161" s="3"/>
      <c r="M161" s="3"/>
      <c r="N161" s="3" t="s">
        <v>22</v>
      </c>
      <c r="O161" s="3"/>
      <c r="P161" s="3"/>
      <c r="Q161" s="4">
        <v>46060</v>
      </c>
      <c r="R161" s="5">
        <v>589.95000000000005</v>
      </c>
      <c r="S161" s="3">
        <v>200</v>
      </c>
      <c r="T161" s="3"/>
      <c r="U161" s="3">
        <v>0</v>
      </c>
      <c r="V161" s="3" t="s">
        <v>8</v>
      </c>
      <c r="W161" s="3">
        <v>0</v>
      </c>
      <c r="X161" s="5">
        <v>589.95000000000005</v>
      </c>
      <c r="Y161" s="3">
        <v>0</v>
      </c>
      <c r="Z161" s="3">
        <v>0</v>
      </c>
      <c r="AA161" s="3">
        <v>0</v>
      </c>
      <c r="AB161" s="5">
        <v>589.95000000000005</v>
      </c>
      <c r="AD161" s="25" t="s">
        <v>1151</v>
      </c>
      <c r="AE161" s="25" t="s">
        <v>885</v>
      </c>
      <c r="AF161" s="26">
        <v>589.95000000000005</v>
      </c>
      <c r="AG161" s="32"/>
      <c r="AH161" s="19">
        <f>AF161</f>
        <v>589.95000000000005</v>
      </c>
      <c r="AI161" s="3"/>
      <c r="AJ161" s="3"/>
      <c r="AK161" s="3"/>
      <c r="AL161" s="15">
        <f t="shared" si="20"/>
        <v>589.95000000000005</v>
      </c>
      <c r="AM161" s="15">
        <f t="shared" si="21"/>
        <v>0</v>
      </c>
      <c r="AN161">
        <v>0</v>
      </c>
      <c r="AO161" s="15">
        <f t="shared" si="22"/>
        <v>0</v>
      </c>
    </row>
    <row r="162" spans="1:41" hidden="1" x14ac:dyDescent="0.25">
      <c r="A162" s="25">
        <v>172</v>
      </c>
      <c r="B162" s="39">
        <v>1067</v>
      </c>
      <c r="C162" s="10" t="s">
        <v>1121</v>
      </c>
      <c r="D162" s="3" t="s">
        <v>889</v>
      </c>
      <c r="E162" s="3" t="s">
        <v>890</v>
      </c>
      <c r="F162" s="6" t="s">
        <v>891</v>
      </c>
      <c r="G162" s="3" t="s">
        <v>892</v>
      </c>
      <c r="H162" s="3" t="s">
        <v>14</v>
      </c>
      <c r="I162" s="3" t="s">
        <v>6</v>
      </c>
      <c r="J162" s="3" t="s">
        <v>33</v>
      </c>
      <c r="K162" s="3" t="s">
        <v>893</v>
      </c>
      <c r="L162" s="3"/>
      <c r="M162" s="3"/>
      <c r="N162" s="3"/>
      <c r="O162" s="3">
        <v>1610</v>
      </c>
      <c r="P162" s="3"/>
      <c r="Q162" s="4">
        <v>46031</v>
      </c>
      <c r="R162" s="5">
        <v>893.55</v>
      </c>
      <c r="S162" s="3">
        <v>45</v>
      </c>
      <c r="T162" s="3"/>
      <c r="U162" s="3">
        <v>0</v>
      </c>
      <c r="V162" s="3" t="s">
        <v>8</v>
      </c>
      <c r="W162" s="5">
        <v>893.55</v>
      </c>
      <c r="X162" s="5">
        <v>893.55</v>
      </c>
      <c r="Y162" s="16">
        <v>893.55</v>
      </c>
      <c r="Z162" s="3">
        <v>0</v>
      </c>
      <c r="AA162" s="3">
        <v>0</v>
      </c>
      <c r="AB162" s="5">
        <v>2680.65</v>
      </c>
      <c r="AD162" s="25" t="s">
        <v>1152</v>
      </c>
      <c r="AE162" s="25" t="s">
        <v>1158</v>
      </c>
      <c r="AF162" s="26">
        <v>893.55</v>
      </c>
      <c r="AG162" s="32"/>
      <c r="AH162" s="19"/>
      <c r="AI162" s="16">
        <f>AF162</f>
        <v>893.55</v>
      </c>
      <c r="AJ162" s="3"/>
      <c r="AK162" s="3"/>
      <c r="AL162" s="15">
        <f t="shared" si="20"/>
        <v>893.55</v>
      </c>
      <c r="AM162" s="15">
        <f t="shared" si="21"/>
        <v>1787.1000000000001</v>
      </c>
      <c r="AN162">
        <v>1787.1</v>
      </c>
      <c r="AO162" s="15">
        <f t="shared" si="22"/>
        <v>0</v>
      </c>
    </row>
    <row r="163" spans="1:41" hidden="1" x14ac:dyDescent="0.25">
      <c r="A163" s="25">
        <v>173</v>
      </c>
      <c r="B163" s="39" t="s">
        <v>894</v>
      </c>
      <c r="C163" s="10" t="s">
        <v>1122</v>
      </c>
      <c r="D163" s="3" t="s">
        <v>895</v>
      </c>
      <c r="E163" s="3" t="s">
        <v>896</v>
      </c>
      <c r="F163" s="3" t="s">
        <v>897</v>
      </c>
      <c r="G163" s="3" t="s">
        <v>898</v>
      </c>
      <c r="H163" s="3" t="s">
        <v>14</v>
      </c>
      <c r="I163" s="3" t="s">
        <v>6</v>
      </c>
      <c r="J163" s="3" t="s">
        <v>15</v>
      </c>
      <c r="K163" s="3" t="s">
        <v>899</v>
      </c>
      <c r="L163" s="3"/>
      <c r="M163" s="3"/>
      <c r="N163" s="3"/>
      <c r="O163" s="3">
        <v>1613</v>
      </c>
      <c r="P163" s="3"/>
      <c r="Q163" s="4">
        <v>46081</v>
      </c>
      <c r="R163" s="5">
        <v>1478.53</v>
      </c>
      <c r="S163" s="3">
        <v>227</v>
      </c>
      <c r="T163" s="3"/>
      <c r="U163" s="3">
        <v>0</v>
      </c>
      <c r="V163" s="3" t="s">
        <v>8</v>
      </c>
      <c r="W163" s="5">
        <v>1478.53</v>
      </c>
      <c r="X163" s="3">
        <v>0</v>
      </c>
      <c r="Y163" s="3">
        <v>0</v>
      </c>
      <c r="Z163" s="3">
        <v>0</v>
      </c>
      <c r="AA163" s="3">
        <v>0</v>
      </c>
      <c r="AB163" s="5">
        <v>1478.53</v>
      </c>
      <c r="AD163" s="25"/>
      <c r="AE163" s="25"/>
      <c r="AF163" s="25"/>
      <c r="AG163" s="32"/>
      <c r="AH163" s="18"/>
      <c r="AI163" s="3"/>
      <c r="AJ163" s="3"/>
      <c r="AK163" s="3"/>
      <c r="AL163" s="15">
        <f t="shared" si="20"/>
        <v>0</v>
      </c>
      <c r="AM163" s="15">
        <f t="shared" si="21"/>
        <v>1478.53</v>
      </c>
      <c r="AN163" s="15">
        <f t="shared" ref="AN163:AN174" si="23">AM163</f>
        <v>1478.53</v>
      </c>
      <c r="AO163" s="15">
        <f t="shared" si="22"/>
        <v>0</v>
      </c>
    </row>
    <row r="164" spans="1:41" hidden="1" x14ac:dyDescent="0.25">
      <c r="A164" s="25">
        <v>174</v>
      </c>
      <c r="B164" s="39" t="s">
        <v>900</v>
      </c>
      <c r="C164" s="10" t="s">
        <v>1123</v>
      </c>
      <c r="D164" s="3" t="s">
        <v>901</v>
      </c>
      <c r="E164" s="3"/>
      <c r="F164" s="3"/>
      <c r="G164" s="3"/>
      <c r="H164" s="3" t="s">
        <v>14</v>
      </c>
      <c r="I164" s="3"/>
      <c r="J164" s="3"/>
      <c r="K164" s="3" t="s">
        <v>902</v>
      </c>
      <c r="L164" s="3"/>
      <c r="M164" s="3"/>
      <c r="N164" s="3" t="s">
        <v>22</v>
      </c>
      <c r="O164" s="3"/>
      <c r="P164" s="3"/>
      <c r="Q164" s="3"/>
      <c r="R164" s="3">
        <v>0</v>
      </c>
      <c r="S164" s="3">
        <v>182</v>
      </c>
      <c r="T164" s="3"/>
      <c r="U164" s="3">
        <v>0</v>
      </c>
      <c r="V164" s="3" t="s">
        <v>8</v>
      </c>
      <c r="W164" s="5">
        <v>224.25</v>
      </c>
      <c r="X164" s="5">
        <v>224.25</v>
      </c>
      <c r="Y164" s="5">
        <v>224.25</v>
      </c>
      <c r="Z164" s="3">
        <v>0</v>
      </c>
      <c r="AA164" s="3">
        <v>0</v>
      </c>
      <c r="AB164" s="5">
        <v>672.75</v>
      </c>
      <c r="AD164" s="25"/>
      <c r="AE164" s="25"/>
      <c r="AF164" s="25"/>
      <c r="AG164" s="32"/>
      <c r="AH164" s="19"/>
      <c r="AI164" s="5"/>
      <c r="AJ164" s="3"/>
      <c r="AK164" s="3"/>
      <c r="AL164" s="15">
        <f t="shared" si="20"/>
        <v>0</v>
      </c>
      <c r="AM164" s="15">
        <f t="shared" si="21"/>
        <v>672.75</v>
      </c>
      <c r="AN164" s="15">
        <f t="shared" si="23"/>
        <v>672.75</v>
      </c>
      <c r="AO164" s="15">
        <f t="shared" si="22"/>
        <v>0</v>
      </c>
    </row>
    <row r="165" spans="1:41" hidden="1" x14ac:dyDescent="0.25">
      <c r="A165" s="25">
        <v>175</v>
      </c>
      <c r="B165" s="39" t="s">
        <v>903</v>
      </c>
      <c r="C165" s="10"/>
      <c r="D165" s="3" t="s">
        <v>904</v>
      </c>
      <c r="E165" s="3" t="s">
        <v>905</v>
      </c>
      <c r="F165" s="3" t="s">
        <v>906</v>
      </c>
      <c r="G165" s="3" t="s">
        <v>907</v>
      </c>
      <c r="H165" s="3" t="s">
        <v>14</v>
      </c>
      <c r="I165" s="3" t="s">
        <v>6</v>
      </c>
      <c r="J165" s="3" t="s">
        <v>33</v>
      </c>
      <c r="K165" s="3" t="s">
        <v>908</v>
      </c>
      <c r="L165" s="3"/>
      <c r="M165" s="3"/>
      <c r="N165" s="3"/>
      <c r="O165" s="3">
        <v>2055</v>
      </c>
      <c r="P165" s="3"/>
      <c r="Q165" s="4">
        <v>46008</v>
      </c>
      <c r="R165" s="5">
        <v>115</v>
      </c>
      <c r="S165" s="3">
        <v>602</v>
      </c>
      <c r="T165" s="3"/>
      <c r="U165" s="3">
        <v>0</v>
      </c>
      <c r="V165" s="3" t="s">
        <v>8</v>
      </c>
      <c r="W165" s="5">
        <v>115</v>
      </c>
      <c r="X165" s="5">
        <v>115</v>
      </c>
      <c r="Y165" s="5">
        <v>115</v>
      </c>
      <c r="Z165" s="3">
        <v>0</v>
      </c>
      <c r="AA165" s="3">
        <v>0</v>
      </c>
      <c r="AB165" s="5">
        <v>345</v>
      </c>
      <c r="AD165" s="25"/>
      <c r="AE165" s="25"/>
      <c r="AF165" s="25"/>
      <c r="AG165" s="32"/>
      <c r="AH165" s="19"/>
      <c r="AI165" s="5"/>
      <c r="AJ165" s="3"/>
      <c r="AK165" s="3"/>
      <c r="AL165" s="15">
        <f t="shared" si="20"/>
        <v>0</v>
      </c>
      <c r="AM165" s="15">
        <f t="shared" si="21"/>
        <v>345</v>
      </c>
      <c r="AN165" s="15">
        <f t="shared" si="23"/>
        <v>345</v>
      </c>
      <c r="AO165" s="15">
        <f t="shared" si="22"/>
        <v>0</v>
      </c>
    </row>
    <row r="166" spans="1:41" hidden="1" x14ac:dyDescent="0.25">
      <c r="A166" s="25">
        <v>176</v>
      </c>
      <c r="B166" s="39" t="s">
        <v>909</v>
      </c>
      <c r="C166" s="10" t="s">
        <v>1124</v>
      </c>
      <c r="D166" s="3" t="s">
        <v>910</v>
      </c>
      <c r="E166" s="3" t="s">
        <v>314</v>
      </c>
      <c r="F166" s="3" t="s">
        <v>911</v>
      </c>
      <c r="G166" s="3" t="s">
        <v>316</v>
      </c>
      <c r="H166" s="3" t="s">
        <v>14</v>
      </c>
      <c r="I166" s="3" t="s">
        <v>6</v>
      </c>
      <c r="J166" s="3" t="s">
        <v>33</v>
      </c>
      <c r="K166" s="3" t="s">
        <v>912</v>
      </c>
      <c r="L166" s="3"/>
      <c r="M166" s="3"/>
      <c r="N166" s="3"/>
      <c r="O166" s="3">
        <v>4000</v>
      </c>
      <c r="P166" s="3"/>
      <c r="Q166" s="4">
        <v>46081</v>
      </c>
      <c r="R166" s="5">
        <v>8547.09</v>
      </c>
      <c r="S166" s="3">
        <v>210</v>
      </c>
      <c r="T166" s="3"/>
      <c r="U166" s="3">
        <v>0</v>
      </c>
      <c r="V166" s="3" t="s">
        <v>8</v>
      </c>
      <c r="W166" s="5">
        <v>8547.09</v>
      </c>
      <c r="X166" s="3">
        <v>0</v>
      </c>
      <c r="Y166" s="3">
        <v>0</v>
      </c>
      <c r="Z166" s="3">
        <v>0</v>
      </c>
      <c r="AA166" s="3">
        <v>0</v>
      </c>
      <c r="AB166" s="5">
        <v>8547.09</v>
      </c>
      <c r="AD166" s="25"/>
      <c r="AE166" s="25"/>
      <c r="AF166" s="25"/>
      <c r="AG166" s="32"/>
      <c r="AH166" s="18"/>
      <c r="AI166" s="3"/>
      <c r="AJ166" s="3"/>
      <c r="AK166" s="3"/>
      <c r="AL166" s="15">
        <f t="shared" si="20"/>
        <v>0</v>
      </c>
      <c r="AM166" s="15">
        <f t="shared" si="21"/>
        <v>8547.09</v>
      </c>
      <c r="AN166" s="15">
        <f t="shared" si="23"/>
        <v>8547.09</v>
      </c>
      <c r="AO166" s="15">
        <f t="shared" si="22"/>
        <v>0</v>
      </c>
    </row>
    <row r="167" spans="1:41" hidden="1" x14ac:dyDescent="0.25">
      <c r="A167" s="25">
        <v>177</v>
      </c>
      <c r="B167" s="39" t="s">
        <v>913</v>
      </c>
      <c r="C167" s="10" t="s">
        <v>1125</v>
      </c>
      <c r="D167" s="3" t="s">
        <v>914</v>
      </c>
      <c r="E167" s="3" t="s">
        <v>314</v>
      </c>
      <c r="F167" s="3" t="s">
        <v>915</v>
      </c>
      <c r="G167" s="3" t="s">
        <v>316</v>
      </c>
      <c r="H167" s="3" t="s">
        <v>14</v>
      </c>
      <c r="I167" s="3" t="s">
        <v>6</v>
      </c>
      <c r="J167" s="3" t="s">
        <v>33</v>
      </c>
      <c r="K167" s="3" t="s">
        <v>916</v>
      </c>
      <c r="L167" s="3"/>
      <c r="M167" s="3"/>
      <c r="N167" s="3"/>
      <c r="O167" s="3">
        <v>1451</v>
      </c>
      <c r="P167" s="3"/>
      <c r="Q167" s="4">
        <v>46081</v>
      </c>
      <c r="R167" s="5">
        <v>14970.66</v>
      </c>
      <c r="S167" s="3">
        <v>280</v>
      </c>
      <c r="T167" s="3"/>
      <c r="U167" s="3">
        <v>0</v>
      </c>
      <c r="V167" s="3" t="s">
        <v>8</v>
      </c>
      <c r="W167" s="5">
        <v>14970.65</v>
      </c>
      <c r="X167" s="3">
        <v>0</v>
      </c>
      <c r="Y167" s="3">
        <v>0</v>
      </c>
      <c r="Z167" s="3">
        <v>0</v>
      </c>
      <c r="AA167" s="3">
        <v>0</v>
      </c>
      <c r="AB167" s="5">
        <v>14970.65</v>
      </c>
      <c r="AD167" s="25"/>
      <c r="AE167" s="25"/>
      <c r="AF167" s="25"/>
      <c r="AG167" s="32"/>
      <c r="AH167" s="18"/>
      <c r="AI167" s="3"/>
      <c r="AJ167" s="3"/>
      <c r="AK167" s="3"/>
      <c r="AL167" s="15">
        <f t="shared" si="20"/>
        <v>0</v>
      </c>
      <c r="AM167" s="15">
        <f t="shared" si="21"/>
        <v>14970.65</v>
      </c>
      <c r="AN167" s="15">
        <f t="shared" si="23"/>
        <v>14970.65</v>
      </c>
      <c r="AO167" s="15">
        <f t="shared" si="22"/>
        <v>0</v>
      </c>
    </row>
    <row r="168" spans="1:41" hidden="1" x14ac:dyDescent="0.25">
      <c r="A168" s="25">
        <v>178</v>
      </c>
      <c r="B168" s="39" t="s">
        <v>917</v>
      </c>
      <c r="C168" s="10" t="s">
        <v>1126</v>
      </c>
      <c r="D168" s="3" t="s">
        <v>918</v>
      </c>
      <c r="E168" s="3" t="s">
        <v>314</v>
      </c>
      <c r="F168" s="3" t="s">
        <v>919</v>
      </c>
      <c r="G168" s="3" t="s">
        <v>316</v>
      </c>
      <c r="H168" s="3" t="s">
        <v>14</v>
      </c>
      <c r="I168" s="3" t="s">
        <v>6</v>
      </c>
      <c r="J168" s="3" t="s">
        <v>33</v>
      </c>
      <c r="K168" s="3" t="s">
        <v>920</v>
      </c>
      <c r="L168" s="3"/>
      <c r="M168" s="3"/>
      <c r="N168" s="3"/>
      <c r="O168" s="3">
        <v>8466</v>
      </c>
      <c r="P168" s="3"/>
      <c r="Q168" s="4">
        <v>46081</v>
      </c>
      <c r="R168" s="5">
        <v>6746.73</v>
      </c>
      <c r="S168" s="3">
        <v>213</v>
      </c>
      <c r="T168" s="3"/>
      <c r="U168" s="3">
        <v>0</v>
      </c>
      <c r="V168" s="3" t="s">
        <v>8</v>
      </c>
      <c r="W168" s="5">
        <v>6746.73</v>
      </c>
      <c r="X168" s="3">
        <v>0</v>
      </c>
      <c r="Y168" s="3">
        <v>0</v>
      </c>
      <c r="Z168" s="3">
        <v>0</v>
      </c>
      <c r="AA168" s="3">
        <v>0</v>
      </c>
      <c r="AB168" s="5">
        <v>6746.73</v>
      </c>
      <c r="AD168" s="25"/>
      <c r="AE168" s="25"/>
      <c r="AF168" s="25"/>
      <c r="AH168" s="18"/>
      <c r="AI168" s="3"/>
      <c r="AJ168" s="3"/>
      <c r="AK168" s="3"/>
      <c r="AL168" s="15">
        <f t="shared" si="20"/>
        <v>0</v>
      </c>
      <c r="AM168" s="15">
        <f t="shared" si="21"/>
        <v>6746.73</v>
      </c>
      <c r="AN168" s="15">
        <f t="shared" si="23"/>
        <v>6746.73</v>
      </c>
      <c r="AO168" s="15">
        <f t="shared" si="22"/>
        <v>0</v>
      </c>
    </row>
    <row r="169" spans="1:41" hidden="1" x14ac:dyDescent="0.25">
      <c r="A169" s="25">
        <v>179</v>
      </c>
      <c r="B169" s="39" t="s">
        <v>921</v>
      </c>
      <c r="C169" s="10" t="s">
        <v>1127</v>
      </c>
      <c r="D169" s="3" t="s">
        <v>922</v>
      </c>
      <c r="E169" s="3" t="s">
        <v>314</v>
      </c>
      <c r="F169" s="3" t="s">
        <v>923</v>
      </c>
      <c r="G169" s="3" t="s">
        <v>316</v>
      </c>
      <c r="H169" s="3" t="s">
        <v>14</v>
      </c>
      <c r="I169" s="3" t="s">
        <v>6</v>
      </c>
      <c r="J169" s="3" t="s">
        <v>33</v>
      </c>
      <c r="K169" s="3" t="s">
        <v>924</v>
      </c>
      <c r="L169" s="3"/>
      <c r="M169" s="3"/>
      <c r="N169" s="3"/>
      <c r="O169" s="3">
        <v>2570</v>
      </c>
      <c r="P169" s="3"/>
      <c r="Q169" s="4">
        <v>46081</v>
      </c>
      <c r="R169" s="5">
        <v>7011.14</v>
      </c>
      <c r="S169" s="3">
        <v>294</v>
      </c>
      <c r="T169" s="3"/>
      <c r="U169" s="3">
        <v>0</v>
      </c>
      <c r="V169" s="3" t="s">
        <v>8</v>
      </c>
      <c r="W169" s="5">
        <v>8368.25</v>
      </c>
      <c r="X169" s="3">
        <v>0</v>
      </c>
      <c r="Y169" s="3">
        <v>0</v>
      </c>
      <c r="Z169" s="3">
        <v>0</v>
      </c>
      <c r="AA169" s="5">
        <v>-7.0000000000000007E-2</v>
      </c>
      <c r="AB169" s="5">
        <v>8368.18</v>
      </c>
      <c r="AD169" s="25"/>
      <c r="AE169" s="25"/>
      <c r="AF169" s="25"/>
      <c r="AG169" s="32"/>
      <c r="AH169" s="18"/>
      <c r="AI169" s="3"/>
      <c r="AJ169" s="3"/>
      <c r="AK169" s="5"/>
      <c r="AL169" s="15">
        <f t="shared" si="20"/>
        <v>0</v>
      </c>
      <c r="AM169" s="15">
        <f t="shared" si="21"/>
        <v>8368.18</v>
      </c>
      <c r="AN169" s="15">
        <f t="shared" si="23"/>
        <v>8368.18</v>
      </c>
      <c r="AO169" s="15">
        <f t="shared" si="22"/>
        <v>0</v>
      </c>
    </row>
    <row r="170" spans="1:41" hidden="1" x14ac:dyDescent="0.25">
      <c r="A170" s="25">
        <v>180</v>
      </c>
      <c r="B170" s="39" t="s">
        <v>925</v>
      </c>
      <c r="C170" s="10" t="s">
        <v>1128</v>
      </c>
      <c r="D170" s="3" t="s">
        <v>926</v>
      </c>
      <c r="E170" s="3" t="s">
        <v>314</v>
      </c>
      <c r="F170" s="3" t="s">
        <v>927</v>
      </c>
      <c r="G170" s="3" t="s">
        <v>316</v>
      </c>
      <c r="H170" s="3" t="s">
        <v>14</v>
      </c>
      <c r="I170" s="3" t="s">
        <v>6</v>
      </c>
      <c r="J170" s="3" t="s">
        <v>33</v>
      </c>
      <c r="K170" s="3" t="s">
        <v>928</v>
      </c>
      <c r="L170" s="3"/>
      <c r="M170" s="3"/>
      <c r="N170" s="3"/>
      <c r="O170" s="3">
        <v>6056</v>
      </c>
      <c r="P170" s="3"/>
      <c r="Q170" s="4">
        <v>46081</v>
      </c>
      <c r="R170" s="5">
        <v>2070.63</v>
      </c>
      <c r="S170" s="3">
        <v>61</v>
      </c>
      <c r="T170" s="3" t="s">
        <v>929</v>
      </c>
      <c r="U170" s="3">
        <v>0</v>
      </c>
      <c r="V170" s="3" t="s">
        <v>8</v>
      </c>
      <c r="W170" s="5">
        <v>2070.63</v>
      </c>
      <c r="X170" s="3">
        <v>0</v>
      </c>
      <c r="Y170" s="3">
        <v>0</v>
      </c>
      <c r="Z170" s="3">
        <v>0</v>
      </c>
      <c r="AA170" s="3">
        <v>0</v>
      </c>
      <c r="AB170" s="5">
        <v>2070.63</v>
      </c>
      <c r="AD170" s="25"/>
      <c r="AE170" s="25"/>
      <c r="AF170" s="25"/>
      <c r="AG170" s="32"/>
      <c r="AH170" s="18"/>
      <c r="AI170" s="3"/>
      <c r="AJ170" s="3"/>
      <c r="AK170" s="3"/>
      <c r="AL170" s="15">
        <f t="shared" si="20"/>
        <v>0</v>
      </c>
      <c r="AM170" s="15">
        <f t="shared" si="21"/>
        <v>2070.63</v>
      </c>
      <c r="AN170" s="15">
        <f t="shared" si="23"/>
        <v>2070.63</v>
      </c>
      <c r="AO170" s="15">
        <f t="shared" si="22"/>
        <v>0</v>
      </c>
    </row>
    <row r="171" spans="1:41" hidden="1" x14ac:dyDescent="0.25">
      <c r="A171" s="25">
        <v>181</v>
      </c>
      <c r="B171" s="39" t="s">
        <v>930</v>
      </c>
      <c r="C171" s="10" t="s">
        <v>1129</v>
      </c>
      <c r="D171" s="3" t="s">
        <v>931</v>
      </c>
      <c r="E171" s="3" t="s">
        <v>314</v>
      </c>
      <c r="F171" s="3" t="s">
        <v>932</v>
      </c>
      <c r="G171" s="3" t="s">
        <v>316</v>
      </c>
      <c r="H171" s="3" t="s">
        <v>14</v>
      </c>
      <c r="I171" s="3" t="s">
        <v>6</v>
      </c>
      <c r="J171" s="3" t="s">
        <v>33</v>
      </c>
      <c r="K171" s="3" t="s">
        <v>933</v>
      </c>
      <c r="L171" s="3"/>
      <c r="M171" s="3"/>
      <c r="N171" s="3"/>
      <c r="O171" s="6" t="s">
        <v>399</v>
      </c>
      <c r="P171" s="3"/>
      <c r="Q171" s="4">
        <v>46081</v>
      </c>
      <c r="R171" s="5">
        <v>7546.12</v>
      </c>
      <c r="S171" s="3">
        <v>317</v>
      </c>
      <c r="T171" s="3"/>
      <c r="U171" s="3">
        <v>0</v>
      </c>
      <c r="V171" s="3" t="s">
        <v>8</v>
      </c>
      <c r="W171" s="5">
        <v>8563.8700000000008</v>
      </c>
      <c r="X171" s="3">
        <v>0</v>
      </c>
      <c r="Y171" s="3">
        <v>0</v>
      </c>
      <c r="Z171" s="3">
        <v>0</v>
      </c>
      <c r="AA171" s="3">
        <v>0</v>
      </c>
      <c r="AB171" s="5">
        <v>8563.8700000000008</v>
      </c>
      <c r="AD171" s="25"/>
      <c r="AE171" s="25"/>
      <c r="AF171" s="25"/>
      <c r="AG171" s="32"/>
      <c r="AH171" s="18"/>
      <c r="AI171" s="3"/>
      <c r="AJ171" s="3"/>
      <c r="AK171" s="3"/>
      <c r="AL171" s="15">
        <f t="shared" si="20"/>
        <v>0</v>
      </c>
      <c r="AM171" s="15">
        <f t="shared" si="21"/>
        <v>8563.8700000000008</v>
      </c>
      <c r="AN171" s="15">
        <f t="shared" si="23"/>
        <v>8563.8700000000008</v>
      </c>
      <c r="AO171" s="15">
        <f t="shared" si="22"/>
        <v>0</v>
      </c>
    </row>
    <row r="172" spans="1:41" hidden="1" x14ac:dyDescent="0.25">
      <c r="A172" s="25">
        <v>182</v>
      </c>
      <c r="B172" s="39" t="s">
        <v>934</v>
      </c>
      <c r="C172" s="10" t="s">
        <v>1130</v>
      </c>
      <c r="D172" s="3" t="s">
        <v>935</v>
      </c>
      <c r="E172" s="3" t="s">
        <v>314</v>
      </c>
      <c r="F172" s="3" t="s">
        <v>936</v>
      </c>
      <c r="G172" s="3" t="s">
        <v>316</v>
      </c>
      <c r="H172" s="3" t="s">
        <v>14</v>
      </c>
      <c r="I172" s="3" t="s">
        <v>6</v>
      </c>
      <c r="J172" s="3" t="s">
        <v>33</v>
      </c>
      <c r="K172" s="3" t="s">
        <v>937</v>
      </c>
      <c r="L172" s="3"/>
      <c r="M172" s="3"/>
      <c r="N172" s="3"/>
      <c r="O172" s="3">
        <v>8240</v>
      </c>
      <c r="P172" s="3"/>
      <c r="Q172" s="4">
        <v>46081</v>
      </c>
      <c r="R172" s="5">
        <v>2748.44</v>
      </c>
      <c r="S172" s="3">
        <v>66</v>
      </c>
      <c r="T172" s="3"/>
      <c r="U172" s="3">
        <v>0</v>
      </c>
      <c r="V172" s="3" t="s">
        <v>8</v>
      </c>
      <c r="W172" s="5">
        <v>2748.44</v>
      </c>
      <c r="X172" s="3">
        <v>0</v>
      </c>
      <c r="Y172" s="3">
        <v>0</v>
      </c>
      <c r="Z172" s="3">
        <v>0</v>
      </c>
      <c r="AA172" s="3">
        <v>0</v>
      </c>
      <c r="AB172" s="5">
        <v>2748.44</v>
      </c>
      <c r="AD172" s="25"/>
      <c r="AE172" s="25"/>
      <c r="AF172" s="25"/>
      <c r="AG172" s="32"/>
      <c r="AH172" s="18"/>
      <c r="AI172" s="3"/>
      <c r="AJ172" s="3"/>
      <c r="AK172" s="3"/>
      <c r="AL172" s="15">
        <f t="shared" si="20"/>
        <v>0</v>
      </c>
      <c r="AM172" s="15">
        <f t="shared" si="21"/>
        <v>2748.44</v>
      </c>
      <c r="AN172" s="15">
        <f t="shared" si="23"/>
        <v>2748.44</v>
      </c>
      <c r="AO172" s="15">
        <f t="shared" si="22"/>
        <v>0</v>
      </c>
    </row>
    <row r="173" spans="1:41" hidden="1" x14ac:dyDescent="0.25">
      <c r="A173" s="25">
        <v>183</v>
      </c>
      <c r="B173" s="39" t="s">
        <v>938</v>
      </c>
      <c r="C173" s="10" t="s">
        <v>1131</v>
      </c>
      <c r="D173" s="3" t="s">
        <v>939</v>
      </c>
      <c r="E173" s="3" t="s">
        <v>314</v>
      </c>
      <c r="F173" s="3" t="s">
        <v>940</v>
      </c>
      <c r="G173" s="3" t="s">
        <v>316</v>
      </c>
      <c r="H173" s="3" t="s">
        <v>14</v>
      </c>
      <c r="I173" s="3" t="s">
        <v>6</v>
      </c>
      <c r="J173" s="3" t="s">
        <v>33</v>
      </c>
      <c r="K173" s="3" t="s">
        <v>941</v>
      </c>
      <c r="L173" s="3"/>
      <c r="M173" s="3"/>
      <c r="N173" s="3"/>
      <c r="O173" s="3">
        <v>7532</v>
      </c>
      <c r="P173" s="3"/>
      <c r="Q173" s="4">
        <v>46081</v>
      </c>
      <c r="R173" s="5">
        <v>7334.45</v>
      </c>
      <c r="S173" s="3">
        <v>109</v>
      </c>
      <c r="T173" s="3"/>
      <c r="U173" s="3">
        <v>0</v>
      </c>
      <c r="V173" s="3" t="s">
        <v>8</v>
      </c>
      <c r="W173" s="5">
        <v>7334.45</v>
      </c>
      <c r="X173" s="3">
        <v>0</v>
      </c>
      <c r="Y173" s="3">
        <v>0</v>
      </c>
      <c r="Z173" s="3">
        <v>0</v>
      </c>
      <c r="AA173" s="3">
        <v>0</v>
      </c>
      <c r="AB173" s="5">
        <v>7334.45</v>
      </c>
      <c r="AD173" s="25"/>
      <c r="AE173" s="25"/>
      <c r="AF173" s="25"/>
      <c r="AG173" s="32"/>
      <c r="AH173" s="18"/>
      <c r="AI173" s="3"/>
      <c r="AJ173" s="3"/>
      <c r="AK173" s="3"/>
      <c r="AL173" s="15">
        <f t="shared" si="20"/>
        <v>0</v>
      </c>
      <c r="AM173" s="15">
        <f t="shared" si="21"/>
        <v>7334.45</v>
      </c>
      <c r="AN173" s="15">
        <f t="shared" si="23"/>
        <v>7334.45</v>
      </c>
      <c r="AO173" s="15">
        <f t="shared" si="22"/>
        <v>0</v>
      </c>
    </row>
    <row r="174" spans="1:41" hidden="1" x14ac:dyDescent="0.25">
      <c r="A174" s="25">
        <v>184</v>
      </c>
      <c r="B174" s="39" t="s">
        <v>942</v>
      </c>
      <c r="C174" s="10" t="s">
        <v>1132</v>
      </c>
      <c r="D174" s="3" t="s">
        <v>943</v>
      </c>
      <c r="E174" s="3" t="s">
        <v>314</v>
      </c>
      <c r="F174" s="3" t="s">
        <v>944</v>
      </c>
      <c r="G174" s="3" t="s">
        <v>316</v>
      </c>
      <c r="H174" s="3" t="s">
        <v>14</v>
      </c>
      <c r="I174" s="3" t="s">
        <v>6</v>
      </c>
      <c r="J174" s="3" t="s">
        <v>33</v>
      </c>
      <c r="K174" s="3" t="s">
        <v>945</v>
      </c>
      <c r="L174" s="3"/>
      <c r="M174" s="3"/>
      <c r="N174" s="3"/>
      <c r="O174" s="3">
        <v>1035</v>
      </c>
      <c r="P174" s="3"/>
      <c r="Q174" s="4">
        <v>46081</v>
      </c>
      <c r="R174" s="5">
        <v>6243.43</v>
      </c>
      <c r="S174" s="3">
        <v>181</v>
      </c>
      <c r="T174" s="3"/>
      <c r="U174" s="3">
        <v>0</v>
      </c>
      <c r="V174" s="3" t="s">
        <v>8</v>
      </c>
      <c r="W174" s="5">
        <v>6243.39</v>
      </c>
      <c r="X174" s="3">
        <v>0</v>
      </c>
      <c r="Y174" s="3">
        <v>0</v>
      </c>
      <c r="Z174" s="3">
        <v>0</v>
      </c>
      <c r="AA174" s="3">
        <v>0</v>
      </c>
      <c r="AB174" s="5">
        <v>6243.39</v>
      </c>
      <c r="AD174" s="25"/>
      <c r="AE174" s="25"/>
      <c r="AF174" s="25"/>
      <c r="AG174" s="32"/>
      <c r="AH174" s="18"/>
      <c r="AI174" s="3"/>
      <c r="AJ174" s="3"/>
      <c r="AK174" s="3"/>
      <c r="AL174" s="15">
        <f t="shared" si="20"/>
        <v>0</v>
      </c>
      <c r="AM174" s="15">
        <f t="shared" si="21"/>
        <v>6243.39</v>
      </c>
      <c r="AN174" s="15">
        <f t="shared" si="23"/>
        <v>6243.39</v>
      </c>
      <c r="AO174" s="15">
        <f t="shared" si="22"/>
        <v>0</v>
      </c>
    </row>
    <row r="175" spans="1:41" hidden="1" x14ac:dyDescent="0.25">
      <c r="A175" s="25">
        <v>186</v>
      </c>
      <c r="B175" s="39">
        <v>1162</v>
      </c>
      <c r="C175" s="10" t="s">
        <v>1134</v>
      </c>
      <c r="D175" s="3" t="s">
        <v>947</v>
      </c>
      <c r="E175" s="3" t="s">
        <v>948</v>
      </c>
      <c r="F175" s="3" t="s">
        <v>949</v>
      </c>
      <c r="G175" s="3" t="s">
        <v>950</v>
      </c>
      <c r="H175" s="3" t="s">
        <v>14</v>
      </c>
      <c r="I175" s="3" t="s">
        <v>6</v>
      </c>
      <c r="J175" s="3" t="s">
        <v>33</v>
      </c>
      <c r="K175" s="3" t="s">
        <v>951</v>
      </c>
      <c r="L175" s="3"/>
      <c r="M175" s="3"/>
      <c r="N175" s="3"/>
      <c r="O175" s="3"/>
      <c r="P175" s="3"/>
      <c r="Q175" s="4">
        <v>46063</v>
      </c>
      <c r="R175" s="5">
        <v>147380.65</v>
      </c>
      <c r="S175" s="3">
        <v>460</v>
      </c>
      <c r="T175" s="3"/>
      <c r="U175" s="3">
        <v>0</v>
      </c>
      <c r="V175" s="3" t="s">
        <v>8</v>
      </c>
      <c r="W175" s="5">
        <v>187171.36</v>
      </c>
      <c r="X175" s="5">
        <v>135453.88</v>
      </c>
      <c r="Y175" s="5">
        <v>4340.17</v>
      </c>
      <c r="Z175" s="3">
        <v>0</v>
      </c>
      <c r="AA175" s="5">
        <v>-371.36</v>
      </c>
      <c r="AB175" s="5">
        <v>326594.05</v>
      </c>
      <c r="AD175" s="25" t="s">
        <v>1183</v>
      </c>
      <c r="AE175" s="25" t="s">
        <v>1193</v>
      </c>
      <c r="AF175" s="26">
        <v>134422.32999999999</v>
      </c>
      <c r="AG175" s="32"/>
      <c r="AH175" s="19">
        <f>AF175</f>
        <v>134422.32999999999</v>
      </c>
      <c r="AI175" s="5"/>
      <c r="AJ175" s="3"/>
      <c r="AK175" s="5"/>
      <c r="AL175" s="15">
        <f t="shared" si="20"/>
        <v>134422.32999999999</v>
      </c>
      <c r="AM175" s="15">
        <f t="shared" si="21"/>
        <v>192171.72</v>
      </c>
      <c r="AN175">
        <v>192171.72</v>
      </c>
      <c r="AO175" s="15">
        <f t="shared" si="22"/>
        <v>0</v>
      </c>
    </row>
    <row r="176" spans="1:41" hidden="1" x14ac:dyDescent="0.25">
      <c r="A176" s="25">
        <v>187</v>
      </c>
      <c r="B176" s="39" t="s">
        <v>952</v>
      </c>
      <c r="C176" s="10" t="s">
        <v>1135</v>
      </c>
      <c r="D176" s="3" t="s">
        <v>953</v>
      </c>
      <c r="E176" s="3" t="s">
        <v>953</v>
      </c>
      <c r="F176" s="3"/>
      <c r="G176" s="3" t="s">
        <v>954</v>
      </c>
      <c r="H176" s="3" t="s">
        <v>14</v>
      </c>
      <c r="I176" s="3" t="s">
        <v>6</v>
      </c>
      <c r="J176" s="3"/>
      <c r="K176" s="3" t="s">
        <v>955</v>
      </c>
      <c r="L176" s="3"/>
      <c r="M176" s="3"/>
      <c r="N176" s="3" t="s">
        <v>22</v>
      </c>
      <c r="O176" s="3"/>
      <c r="P176" s="3"/>
      <c r="Q176" s="4">
        <v>46081</v>
      </c>
      <c r="R176" s="5">
        <v>79.349999999999994</v>
      </c>
      <c r="S176" s="3">
        <v>72</v>
      </c>
      <c r="T176" s="3"/>
      <c r="U176" s="3">
        <v>0</v>
      </c>
      <c r="V176" s="3" t="s">
        <v>8</v>
      </c>
      <c r="W176" s="5">
        <v>79.349999999999994</v>
      </c>
      <c r="X176" s="3">
        <v>0</v>
      </c>
      <c r="Y176" s="3">
        <v>0</v>
      </c>
      <c r="Z176" s="3">
        <v>0</v>
      </c>
      <c r="AA176" s="3">
        <v>0</v>
      </c>
      <c r="AB176" s="5">
        <v>79.349999999999994</v>
      </c>
      <c r="AD176" s="25"/>
      <c r="AE176" s="25"/>
      <c r="AF176" s="25"/>
      <c r="AG176" s="32"/>
      <c r="AH176" s="18"/>
      <c r="AI176" s="3"/>
      <c r="AJ176" s="3"/>
      <c r="AK176" s="3"/>
      <c r="AL176" s="15">
        <f t="shared" si="20"/>
        <v>0</v>
      </c>
      <c r="AM176" s="15">
        <f t="shared" si="21"/>
        <v>79.349999999999994</v>
      </c>
      <c r="AN176" s="15">
        <f>AM176</f>
        <v>79.349999999999994</v>
      </c>
      <c r="AO176" s="15">
        <f t="shared" si="22"/>
        <v>0</v>
      </c>
    </row>
    <row r="177" spans="1:42" hidden="1" x14ac:dyDescent="0.25">
      <c r="A177" s="25">
        <v>188</v>
      </c>
      <c r="B177" s="39" t="s">
        <v>956</v>
      </c>
      <c r="C177" s="10" t="s">
        <v>1136</v>
      </c>
      <c r="D177" s="3" t="s">
        <v>957</v>
      </c>
      <c r="E177" s="3" t="s">
        <v>958</v>
      </c>
      <c r="F177" s="6" t="s">
        <v>959</v>
      </c>
      <c r="G177" s="3" t="s">
        <v>960</v>
      </c>
      <c r="H177" s="3" t="s">
        <v>14</v>
      </c>
      <c r="I177" s="3" t="s">
        <v>6</v>
      </c>
      <c r="J177" s="3"/>
      <c r="K177" s="3" t="s">
        <v>961</v>
      </c>
      <c r="L177" s="3"/>
      <c r="M177" s="3"/>
      <c r="N177" s="3" t="s">
        <v>22</v>
      </c>
      <c r="O177" s="3">
        <v>2191</v>
      </c>
      <c r="P177" s="3"/>
      <c r="Q177" s="4">
        <v>46081</v>
      </c>
      <c r="R177" s="5">
        <v>4400.6099999999997</v>
      </c>
      <c r="S177" s="3">
        <v>278</v>
      </c>
      <c r="T177" s="3"/>
      <c r="U177" s="3">
        <v>0</v>
      </c>
      <c r="V177" s="3" t="s">
        <v>8</v>
      </c>
      <c r="W177" s="5">
        <v>4400.6099999999997</v>
      </c>
      <c r="X177" s="5">
        <v>4400.6099999999997</v>
      </c>
      <c r="Y177" s="3">
        <v>0</v>
      </c>
      <c r="Z177" s="3">
        <v>0</v>
      </c>
      <c r="AA177" s="3">
        <v>0</v>
      </c>
      <c r="AB177" s="5">
        <v>8801.2199999999993</v>
      </c>
      <c r="AD177" s="25"/>
      <c r="AE177" s="25"/>
      <c r="AF177" s="25"/>
      <c r="AG177" s="32"/>
      <c r="AH177" s="19"/>
      <c r="AI177" s="3"/>
      <c r="AJ177" s="3"/>
      <c r="AK177" s="3"/>
      <c r="AL177" s="15">
        <f t="shared" ref="AL177:AL195" si="24">AH177+AI177+AJ177+AK177+AG177</f>
        <v>0</v>
      </c>
      <c r="AM177" s="15">
        <f t="shared" ref="AM177:AM195" si="25">AB177-AL177</f>
        <v>8801.2199999999993</v>
      </c>
      <c r="AN177" s="15">
        <f>AM177</f>
        <v>8801.2199999999993</v>
      </c>
      <c r="AO177" s="15">
        <f t="shared" ref="AO177:AO195" si="26">AM177-AN177</f>
        <v>0</v>
      </c>
    </row>
    <row r="178" spans="1:42" hidden="1" x14ac:dyDescent="0.25">
      <c r="A178" s="25">
        <v>79</v>
      </c>
      <c r="B178" s="39" t="s">
        <v>427</v>
      </c>
      <c r="C178" s="10" t="s">
        <v>1053</v>
      </c>
      <c r="D178" s="3" t="s">
        <v>428</v>
      </c>
      <c r="E178" s="3" t="s">
        <v>429</v>
      </c>
      <c r="F178" s="3" t="s">
        <v>430</v>
      </c>
      <c r="G178" s="3" t="s">
        <v>431</v>
      </c>
      <c r="H178" s="3" t="s">
        <v>14</v>
      </c>
      <c r="I178" s="3"/>
      <c r="J178" s="3" t="s">
        <v>33</v>
      </c>
      <c r="K178" s="3" t="s">
        <v>432</v>
      </c>
      <c r="L178" s="3"/>
      <c r="M178" s="3"/>
      <c r="N178" s="3"/>
      <c r="O178" s="3"/>
      <c r="P178" s="3"/>
      <c r="Q178" s="4">
        <v>46046</v>
      </c>
      <c r="R178" s="5">
        <v>637.30999999999995</v>
      </c>
      <c r="S178" s="3">
        <v>102</v>
      </c>
      <c r="T178" s="3"/>
      <c r="U178" s="3">
        <v>0</v>
      </c>
      <c r="V178" s="3" t="s">
        <v>8</v>
      </c>
      <c r="W178" s="16">
        <v>637.30999999999995</v>
      </c>
      <c r="X178" s="3">
        <v>0</v>
      </c>
      <c r="Y178" s="3">
        <v>0</v>
      </c>
      <c r="Z178" s="3">
        <v>0</v>
      </c>
      <c r="AA178" s="3">
        <v>0.31</v>
      </c>
      <c r="AB178" s="5">
        <v>637.62</v>
      </c>
      <c r="AD178" s="25" t="s">
        <v>1152</v>
      </c>
      <c r="AE178" s="25" t="s">
        <v>1153</v>
      </c>
      <c r="AF178" s="26">
        <v>637.30999999999995</v>
      </c>
      <c r="AG178" s="33">
        <f>AF178</f>
        <v>637.30999999999995</v>
      </c>
      <c r="AH178" s="18"/>
      <c r="AI178" s="3"/>
      <c r="AJ178" s="3"/>
      <c r="AK178" s="3"/>
      <c r="AL178" s="15">
        <f t="shared" si="24"/>
        <v>637.30999999999995</v>
      </c>
      <c r="AM178" s="15">
        <f t="shared" si="25"/>
        <v>0.31000000000005912</v>
      </c>
      <c r="AN178">
        <v>0.31</v>
      </c>
      <c r="AO178" s="15">
        <f t="shared" si="26"/>
        <v>5.9119376061289586E-14</v>
      </c>
    </row>
    <row r="179" spans="1:42" hidden="1" x14ac:dyDescent="0.25">
      <c r="A179" s="25">
        <v>152</v>
      </c>
      <c r="B179" s="39" t="s">
        <v>786</v>
      </c>
      <c r="C179" s="10"/>
      <c r="D179" s="3" t="s">
        <v>787</v>
      </c>
      <c r="E179" s="3" t="s">
        <v>788</v>
      </c>
      <c r="F179" s="3" t="s">
        <v>789</v>
      </c>
      <c r="G179" s="3" t="s">
        <v>790</v>
      </c>
      <c r="H179" s="3" t="s">
        <v>82</v>
      </c>
      <c r="I179" s="3" t="s">
        <v>6</v>
      </c>
      <c r="J179" s="3" t="s">
        <v>15</v>
      </c>
      <c r="K179" s="3" t="s">
        <v>791</v>
      </c>
      <c r="L179" s="3"/>
      <c r="M179" s="3"/>
      <c r="N179" s="3"/>
      <c r="O179" s="6" t="s">
        <v>792</v>
      </c>
      <c r="P179" s="3"/>
      <c r="Q179" s="4">
        <v>43565</v>
      </c>
      <c r="R179" s="3">
        <v>0</v>
      </c>
      <c r="S179" s="3">
        <v>432</v>
      </c>
      <c r="T179" s="3" t="s">
        <v>793</v>
      </c>
      <c r="U179" s="3">
        <v>0</v>
      </c>
      <c r="V179" s="3" t="s">
        <v>8</v>
      </c>
      <c r="W179" s="3">
        <v>0</v>
      </c>
      <c r="X179" s="3">
        <v>0</v>
      </c>
      <c r="Y179" s="3">
        <v>0</v>
      </c>
      <c r="Z179" s="3">
        <v>0</v>
      </c>
      <c r="AA179" s="3">
        <v>0.01</v>
      </c>
      <c r="AB179" s="3">
        <v>0.01</v>
      </c>
      <c r="AD179" s="25"/>
      <c r="AE179" s="25"/>
      <c r="AF179" s="25"/>
      <c r="AG179" s="32"/>
      <c r="AH179" s="18"/>
      <c r="AI179" s="3"/>
      <c r="AJ179" s="3"/>
      <c r="AK179" s="3"/>
      <c r="AL179" s="15">
        <f t="shared" si="24"/>
        <v>0</v>
      </c>
      <c r="AM179" s="15">
        <f t="shared" si="25"/>
        <v>0.01</v>
      </c>
      <c r="AO179" s="15">
        <f t="shared" si="26"/>
        <v>0.01</v>
      </c>
    </row>
    <row r="180" spans="1:42" hidden="1" x14ac:dyDescent="0.25">
      <c r="A180" s="25">
        <v>60</v>
      </c>
      <c r="B180" s="39" t="s">
        <v>323</v>
      </c>
      <c r="C180" s="10"/>
      <c r="D180" s="3" t="s">
        <v>324</v>
      </c>
      <c r="E180" s="3" t="s">
        <v>325</v>
      </c>
      <c r="F180" s="3" t="s">
        <v>326</v>
      </c>
      <c r="G180" s="3" t="s">
        <v>327</v>
      </c>
      <c r="H180" s="3" t="s">
        <v>328</v>
      </c>
      <c r="I180" s="3" t="s">
        <v>6</v>
      </c>
      <c r="J180" s="3" t="s">
        <v>33</v>
      </c>
      <c r="K180" s="3" t="s">
        <v>329</v>
      </c>
      <c r="L180" s="3"/>
      <c r="M180" s="3"/>
      <c r="N180" s="3"/>
      <c r="O180" s="3">
        <v>8300</v>
      </c>
      <c r="P180" s="3"/>
      <c r="Q180" s="4">
        <v>43364</v>
      </c>
      <c r="R180" s="5">
        <v>40097.620000000003</v>
      </c>
      <c r="S180" s="3">
        <v>1635</v>
      </c>
      <c r="T180" s="3"/>
      <c r="U180" s="3">
        <v>0</v>
      </c>
      <c r="V180" s="3" t="s">
        <v>8</v>
      </c>
      <c r="W180" s="3">
        <v>0</v>
      </c>
      <c r="X180" s="3">
        <v>0</v>
      </c>
      <c r="Y180" s="3">
        <v>0</v>
      </c>
      <c r="Z180" s="3">
        <v>0</v>
      </c>
      <c r="AA180" s="3">
        <v>0.02</v>
      </c>
      <c r="AB180" s="3">
        <v>0.02</v>
      </c>
      <c r="AD180" s="25"/>
      <c r="AE180" s="25"/>
      <c r="AF180" s="25"/>
      <c r="AG180" s="32"/>
      <c r="AH180" s="18"/>
      <c r="AI180" s="3"/>
      <c r="AJ180" s="3"/>
      <c r="AK180" s="3"/>
      <c r="AL180" s="15">
        <f t="shared" si="24"/>
        <v>0</v>
      </c>
      <c r="AM180" s="15">
        <f t="shared" si="25"/>
        <v>0.02</v>
      </c>
      <c r="AN180">
        <v>0</v>
      </c>
      <c r="AO180" s="15">
        <f t="shared" si="26"/>
        <v>0.02</v>
      </c>
    </row>
    <row r="181" spans="1:42" hidden="1" x14ac:dyDescent="0.25">
      <c r="A181" s="25">
        <v>160</v>
      </c>
      <c r="B181" s="39" t="s">
        <v>836</v>
      </c>
      <c r="C181" s="10" t="s">
        <v>1112</v>
      </c>
      <c r="D181" s="3" t="s">
        <v>837</v>
      </c>
      <c r="E181" s="3"/>
      <c r="F181" s="3"/>
      <c r="G181" s="3"/>
      <c r="H181" s="3" t="s">
        <v>14</v>
      </c>
      <c r="I181" s="3" t="s">
        <v>6</v>
      </c>
      <c r="J181" s="3"/>
      <c r="K181" s="3" t="s">
        <v>838</v>
      </c>
      <c r="L181" s="3"/>
      <c r="M181" s="3"/>
      <c r="N181" s="3"/>
      <c r="O181" s="3">
        <v>3600</v>
      </c>
      <c r="P181" s="3"/>
      <c r="Q181" s="4">
        <v>46078</v>
      </c>
      <c r="R181" s="5">
        <v>1309.52</v>
      </c>
      <c r="S181" s="3">
        <v>204</v>
      </c>
      <c r="T181" s="3"/>
      <c r="U181" s="3">
        <v>0</v>
      </c>
      <c r="V181" s="3" t="s">
        <v>8</v>
      </c>
      <c r="W181" s="5">
        <v>7202.4</v>
      </c>
      <c r="X181" s="5">
        <v>6547.64</v>
      </c>
      <c r="Y181" s="3">
        <v>0</v>
      </c>
      <c r="Z181" s="3">
        <v>0</v>
      </c>
      <c r="AA181" s="3">
        <v>0.9</v>
      </c>
      <c r="AB181" s="5">
        <v>13750.94</v>
      </c>
      <c r="AD181" s="25" t="s">
        <v>1154</v>
      </c>
      <c r="AE181" s="25" t="s">
        <v>1155</v>
      </c>
      <c r="AF181" s="26">
        <v>654.76</v>
      </c>
      <c r="AG181" s="32"/>
      <c r="AH181" s="19">
        <f>AF181</f>
        <v>654.76</v>
      </c>
      <c r="AI181" s="3"/>
      <c r="AJ181" s="3"/>
      <c r="AK181" s="3"/>
      <c r="AL181" s="15">
        <f t="shared" si="24"/>
        <v>654.76</v>
      </c>
      <c r="AM181" s="15">
        <f t="shared" si="25"/>
        <v>13096.18</v>
      </c>
      <c r="AN181">
        <v>13095.28</v>
      </c>
      <c r="AO181" s="15">
        <f t="shared" si="26"/>
        <v>0.8999999999996362</v>
      </c>
    </row>
    <row r="182" spans="1:42" x14ac:dyDescent="0.25">
      <c r="A182" s="25">
        <v>121</v>
      </c>
      <c r="B182" s="39" t="s">
        <v>634</v>
      </c>
      <c r="C182" s="10"/>
      <c r="D182" s="3" t="s">
        <v>635</v>
      </c>
      <c r="E182" s="3" t="s">
        <v>636</v>
      </c>
      <c r="F182" s="3" t="s">
        <v>637</v>
      </c>
      <c r="G182" s="3"/>
      <c r="H182" s="3" t="s">
        <v>14</v>
      </c>
      <c r="I182" s="3" t="s">
        <v>6</v>
      </c>
      <c r="J182" s="3" t="s">
        <v>33</v>
      </c>
      <c r="K182" s="3" t="s">
        <v>638</v>
      </c>
      <c r="L182" s="3"/>
      <c r="M182" s="3"/>
      <c r="N182" s="3"/>
      <c r="O182" s="3">
        <v>1686</v>
      </c>
      <c r="P182" s="3"/>
      <c r="Q182" s="4">
        <v>46074</v>
      </c>
      <c r="R182" s="5">
        <v>5531.5</v>
      </c>
      <c r="S182" s="3">
        <v>66</v>
      </c>
      <c r="T182" s="3"/>
      <c r="U182" s="3">
        <v>0</v>
      </c>
      <c r="V182" s="3" t="s">
        <v>8</v>
      </c>
      <c r="W182" s="5">
        <v>4634.5</v>
      </c>
      <c r="X182" s="57">
        <v>0</v>
      </c>
      <c r="Y182" s="56"/>
      <c r="Z182" s="56">
        <v>149.5</v>
      </c>
      <c r="AA182" s="56">
        <v>544.54999999999995</v>
      </c>
      <c r="AB182" s="5">
        <f>SUM(W182:AA182)</f>
        <v>5328.55</v>
      </c>
      <c r="AD182" s="25"/>
      <c r="AE182" s="25"/>
      <c r="AF182" s="25"/>
      <c r="AG182" s="32"/>
      <c r="AH182" s="18"/>
      <c r="AI182" s="5"/>
      <c r="AJ182" s="5"/>
      <c r="AK182" s="5"/>
      <c r="AL182" s="15">
        <f t="shared" si="24"/>
        <v>0</v>
      </c>
      <c r="AM182" s="15">
        <f t="shared" si="25"/>
        <v>5328.55</v>
      </c>
      <c r="AN182" s="15">
        <v>5328.55</v>
      </c>
      <c r="AO182" s="15">
        <f t="shared" si="26"/>
        <v>0</v>
      </c>
    </row>
    <row r="183" spans="1:42" x14ac:dyDescent="0.25">
      <c r="A183" s="25">
        <v>43</v>
      </c>
      <c r="B183" s="39">
        <v>2272</v>
      </c>
      <c r="C183" s="10" t="s">
        <v>1027</v>
      </c>
      <c r="D183" s="3" t="s">
        <v>224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>
        <v>0</v>
      </c>
      <c r="S183" s="3">
        <v>31</v>
      </c>
      <c r="T183" s="3"/>
      <c r="U183" s="3">
        <v>0</v>
      </c>
      <c r="V183" s="3" t="s">
        <v>8</v>
      </c>
      <c r="W183" s="5">
        <v>8484.7000000000007</v>
      </c>
      <c r="X183" s="3">
        <v>0</v>
      </c>
      <c r="Y183" s="3">
        <v>0</v>
      </c>
      <c r="Z183" s="3">
        <v>0</v>
      </c>
      <c r="AA183" s="3">
        <v>0</v>
      </c>
      <c r="AB183" s="5">
        <v>8484.7000000000007</v>
      </c>
      <c r="AD183" s="25"/>
      <c r="AE183" s="25"/>
      <c r="AF183" s="25"/>
      <c r="AG183" s="32"/>
      <c r="AH183" s="18"/>
      <c r="AI183" s="3"/>
      <c r="AJ183" s="3"/>
      <c r="AK183" s="3"/>
      <c r="AL183" s="15">
        <f t="shared" si="24"/>
        <v>0</v>
      </c>
      <c r="AM183" s="15">
        <f t="shared" si="25"/>
        <v>8484.7000000000007</v>
      </c>
      <c r="AN183" s="54">
        <v>8484.7000000000007</v>
      </c>
      <c r="AO183" s="15">
        <f t="shared" si="26"/>
        <v>0</v>
      </c>
    </row>
    <row r="184" spans="1:42" x14ac:dyDescent="0.25">
      <c r="A184" s="25">
        <v>144</v>
      </c>
      <c r="B184" s="39">
        <v>2275</v>
      </c>
      <c r="C184" s="10" t="s">
        <v>1098</v>
      </c>
      <c r="D184" s="3" t="s">
        <v>755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>
        <v>0</v>
      </c>
      <c r="S184" s="3">
        <v>31</v>
      </c>
      <c r="T184" s="3"/>
      <c r="U184" s="3">
        <v>0</v>
      </c>
      <c r="V184" s="3" t="s">
        <v>8</v>
      </c>
      <c r="W184" s="5">
        <v>13436.6</v>
      </c>
      <c r="X184" s="3">
        <v>0</v>
      </c>
      <c r="Y184" s="3">
        <v>0</v>
      </c>
      <c r="Z184" s="3">
        <v>0</v>
      </c>
      <c r="AA184" s="3">
        <v>0</v>
      </c>
      <c r="AB184" s="5">
        <v>13436.6</v>
      </c>
      <c r="AD184" s="25"/>
      <c r="AE184" s="25"/>
      <c r="AF184" s="25"/>
      <c r="AG184" s="32"/>
      <c r="AH184" s="18"/>
      <c r="AI184" s="3"/>
      <c r="AJ184" s="3"/>
      <c r="AK184" s="3"/>
      <c r="AL184" s="15">
        <f t="shared" si="24"/>
        <v>0</v>
      </c>
      <c r="AM184" s="15">
        <f t="shared" si="25"/>
        <v>13436.6</v>
      </c>
      <c r="AN184" s="53">
        <v>13436.6</v>
      </c>
      <c r="AO184" s="15">
        <f t="shared" si="26"/>
        <v>0</v>
      </c>
    </row>
    <row r="185" spans="1:42" x14ac:dyDescent="0.25">
      <c r="A185" s="25">
        <v>147</v>
      </c>
      <c r="B185" s="39">
        <v>2276</v>
      </c>
      <c r="C185" s="10" t="s">
        <v>1100</v>
      </c>
      <c r="D185" s="3" t="s">
        <v>766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>
        <v>0</v>
      </c>
      <c r="S185" s="3">
        <v>31</v>
      </c>
      <c r="T185" s="3"/>
      <c r="U185" s="3">
        <v>0</v>
      </c>
      <c r="V185" s="3" t="s">
        <v>8</v>
      </c>
      <c r="W185" s="5">
        <v>19807.599999999999</v>
      </c>
      <c r="X185" s="3">
        <v>0</v>
      </c>
      <c r="Y185" s="3">
        <v>0</v>
      </c>
      <c r="Z185" s="3">
        <v>0</v>
      </c>
      <c r="AA185" s="3">
        <v>0</v>
      </c>
      <c r="AB185" s="5">
        <v>19807.599999999999</v>
      </c>
      <c r="AD185" s="25"/>
      <c r="AE185" s="25"/>
      <c r="AF185" s="25"/>
      <c r="AG185" s="32"/>
      <c r="AH185" s="18"/>
      <c r="AI185" s="3"/>
      <c r="AJ185" s="3"/>
      <c r="AK185" s="3"/>
      <c r="AL185" s="15">
        <f t="shared" si="24"/>
        <v>0</v>
      </c>
      <c r="AM185" s="15">
        <f t="shared" si="25"/>
        <v>19807.599999999999</v>
      </c>
      <c r="AN185" s="54">
        <v>19807.599999999999</v>
      </c>
      <c r="AO185" s="15">
        <f t="shared" si="26"/>
        <v>0</v>
      </c>
    </row>
    <row r="186" spans="1:42" x14ac:dyDescent="0.25">
      <c r="A186" s="25">
        <v>185</v>
      </c>
      <c r="B186" s="39">
        <v>2271</v>
      </c>
      <c r="C186" s="10" t="s">
        <v>1133</v>
      </c>
      <c r="D186" s="3" t="s">
        <v>946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>
        <v>0</v>
      </c>
      <c r="S186" s="3">
        <v>31</v>
      </c>
      <c r="T186" s="3"/>
      <c r="U186" s="3">
        <v>0</v>
      </c>
      <c r="V186" s="3" t="s">
        <v>8</v>
      </c>
      <c r="W186" s="5">
        <v>26148.7</v>
      </c>
      <c r="X186" s="3">
        <v>0</v>
      </c>
      <c r="Y186" s="3">
        <v>0</v>
      </c>
      <c r="Z186" s="3">
        <v>0</v>
      </c>
      <c r="AA186" s="3">
        <v>0</v>
      </c>
      <c r="AB186" s="5">
        <v>26148.7</v>
      </c>
      <c r="AD186" s="25"/>
      <c r="AE186" s="25"/>
      <c r="AF186" s="25"/>
      <c r="AG186" s="32"/>
      <c r="AH186" s="18"/>
      <c r="AI186" s="3"/>
      <c r="AJ186" s="3"/>
      <c r="AK186" s="3"/>
      <c r="AL186" s="15">
        <f t="shared" si="24"/>
        <v>0</v>
      </c>
      <c r="AM186" s="15">
        <f t="shared" si="25"/>
        <v>26148.7</v>
      </c>
      <c r="AN186" s="54">
        <v>26148.7</v>
      </c>
      <c r="AO186" s="15">
        <f t="shared" si="26"/>
        <v>0</v>
      </c>
    </row>
    <row r="187" spans="1:42" s="43" customFormat="1" x14ac:dyDescent="0.25">
      <c r="A187" s="44">
        <v>77</v>
      </c>
      <c r="B187" s="49" t="s">
        <v>423</v>
      </c>
      <c r="C187" s="41" t="s">
        <v>1052</v>
      </c>
      <c r="D187" s="40" t="s">
        <v>424</v>
      </c>
      <c r="E187" s="40" t="s">
        <v>425</v>
      </c>
      <c r="F187" s="47" t="s">
        <v>415</v>
      </c>
      <c r="G187" s="40" t="s">
        <v>426</v>
      </c>
      <c r="H187" s="40" t="s">
        <v>14</v>
      </c>
      <c r="I187" s="40" t="s">
        <v>6</v>
      </c>
      <c r="J187" s="40" t="s">
        <v>33</v>
      </c>
      <c r="K187" s="40" t="s">
        <v>417</v>
      </c>
      <c r="L187" s="40"/>
      <c r="M187" s="40"/>
      <c r="N187" s="40"/>
      <c r="O187" s="40">
        <v>2047</v>
      </c>
      <c r="P187" s="40"/>
      <c r="Q187" s="42">
        <v>46057</v>
      </c>
      <c r="R187" s="16">
        <v>34861.97</v>
      </c>
      <c r="S187" s="40">
        <v>1067</v>
      </c>
      <c r="T187" s="40"/>
      <c r="U187" s="40">
        <v>0</v>
      </c>
      <c r="V187" s="40" t="s">
        <v>8</v>
      </c>
      <c r="W187" s="16">
        <v>46503.96</v>
      </c>
      <c r="X187" s="16">
        <v>36516.94</v>
      </c>
      <c r="Y187" s="16">
        <v>5738.17</v>
      </c>
      <c r="Z187" s="40">
        <v>0</v>
      </c>
      <c r="AA187" s="16">
        <v>-1.38</v>
      </c>
      <c r="AB187" s="16">
        <v>88757.69</v>
      </c>
      <c r="AD187" s="44" t="s">
        <v>1149</v>
      </c>
      <c r="AE187" s="44" t="s">
        <v>1169</v>
      </c>
      <c r="AF187" s="27">
        <v>6082.02</v>
      </c>
      <c r="AG187" s="48"/>
      <c r="AH187" s="20">
        <f>AF187+AF188-AI187</f>
        <v>343.85000000000036</v>
      </c>
      <c r="AI187" s="16">
        <f>Y187</f>
        <v>5738.17</v>
      </c>
      <c r="AJ187" s="40"/>
      <c r="AK187" s="16"/>
      <c r="AL187" s="17">
        <f t="shared" si="24"/>
        <v>6082.02</v>
      </c>
      <c r="AM187" s="17">
        <f t="shared" si="25"/>
        <v>82675.67</v>
      </c>
      <c r="AN187" s="43">
        <v>46158.73</v>
      </c>
      <c r="AO187" s="17">
        <f t="shared" si="26"/>
        <v>36516.939999999995</v>
      </c>
      <c r="AP187" s="43" t="s">
        <v>1199</v>
      </c>
    </row>
    <row r="188" spans="1:42" x14ac:dyDescent="0.25">
      <c r="A188" s="25">
        <v>90</v>
      </c>
      <c r="B188" s="39" t="s">
        <v>490</v>
      </c>
      <c r="C188" s="10"/>
      <c r="D188" s="3" t="s">
        <v>491</v>
      </c>
      <c r="E188" s="3" t="s">
        <v>492</v>
      </c>
      <c r="F188" s="3"/>
      <c r="G188" s="3" t="s">
        <v>493</v>
      </c>
      <c r="H188" s="3" t="s">
        <v>328</v>
      </c>
      <c r="I188" s="3" t="s">
        <v>6</v>
      </c>
      <c r="J188" s="3"/>
      <c r="K188" s="3" t="s">
        <v>494</v>
      </c>
      <c r="L188" s="3"/>
      <c r="M188" s="3"/>
      <c r="N188" s="3" t="s">
        <v>22</v>
      </c>
      <c r="O188" s="3"/>
      <c r="P188" s="3"/>
      <c r="Q188" s="4">
        <v>45841</v>
      </c>
      <c r="R188" s="5">
        <v>-12749.13</v>
      </c>
      <c r="S188" s="3">
        <v>167</v>
      </c>
      <c r="T188" s="3"/>
      <c r="U188" s="3">
        <v>0</v>
      </c>
      <c r="V188" s="3" t="s">
        <v>8</v>
      </c>
      <c r="W188" s="3">
        <v>0</v>
      </c>
      <c r="X188" s="3">
        <v>0</v>
      </c>
      <c r="Y188" s="3">
        <v>0</v>
      </c>
      <c r="Z188" s="3">
        <v>0</v>
      </c>
      <c r="AA188" s="5">
        <v>50996.52</v>
      </c>
      <c r="AB188" s="5">
        <v>50996.52</v>
      </c>
      <c r="AD188" s="25"/>
      <c r="AE188" s="25"/>
      <c r="AF188" s="25"/>
      <c r="AG188" s="32"/>
      <c r="AH188" s="18"/>
      <c r="AI188" s="3"/>
      <c r="AJ188" s="3"/>
      <c r="AK188" s="5"/>
      <c r="AL188" s="15">
        <f t="shared" si="24"/>
        <v>0</v>
      </c>
      <c r="AM188" s="15">
        <f t="shared" si="25"/>
        <v>50996.52</v>
      </c>
      <c r="AN188" s="54">
        <v>50996.52</v>
      </c>
      <c r="AO188" s="15">
        <f t="shared" si="26"/>
        <v>0</v>
      </c>
    </row>
    <row r="189" spans="1:42" s="43" customFormat="1" x14ac:dyDescent="0.25">
      <c r="A189" s="44">
        <v>131</v>
      </c>
      <c r="B189" s="49" t="s">
        <v>682</v>
      </c>
      <c r="C189" s="41" t="s">
        <v>1090</v>
      </c>
      <c r="D189" s="40" t="s">
        <v>683</v>
      </c>
      <c r="E189" s="40" t="s">
        <v>684</v>
      </c>
      <c r="F189" s="40" t="s">
        <v>685</v>
      </c>
      <c r="G189" s="40" t="s">
        <v>686</v>
      </c>
      <c r="H189" s="40" t="s">
        <v>14</v>
      </c>
      <c r="I189" s="40" t="s">
        <v>6</v>
      </c>
      <c r="J189" s="40"/>
      <c r="K189" s="40" t="s">
        <v>687</v>
      </c>
      <c r="L189" s="40"/>
      <c r="M189" s="40"/>
      <c r="N189" s="40" t="s">
        <v>22</v>
      </c>
      <c r="O189" s="40"/>
      <c r="P189" s="40"/>
      <c r="Q189" s="42">
        <v>46049</v>
      </c>
      <c r="R189" s="16">
        <v>79159.33</v>
      </c>
      <c r="S189" s="40">
        <v>116</v>
      </c>
      <c r="T189" s="40"/>
      <c r="U189" s="40">
        <v>0</v>
      </c>
      <c r="V189" s="40" t="s">
        <v>8</v>
      </c>
      <c r="W189" s="16">
        <v>79009.83</v>
      </c>
      <c r="X189" s="16">
        <v>805</v>
      </c>
      <c r="Y189" s="40">
        <v>0</v>
      </c>
      <c r="Z189" s="40">
        <v>0.01</v>
      </c>
      <c r="AA189" s="40">
        <v>0</v>
      </c>
      <c r="AB189" s="16">
        <v>79814.84</v>
      </c>
      <c r="AD189" s="44" t="s">
        <v>1156</v>
      </c>
      <c r="AE189" s="44" t="s">
        <v>1161</v>
      </c>
      <c r="AF189" s="27">
        <v>1437.51</v>
      </c>
      <c r="AG189" s="34">
        <f>AF190</f>
        <v>0</v>
      </c>
      <c r="AH189" s="20">
        <f>AF189</f>
        <v>1437.51</v>
      </c>
      <c r="AI189" s="40"/>
      <c r="AJ189" s="40"/>
      <c r="AK189" s="40"/>
      <c r="AL189" s="17">
        <f t="shared" si="24"/>
        <v>1437.51</v>
      </c>
      <c r="AM189" s="17">
        <f t="shared" si="25"/>
        <v>78377.33</v>
      </c>
      <c r="AN189" s="43">
        <v>1437.5</v>
      </c>
      <c r="AO189" s="17">
        <f t="shared" si="26"/>
        <v>76939.83</v>
      </c>
      <c r="AP189" s="43" t="str">
        <f>AP187</f>
        <v>not applic</v>
      </c>
    </row>
    <row r="190" spans="1:42" x14ac:dyDescent="0.25">
      <c r="A190" s="25">
        <v>166</v>
      </c>
      <c r="B190" s="39">
        <v>2274</v>
      </c>
      <c r="C190" s="10" t="s">
        <v>1116</v>
      </c>
      <c r="D190" s="3" t="s">
        <v>861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>
        <v>0</v>
      </c>
      <c r="S190" s="3">
        <v>31</v>
      </c>
      <c r="T190" s="3"/>
      <c r="U190" s="3">
        <v>0</v>
      </c>
      <c r="V190" s="3" t="s">
        <v>8</v>
      </c>
      <c r="W190" s="5">
        <v>66458.5</v>
      </c>
      <c r="X190" s="3">
        <v>0</v>
      </c>
      <c r="Y190" s="3">
        <v>0</v>
      </c>
      <c r="Z190" s="3">
        <v>0</v>
      </c>
      <c r="AA190" s="3">
        <v>0</v>
      </c>
      <c r="AB190" s="5">
        <v>66458.5</v>
      </c>
      <c r="AD190" s="25"/>
      <c r="AE190" s="25"/>
      <c r="AF190" s="25"/>
      <c r="AG190" s="32"/>
      <c r="AH190" s="18"/>
      <c r="AI190" s="3"/>
      <c r="AJ190" s="3"/>
      <c r="AK190" s="3"/>
      <c r="AL190" s="15">
        <f t="shared" si="24"/>
        <v>0</v>
      </c>
      <c r="AM190" s="15">
        <f t="shared" si="25"/>
        <v>66458.5</v>
      </c>
      <c r="AN190" s="53">
        <v>66458.5</v>
      </c>
      <c r="AO190" s="15">
        <f t="shared" si="26"/>
        <v>0</v>
      </c>
    </row>
    <row r="191" spans="1:42" x14ac:dyDescent="0.25">
      <c r="A191" s="25">
        <v>165</v>
      </c>
      <c r="B191" s="39">
        <v>2273</v>
      </c>
      <c r="C191" s="10" t="s">
        <v>1115</v>
      </c>
      <c r="D191" s="3" t="s">
        <v>860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>
        <v>0</v>
      </c>
      <c r="S191" s="3">
        <v>31</v>
      </c>
      <c r="T191" s="3"/>
      <c r="U191" s="3">
        <v>0</v>
      </c>
      <c r="V191" s="3" t="s">
        <v>8</v>
      </c>
      <c r="W191" s="5">
        <v>76392.2</v>
      </c>
      <c r="X191" s="3">
        <v>0</v>
      </c>
      <c r="Y191" s="3">
        <v>0</v>
      </c>
      <c r="Z191" s="3">
        <v>0</v>
      </c>
      <c r="AA191" s="3">
        <v>0</v>
      </c>
      <c r="AB191" s="5">
        <v>76392.2</v>
      </c>
      <c r="AD191" s="25"/>
      <c r="AE191" s="25"/>
      <c r="AF191" s="25"/>
      <c r="AG191" s="32"/>
      <c r="AH191" s="18"/>
      <c r="AI191" s="3"/>
      <c r="AJ191" s="3"/>
      <c r="AK191" s="3"/>
      <c r="AL191" s="15">
        <f t="shared" si="24"/>
        <v>0</v>
      </c>
      <c r="AM191" s="15">
        <f t="shared" si="25"/>
        <v>76392.2</v>
      </c>
      <c r="AN191" s="53">
        <v>76392.2</v>
      </c>
      <c r="AO191" s="15">
        <f t="shared" si="26"/>
        <v>0</v>
      </c>
    </row>
    <row r="192" spans="1:42" x14ac:dyDescent="0.25">
      <c r="A192" s="25">
        <v>45</v>
      </c>
      <c r="B192" s="39" t="s">
        <v>231</v>
      </c>
      <c r="C192" s="10"/>
      <c r="D192" s="3" t="s">
        <v>232</v>
      </c>
      <c r="E192" s="3" t="s">
        <v>233</v>
      </c>
      <c r="F192" s="3" t="s">
        <v>234</v>
      </c>
      <c r="G192" s="3" t="s">
        <v>235</v>
      </c>
      <c r="H192" s="3" t="s">
        <v>236</v>
      </c>
      <c r="I192" s="3" t="s">
        <v>6</v>
      </c>
      <c r="J192" s="3"/>
      <c r="K192" s="3" t="s">
        <v>237</v>
      </c>
      <c r="L192" s="3"/>
      <c r="M192" s="3"/>
      <c r="N192" s="3"/>
      <c r="O192" s="3"/>
      <c r="P192" s="3"/>
      <c r="Q192" s="3"/>
      <c r="R192" s="3">
        <v>0</v>
      </c>
      <c r="S192" s="3">
        <v>2901</v>
      </c>
      <c r="T192" s="3"/>
      <c r="U192" s="3">
        <v>0</v>
      </c>
      <c r="V192" s="3" t="s">
        <v>8</v>
      </c>
      <c r="W192" s="3">
        <v>0</v>
      </c>
      <c r="X192" s="3">
        <v>0</v>
      </c>
      <c r="Y192" s="3">
        <v>0</v>
      </c>
      <c r="Z192" s="3">
        <v>0</v>
      </c>
      <c r="AA192" s="5">
        <v>78856.67</v>
      </c>
      <c r="AB192" s="5">
        <v>78856.67</v>
      </c>
      <c r="AD192" s="25"/>
      <c r="AE192" s="25"/>
      <c r="AF192" s="25"/>
      <c r="AG192" s="32"/>
      <c r="AH192" s="18"/>
      <c r="AI192" s="3"/>
      <c r="AJ192" s="3"/>
      <c r="AK192" s="5"/>
      <c r="AL192" s="15">
        <f t="shared" si="24"/>
        <v>0</v>
      </c>
      <c r="AM192" s="15">
        <f t="shared" si="25"/>
        <v>78856.67</v>
      </c>
      <c r="AN192" s="54">
        <v>78856.67</v>
      </c>
      <c r="AO192" s="15">
        <f t="shared" si="26"/>
        <v>0</v>
      </c>
    </row>
    <row r="193" spans="1:42" x14ac:dyDescent="0.25">
      <c r="A193" s="25">
        <v>49</v>
      </c>
      <c r="B193" s="39" t="s">
        <v>256</v>
      </c>
      <c r="C193" s="10" t="s">
        <v>1029</v>
      </c>
      <c r="D193" s="3" t="s">
        <v>257</v>
      </c>
      <c r="E193" s="3" t="s">
        <v>258</v>
      </c>
      <c r="F193" s="3" t="s">
        <v>259</v>
      </c>
      <c r="G193" s="3" t="s">
        <v>260</v>
      </c>
      <c r="H193" s="3" t="s">
        <v>14</v>
      </c>
      <c r="I193" s="3" t="s">
        <v>6</v>
      </c>
      <c r="J193" s="3"/>
      <c r="K193" s="3" t="s">
        <v>261</v>
      </c>
      <c r="L193" s="3"/>
      <c r="M193" s="3"/>
      <c r="N193" s="3"/>
      <c r="O193" s="3">
        <v>1630</v>
      </c>
      <c r="P193" s="3"/>
      <c r="Q193" s="4">
        <v>46064</v>
      </c>
      <c r="R193" s="5">
        <v>1320.2</v>
      </c>
      <c r="S193" s="3">
        <v>818</v>
      </c>
      <c r="T193" s="3"/>
      <c r="U193" s="3">
        <v>0</v>
      </c>
      <c r="V193" s="3" t="s">
        <v>8</v>
      </c>
      <c r="W193" s="5">
        <v>182005.46</v>
      </c>
      <c r="X193" s="5">
        <v>168267.56</v>
      </c>
      <c r="Y193" s="3">
        <v>0</v>
      </c>
      <c r="Z193" s="3">
        <v>0</v>
      </c>
      <c r="AA193" s="3">
        <v>0</v>
      </c>
      <c r="AB193" s="5">
        <v>350273.02</v>
      </c>
      <c r="AD193" s="25" t="s">
        <v>1154</v>
      </c>
      <c r="AE193" s="25" t="s">
        <v>1195</v>
      </c>
      <c r="AF193" s="26">
        <v>168267.56</v>
      </c>
      <c r="AG193" s="32"/>
      <c r="AH193" s="19">
        <f>AF193</f>
        <v>168267.56</v>
      </c>
      <c r="AI193" s="3"/>
      <c r="AJ193" s="3"/>
      <c r="AK193" s="3"/>
      <c r="AL193" s="15">
        <f t="shared" si="24"/>
        <v>168267.56</v>
      </c>
      <c r="AM193" s="15">
        <f t="shared" si="25"/>
        <v>182005.46000000002</v>
      </c>
      <c r="AN193" s="53">
        <v>182005.46</v>
      </c>
      <c r="AO193" s="15">
        <f t="shared" si="26"/>
        <v>0</v>
      </c>
    </row>
    <row r="194" spans="1:42" s="43" customFormat="1" x14ac:dyDescent="0.25">
      <c r="A194" s="44">
        <v>16</v>
      </c>
      <c r="B194" s="49" t="s">
        <v>89</v>
      </c>
      <c r="C194" s="41" t="s">
        <v>1007</v>
      </c>
      <c r="D194" s="40" t="s">
        <v>90</v>
      </c>
      <c r="E194" s="40" t="s">
        <v>91</v>
      </c>
      <c r="F194" s="40" t="s">
        <v>92</v>
      </c>
      <c r="G194" s="40" t="s">
        <v>93</v>
      </c>
      <c r="H194" s="40" t="s">
        <v>14</v>
      </c>
      <c r="I194" s="40" t="s">
        <v>6</v>
      </c>
      <c r="J194" s="40" t="s">
        <v>15</v>
      </c>
      <c r="K194" s="40" t="s">
        <v>94</v>
      </c>
      <c r="L194" s="40"/>
      <c r="M194" s="40"/>
      <c r="N194" s="40"/>
      <c r="O194" s="40"/>
      <c r="P194" s="40"/>
      <c r="Q194" s="42">
        <v>46069</v>
      </c>
      <c r="R194" s="16">
        <v>189890.58</v>
      </c>
      <c r="S194" s="40">
        <v>139</v>
      </c>
      <c r="T194" s="40"/>
      <c r="U194" s="40">
        <v>0</v>
      </c>
      <c r="V194" s="40" t="s">
        <v>8</v>
      </c>
      <c r="W194" s="16">
        <v>132914.71</v>
      </c>
      <c r="X194" s="16">
        <v>237641.76</v>
      </c>
      <c r="Y194" s="40">
        <v>0</v>
      </c>
      <c r="Z194" s="40">
        <v>0</v>
      </c>
      <c r="AA194" s="40">
        <v>0</v>
      </c>
      <c r="AB194" s="16">
        <v>370556.47</v>
      </c>
      <c r="AD194" s="44" t="s">
        <v>1156</v>
      </c>
      <c r="AE194" s="44" t="s">
        <v>1190</v>
      </c>
      <c r="AF194" s="27">
        <v>37641.760000000002</v>
      </c>
      <c r="AG194" s="34">
        <f>AF195</f>
        <v>0</v>
      </c>
      <c r="AH194" s="20">
        <f>AF194</f>
        <v>37641.760000000002</v>
      </c>
      <c r="AI194" s="40"/>
      <c r="AJ194" s="40"/>
      <c r="AK194" s="40"/>
      <c r="AL194" s="17">
        <f t="shared" si="24"/>
        <v>37641.760000000002</v>
      </c>
      <c r="AM194" s="17">
        <f t="shared" si="25"/>
        <v>332914.70999999996</v>
      </c>
      <c r="AN194" s="43">
        <v>132914.71</v>
      </c>
      <c r="AO194" s="17">
        <f t="shared" si="26"/>
        <v>199999.99999999997</v>
      </c>
      <c r="AP194" s="43" t="str">
        <f>AP187</f>
        <v>not applic</v>
      </c>
    </row>
    <row r="195" spans="1:42" x14ac:dyDescent="0.25">
      <c r="A195" s="25">
        <v>145</v>
      </c>
      <c r="B195" s="39" t="s">
        <v>756</v>
      </c>
      <c r="C195" s="10"/>
      <c r="D195" s="3" t="s">
        <v>757</v>
      </c>
      <c r="E195" s="3" t="s">
        <v>758</v>
      </c>
      <c r="F195" s="3" t="s">
        <v>759</v>
      </c>
      <c r="G195" s="3" t="s">
        <v>760</v>
      </c>
      <c r="H195" s="3" t="s">
        <v>236</v>
      </c>
      <c r="I195" s="3" t="s">
        <v>6</v>
      </c>
      <c r="J195" s="3" t="s">
        <v>33</v>
      </c>
      <c r="K195" s="3" t="s">
        <v>761</v>
      </c>
      <c r="L195" s="3"/>
      <c r="M195" s="3"/>
      <c r="N195" s="3"/>
      <c r="O195" s="3">
        <v>2128</v>
      </c>
      <c r="P195" s="3"/>
      <c r="Q195" s="4">
        <v>43231</v>
      </c>
      <c r="R195" s="5">
        <v>164934.66</v>
      </c>
      <c r="S195" s="3">
        <v>1540</v>
      </c>
      <c r="T195" s="3"/>
      <c r="U195" s="3">
        <v>0</v>
      </c>
      <c r="V195" s="3" t="s">
        <v>8</v>
      </c>
      <c r="W195" s="3">
        <v>0</v>
      </c>
      <c r="X195" s="3">
        <v>0</v>
      </c>
      <c r="Y195" s="3">
        <v>0</v>
      </c>
      <c r="Z195" s="3">
        <v>0</v>
      </c>
      <c r="AA195" s="5">
        <v>492294.76</v>
      </c>
      <c r="AB195" s="5">
        <v>492294.76</v>
      </c>
      <c r="AD195" s="25"/>
      <c r="AE195" s="25"/>
      <c r="AF195" s="25"/>
      <c r="AG195" s="32"/>
      <c r="AH195" s="18"/>
      <c r="AI195" s="3"/>
      <c r="AJ195" s="3"/>
      <c r="AK195" s="5"/>
      <c r="AL195" s="15">
        <f t="shared" si="24"/>
        <v>0</v>
      </c>
      <c r="AM195" s="15">
        <f t="shared" si="25"/>
        <v>492294.76</v>
      </c>
      <c r="AO195" s="15">
        <f t="shared" si="26"/>
        <v>492294.76</v>
      </c>
      <c r="AP195" s="1" t="s">
        <v>1198</v>
      </c>
    </row>
    <row r="196" spans="1:42" x14ac:dyDescent="0.25">
      <c r="A196" s="25">
        <v>17</v>
      </c>
      <c r="B196" s="39"/>
      <c r="C196" s="10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4"/>
      <c r="R196" s="5"/>
      <c r="S196" s="3"/>
      <c r="T196" s="3"/>
      <c r="U196" s="3"/>
      <c r="V196" s="3"/>
      <c r="W196" s="5"/>
      <c r="X196" s="5"/>
      <c r="Y196" s="3"/>
      <c r="Z196" s="3"/>
      <c r="AA196" s="3"/>
      <c r="AB196" s="5"/>
      <c r="AD196" s="25" t="s">
        <v>1156</v>
      </c>
      <c r="AE196" s="25" t="s">
        <v>1190</v>
      </c>
      <c r="AF196" s="26">
        <v>200000</v>
      </c>
      <c r="AG196" s="32"/>
      <c r="AH196" s="19"/>
      <c r="AI196" s="3"/>
      <c r="AJ196" s="3"/>
      <c r="AK196" s="3"/>
      <c r="AL196" s="15"/>
      <c r="AM196" s="15"/>
      <c r="AO196" s="15"/>
    </row>
    <row r="197" spans="1:42" x14ac:dyDescent="0.25">
      <c r="A197" s="25">
        <v>78</v>
      </c>
      <c r="B197" s="39"/>
      <c r="C197" s="10"/>
      <c r="D197" s="3"/>
      <c r="E197" s="3"/>
      <c r="F197" s="6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4"/>
      <c r="R197" s="5"/>
      <c r="S197" s="3"/>
      <c r="T197" s="3"/>
      <c r="U197" s="3"/>
      <c r="V197" s="3"/>
      <c r="W197" s="5"/>
      <c r="X197" s="5"/>
      <c r="Y197" s="5"/>
      <c r="Z197" s="3"/>
      <c r="AA197" s="5"/>
      <c r="AB197" s="5"/>
      <c r="AD197" s="25" t="s">
        <v>1149</v>
      </c>
      <c r="AE197" s="25" t="s">
        <v>1189</v>
      </c>
      <c r="AF197" s="26">
        <v>36516.94</v>
      </c>
      <c r="AG197" s="32"/>
      <c r="AH197" s="19"/>
      <c r="AI197" s="5"/>
      <c r="AJ197" s="3"/>
      <c r="AK197" s="5"/>
      <c r="AL197" s="15"/>
      <c r="AM197" s="15"/>
      <c r="AO197" s="15"/>
    </row>
    <row r="198" spans="1:42" x14ac:dyDescent="0.25">
      <c r="A198" s="25">
        <v>132</v>
      </c>
      <c r="B198" s="39"/>
      <c r="C198" s="10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2"/>
      <c r="R198" s="23"/>
      <c r="S198" s="21"/>
      <c r="T198" s="21"/>
      <c r="U198" s="21"/>
      <c r="V198" s="21"/>
      <c r="W198" s="23"/>
      <c r="X198" s="5"/>
      <c r="Y198" s="3"/>
      <c r="Z198" s="3"/>
      <c r="AA198" s="3"/>
      <c r="AB198" s="5"/>
      <c r="AD198" s="25" t="s">
        <v>1165</v>
      </c>
      <c r="AE198" s="25" t="s">
        <v>1161</v>
      </c>
      <c r="AF198" s="26">
        <v>76939.83</v>
      </c>
      <c r="AG198" s="32"/>
      <c r="AH198" s="19"/>
      <c r="AI198" s="3"/>
      <c r="AJ198" s="3"/>
      <c r="AK198" s="3"/>
      <c r="AL198" s="15"/>
      <c r="AM198" s="15"/>
      <c r="AO198" s="15"/>
    </row>
    <row r="199" spans="1:42" x14ac:dyDescent="0.25">
      <c r="AB199">
        <v>5328.55</v>
      </c>
      <c r="AF199" s="36">
        <f>SUM(AF8:AF198)</f>
        <v>1481723.2900000003</v>
      </c>
    </row>
    <row r="200" spans="1:42" x14ac:dyDescent="0.25">
      <c r="B200" s="11"/>
      <c r="C200" s="11"/>
      <c r="AB200" s="15"/>
    </row>
    <row r="201" spans="1:42" x14ac:dyDescent="0.25">
      <c r="B201" s="11"/>
      <c r="C201" s="11"/>
    </row>
  </sheetData>
  <sortState xmlns:xlrd2="http://schemas.microsoft.com/office/spreadsheetml/2017/richdata2" ref="A38:AP195">
    <sortCondition ref="AO38:AO195"/>
  </sortState>
  <mergeCells count="2">
    <mergeCell ref="B5:AB6"/>
    <mergeCell ref="AG5:AK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602D-47FB-4332-A5B3-6C650F592E0A}">
  <dimension ref="A1:AQ198"/>
  <sheetViews>
    <sheetView topLeftCell="C6" zoomScale="120" zoomScaleNormal="120" workbookViewId="0">
      <pane xSplit="20" ySplit="2" topLeftCell="W8" activePane="bottomRight" state="frozen"/>
      <selection activeCell="D6" sqref="D6"/>
      <selection pane="topRight" activeCell="W6" sqref="W6"/>
      <selection pane="bottomLeft" activeCell="D8" sqref="D8"/>
      <selection pane="bottomRight" activeCell="C5" sqref="A1:XFD1048576"/>
    </sheetView>
  </sheetViews>
  <sheetFormatPr defaultRowHeight="15" x14ac:dyDescent="0.25"/>
  <cols>
    <col min="2" max="2" width="15.140625" style="12" customWidth="1"/>
    <col min="3" max="3" width="12.5703125" style="12" customWidth="1"/>
    <col min="4" max="4" width="43.5703125" customWidth="1"/>
    <col min="5" max="5" width="35" hidden="1" customWidth="1"/>
    <col min="6" max="6" width="43" hidden="1" customWidth="1"/>
    <col min="7" max="7" width="46.7109375" hidden="1" customWidth="1"/>
    <col min="8" max="8" width="17.5703125" hidden="1" customWidth="1"/>
    <col min="9" max="9" width="16.28515625" hidden="1" customWidth="1"/>
    <col min="10" max="10" width="17.42578125" hidden="1" customWidth="1"/>
    <col min="11" max="11" width="84.140625" hidden="1" customWidth="1"/>
    <col min="12" max="12" width="13.5703125" hidden="1" customWidth="1"/>
    <col min="13" max="13" width="14.28515625" hidden="1" customWidth="1"/>
    <col min="14" max="15" width="11.5703125" hidden="1" customWidth="1"/>
    <col min="16" max="16" width="16.140625" hidden="1" customWidth="1"/>
    <col min="17" max="17" width="19.7109375" hidden="1" customWidth="1"/>
    <col min="18" max="18" width="14.42578125" hidden="1" customWidth="1"/>
    <col min="19" max="19" width="17.5703125" hidden="1" customWidth="1"/>
    <col min="20" max="20" width="29.140625" hidden="1" customWidth="1"/>
    <col min="21" max="21" width="13.140625" hidden="1" customWidth="1"/>
    <col min="22" max="22" width="3" customWidth="1"/>
    <col min="23" max="24" width="11.7109375" customWidth="1"/>
    <col min="25" max="25" width="11.42578125" customWidth="1"/>
    <col min="26" max="26" width="10.140625" customWidth="1"/>
    <col min="27" max="28" width="14.28515625" customWidth="1"/>
    <col min="29" max="29" width="8.7109375" style="13" customWidth="1"/>
    <col min="30" max="30" width="13.42578125" customWidth="1"/>
    <col min="31" max="31" width="3.85546875" customWidth="1"/>
    <col min="32" max="32" width="11.140625" customWidth="1"/>
    <col min="33" max="34" width="11.7109375" customWidth="1"/>
    <col min="35" max="35" width="11.140625" customWidth="1"/>
    <col min="37" max="37" width="10.28515625" customWidth="1"/>
    <col min="38" max="38" width="11.5703125" customWidth="1"/>
    <col min="39" max="39" width="10.7109375" customWidth="1"/>
    <col min="40" max="40" width="10.85546875" customWidth="1"/>
    <col min="41" max="41" width="12.7109375" customWidth="1"/>
    <col min="42" max="42" width="9.140625" style="13"/>
    <col min="43" max="43" width="10.5703125" customWidth="1"/>
  </cols>
  <sheetData>
    <row r="1" spans="1:43" x14ac:dyDescent="0.25">
      <c r="B1" s="7" t="s">
        <v>987</v>
      </c>
      <c r="C1" s="7"/>
    </row>
    <row r="2" spans="1:43" x14ac:dyDescent="0.25">
      <c r="B2" s="7" t="s">
        <v>988</v>
      </c>
      <c r="C2" s="7"/>
    </row>
    <row r="3" spans="1:43" x14ac:dyDescent="0.25">
      <c r="B3" s="8"/>
      <c r="C3" s="8"/>
    </row>
    <row r="4" spans="1:43" ht="15.75" thickBot="1" x14ac:dyDescent="0.3">
      <c r="B4" s="8"/>
      <c r="C4" s="8"/>
    </row>
    <row r="5" spans="1:43" x14ac:dyDescent="0.25">
      <c r="B5" s="75" t="s">
        <v>1145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7"/>
      <c r="AG5" s="81" t="s">
        <v>1146</v>
      </c>
      <c r="AH5" s="82"/>
      <c r="AI5" s="82"/>
      <c r="AJ5" s="82"/>
      <c r="AK5" s="83"/>
    </row>
    <row r="6" spans="1:43" ht="15.75" thickBot="1" x14ac:dyDescent="0.3">
      <c r="B6" s="78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80"/>
      <c r="AG6" s="84"/>
      <c r="AH6" s="85"/>
      <c r="AI6" s="85"/>
      <c r="AJ6" s="85"/>
      <c r="AK6" s="86"/>
    </row>
    <row r="7" spans="1:43" s="1" customFormat="1" x14ac:dyDescent="0.25">
      <c r="B7" s="29" t="s">
        <v>994</v>
      </c>
      <c r="C7" s="29" t="s">
        <v>995</v>
      </c>
      <c r="D7" s="30" t="s">
        <v>962</v>
      </c>
      <c r="E7" s="30" t="s">
        <v>963</v>
      </c>
      <c r="F7" s="30" t="s">
        <v>964</v>
      </c>
      <c r="G7" s="30" t="s">
        <v>965</v>
      </c>
      <c r="H7" s="30" t="s">
        <v>966</v>
      </c>
      <c r="I7" s="30" t="s">
        <v>967</v>
      </c>
      <c r="J7" s="30" t="s">
        <v>968</v>
      </c>
      <c r="K7" s="30" t="s">
        <v>969</v>
      </c>
      <c r="L7" s="30" t="s">
        <v>970</v>
      </c>
      <c r="M7" s="30" t="s">
        <v>971</v>
      </c>
      <c r="N7" s="30" t="s">
        <v>972</v>
      </c>
      <c r="O7" s="30" t="s">
        <v>973</v>
      </c>
      <c r="P7" s="30" t="s">
        <v>974</v>
      </c>
      <c r="Q7" s="30" t="s">
        <v>975</v>
      </c>
      <c r="R7" s="30" t="s">
        <v>976</v>
      </c>
      <c r="S7" s="30" t="s">
        <v>977</v>
      </c>
      <c r="T7" s="30" t="s">
        <v>978</v>
      </c>
      <c r="U7" s="30" t="s">
        <v>979</v>
      </c>
      <c r="V7" s="30" t="s">
        <v>980</v>
      </c>
      <c r="W7" s="30" t="s">
        <v>981</v>
      </c>
      <c r="X7" s="30" t="s">
        <v>982</v>
      </c>
      <c r="Y7" s="30" t="s">
        <v>983</v>
      </c>
      <c r="Z7" s="30" t="s">
        <v>984</v>
      </c>
      <c r="AA7" s="30" t="s">
        <v>985</v>
      </c>
      <c r="AB7" s="30" t="s">
        <v>986</v>
      </c>
      <c r="AC7" s="14"/>
      <c r="AD7" s="35" t="s">
        <v>1139</v>
      </c>
      <c r="AE7" s="35"/>
      <c r="AF7" s="35" t="s">
        <v>1138</v>
      </c>
      <c r="AG7" s="31" t="s">
        <v>981</v>
      </c>
      <c r="AH7" s="30" t="s">
        <v>982</v>
      </c>
      <c r="AI7" s="30" t="s">
        <v>983</v>
      </c>
      <c r="AJ7" s="30" t="s">
        <v>984</v>
      </c>
      <c r="AK7" s="30" t="s">
        <v>985</v>
      </c>
      <c r="AL7" s="1" t="s">
        <v>1142</v>
      </c>
      <c r="AM7" s="1" t="s">
        <v>1140</v>
      </c>
      <c r="AN7" s="1" t="s">
        <v>1141</v>
      </c>
      <c r="AO7" s="1" t="s">
        <v>1143</v>
      </c>
      <c r="AP7" s="14"/>
    </row>
    <row r="8" spans="1:43" x14ac:dyDescent="0.25">
      <c r="A8">
        <v>1</v>
      </c>
      <c r="B8" s="10" t="s">
        <v>0</v>
      </c>
      <c r="C8" s="10" t="s">
        <v>1272</v>
      </c>
      <c r="D8" s="3" t="s">
        <v>1</v>
      </c>
      <c r="E8" s="3" t="s">
        <v>2</v>
      </c>
      <c r="F8" s="3" t="s">
        <v>3</v>
      </c>
      <c r="G8" s="3" t="s">
        <v>4</v>
      </c>
      <c r="H8" s="3" t="s">
        <v>5</v>
      </c>
      <c r="I8" s="3" t="s">
        <v>6</v>
      </c>
      <c r="J8" s="3"/>
      <c r="K8" s="3" t="s">
        <v>7</v>
      </c>
      <c r="L8" s="3"/>
      <c r="M8" s="3"/>
      <c r="N8" s="3"/>
      <c r="O8" s="3">
        <v>1609</v>
      </c>
      <c r="P8" s="3"/>
      <c r="Q8" s="4">
        <v>45472</v>
      </c>
      <c r="R8" s="5">
        <v>113.85</v>
      </c>
      <c r="S8" s="3">
        <v>2500</v>
      </c>
      <c r="T8" s="3"/>
      <c r="U8" s="3">
        <v>0</v>
      </c>
      <c r="V8" s="3" t="s">
        <v>8</v>
      </c>
      <c r="W8" s="3">
        <v>0</v>
      </c>
      <c r="X8" s="3">
        <v>0</v>
      </c>
      <c r="Y8" s="3">
        <v>0</v>
      </c>
      <c r="Z8" s="3">
        <v>0</v>
      </c>
      <c r="AA8" s="5">
        <v>0</v>
      </c>
      <c r="AB8" s="5">
        <v>0</v>
      </c>
      <c r="AD8" s="25"/>
      <c r="AE8" s="25"/>
      <c r="AF8" s="25"/>
      <c r="AG8" s="32"/>
      <c r="AH8" s="18"/>
      <c r="AI8" s="3"/>
      <c r="AJ8" s="3"/>
      <c r="AK8" s="5"/>
      <c r="AL8" s="15">
        <f t="shared" ref="AL8:AL71" si="0">AH8+AI8+AJ8+AK8+AG8</f>
        <v>0</v>
      </c>
      <c r="AM8" s="15">
        <f>AB8-AL8</f>
        <v>0</v>
      </c>
      <c r="AN8">
        <v>0</v>
      </c>
      <c r="AO8" s="15">
        <f t="shared" ref="AO8:AO71" si="1">AM8-AN8</f>
        <v>0</v>
      </c>
      <c r="AQ8" s="15">
        <f t="shared" ref="AQ8:AQ71" si="2">AL8-AF8</f>
        <v>0</v>
      </c>
    </row>
    <row r="9" spans="1:43" x14ac:dyDescent="0.25">
      <c r="A9">
        <v>2</v>
      </c>
      <c r="B9" s="10" t="s">
        <v>9</v>
      </c>
      <c r="C9" s="10" t="s">
        <v>997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6</v>
      </c>
      <c r="J9" s="3" t="s">
        <v>15</v>
      </c>
      <c r="K9" s="3" t="s">
        <v>16</v>
      </c>
      <c r="L9" s="3"/>
      <c r="M9" s="3"/>
      <c r="N9" s="3"/>
      <c r="O9" s="3">
        <v>1411</v>
      </c>
      <c r="P9" s="3"/>
      <c r="Q9" s="4">
        <v>46081</v>
      </c>
      <c r="R9" s="5">
        <v>836.65</v>
      </c>
      <c r="S9" s="3">
        <v>148</v>
      </c>
      <c r="T9" s="3"/>
      <c r="U9" s="3">
        <v>0</v>
      </c>
      <c r="V9" s="3" t="s">
        <v>8</v>
      </c>
      <c r="W9" s="5">
        <v>836.65</v>
      </c>
      <c r="X9" s="3">
        <v>0</v>
      </c>
      <c r="Y9" s="3">
        <v>0</v>
      </c>
      <c r="Z9" s="3">
        <v>0</v>
      </c>
      <c r="AA9" s="3">
        <v>0</v>
      </c>
      <c r="AB9" s="5">
        <v>836.65</v>
      </c>
      <c r="AD9" s="25"/>
      <c r="AE9" s="25"/>
      <c r="AF9" s="25"/>
      <c r="AG9" s="32"/>
      <c r="AH9" s="18"/>
      <c r="AI9" s="3"/>
      <c r="AJ9" s="3"/>
      <c r="AK9" s="3"/>
      <c r="AL9" s="15">
        <f t="shared" si="0"/>
        <v>0</v>
      </c>
      <c r="AM9" s="15">
        <f t="shared" ref="AM9:AM72" si="3">AB9-AL9</f>
        <v>836.65</v>
      </c>
      <c r="AN9">
        <v>836.65</v>
      </c>
      <c r="AO9" s="15">
        <f t="shared" si="1"/>
        <v>0</v>
      </c>
      <c r="AQ9" s="15">
        <f t="shared" si="2"/>
        <v>0</v>
      </c>
    </row>
    <row r="10" spans="1:43" x14ac:dyDescent="0.25">
      <c r="A10">
        <v>3</v>
      </c>
      <c r="B10" s="10" t="s">
        <v>17</v>
      </c>
      <c r="C10" s="87" t="s">
        <v>1272</v>
      </c>
      <c r="D10" s="3" t="s">
        <v>18</v>
      </c>
      <c r="E10" s="3" t="s">
        <v>19</v>
      </c>
      <c r="F10" s="3"/>
      <c r="G10" s="3" t="s">
        <v>20</v>
      </c>
      <c r="H10" s="3" t="s">
        <v>14</v>
      </c>
      <c r="I10" s="3" t="s">
        <v>6</v>
      </c>
      <c r="J10" s="3"/>
      <c r="K10" s="3" t="s">
        <v>21</v>
      </c>
      <c r="L10" s="3"/>
      <c r="M10" s="3"/>
      <c r="N10" s="3" t="s">
        <v>22</v>
      </c>
      <c r="O10" s="3"/>
      <c r="P10" s="3"/>
      <c r="Q10" s="3"/>
      <c r="R10" s="3">
        <v>0</v>
      </c>
      <c r="S10" s="3">
        <v>50</v>
      </c>
      <c r="T10" s="3"/>
      <c r="U10" s="3">
        <v>0</v>
      </c>
      <c r="V10" s="3" t="s">
        <v>8</v>
      </c>
      <c r="W10" s="5">
        <v>7631.26</v>
      </c>
      <c r="X10" s="3">
        <v>0</v>
      </c>
      <c r="Y10" s="3">
        <v>0</v>
      </c>
      <c r="Z10" s="3">
        <v>0</v>
      </c>
      <c r="AA10" s="3">
        <v>0</v>
      </c>
      <c r="AB10" s="5">
        <v>7631.26</v>
      </c>
      <c r="AD10" s="25"/>
      <c r="AE10" s="25"/>
      <c r="AF10" s="25"/>
      <c r="AG10" s="32"/>
      <c r="AH10" s="18"/>
      <c r="AI10" s="3"/>
      <c r="AJ10" s="3"/>
      <c r="AK10" s="3"/>
      <c r="AL10" s="15">
        <f t="shared" si="0"/>
        <v>0</v>
      </c>
      <c r="AM10" s="15">
        <f t="shared" si="3"/>
        <v>7631.26</v>
      </c>
      <c r="AN10">
        <v>7631.26</v>
      </c>
      <c r="AO10" s="15">
        <f t="shared" si="1"/>
        <v>0</v>
      </c>
      <c r="AQ10" s="15">
        <f t="shared" si="2"/>
        <v>0</v>
      </c>
    </row>
    <row r="11" spans="1:43" x14ac:dyDescent="0.25">
      <c r="A11">
        <v>4</v>
      </c>
      <c r="B11" s="10">
        <v>1132</v>
      </c>
      <c r="C11" s="10" t="s">
        <v>996</v>
      </c>
      <c r="D11" s="3" t="s">
        <v>23</v>
      </c>
      <c r="E11" s="3" t="s">
        <v>23</v>
      </c>
      <c r="F11" s="3" t="s">
        <v>24</v>
      </c>
      <c r="G11" s="3" t="s">
        <v>25</v>
      </c>
      <c r="H11" s="3" t="s">
        <v>14</v>
      </c>
      <c r="I11" s="3" t="s">
        <v>6</v>
      </c>
      <c r="J11" s="3" t="s">
        <v>15</v>
      </c>
      <c r="K11" s="3" t="s">
        <v>26</v>
      </c>
      <c r="L11" s="3"/>
      <c r="M11" s="3"/>
      <c r="N11" s="3" t="s">
        <v>22</v>
      </c>
      <c r="O11" s="6" t="s">
        <v>27</v>
      </c>
      <c r="P11" s="3"/>
      <c r="Q11" s="4">
        <v>46081</v>
      </c>
      <c r="R11" s="5">
        <v>129.11000000000001</v>
      </c>
      <c r="S11" s="3">
        <v>39</v>
      </c>
      <c r="T11" s="3"/>
      <c r="U11" s="3">
        <v>0</v>
      </c>
      <c r="V11" s="3" t="s">
        <v>8</v>
      </c>
      <c r="W11" s="5">
        <v>545.41</v>
      </c>
      <c r="X11" s="3">
        <v>0</v>
      </c>
      <c r="Y11" s="3">
        <v>0</v>
      </c>
      <c r="Z11" s="3">
        <v>0</v>
      </c>
      <c r="AA11" s="3">
        <v>0</v>
      </c>
      <c r="AB11" s="5">
        <v>545.41</v>
      </c>
      <c r="AD11" s="25"/>
      <c r="AE11" s="25"/>
      <c r="AF11" s="25"/>
      <c r="AG11" s="32"/>
      <c r="AH11" s="18"/>
      <c r="AI11" s="3"/>
      <c r="AJ11" s="3"/>
      <c r="AK11" s="3"/>
      <c r="AL11" s="15">
        <f t="shared" si="0"/>
        <v>0</v>
      </c>
      <c r="AM11" s="15">
        <f t="shared" si="3"/>
        <v>545.41</v>
      </c>
      <c r="AN11">
        <v>545.41</v>
      </c>
      <c r="AO11" s="15">
        <f t="shared" si="1"/>
        <v>0</v>
      </c>
      <c r="AQ11" s="15">
        <f t="shared" si="2"/>
        <v>0</v>
      </c>
    </row>
    <row r="12" spans="1:43" x14ac:dyDescent="0.25">
      <c r="A12">
        <v>5</v>
      </c>
      <c r="B12" s="10" t="s">
        <v>28</v>
      </c>
      <c r="C12" s="10" t="s">
        <v>998</v>
      </c>
      <c r="D12" s="3" t="s">
        <v>29</v>
      </c>
      <c r="E12" s="3" t="s">
        <v>30</v>
      </c>
      <c r="F12" s="3" t="s">
        <v>31</v>
      </c>
      <c r="G12" s="3" t="s">
        <v>32</v>
      </c>
      <c r="H12" s="3" t="s">
        <v>14</v>
      </c>
      <c r="I12" s="3" t="s">
        <v>6</v>
      </c>
      <c r="J12" s="3" t="s">
        <v>33</v>
      </c>
      <c r="K12" s="3" t="s">
        <v>34</v>
      </c>
      <c r="L12" s="3"/>
      <c r="M12" s="3"/>
      <c r="N12" s="3"/>
      <c r="O12" s="3">
        <v>2042</v>
      </c>
      <c r="P12" s="3"/>
      <c r="Q12" s="4">
        <v>46078</v>
      </c>
      <c r="R12" s="5">
        <v>11807.2</v>
      </c>
      <c r="S12" s="3">
        <v>153</v>
      </c>
      <c r="T12" s="3"/>
      <c r="U12" s="3">
        <v>0</v>
      </c>
      <c r="V12" s="3" t="s">
        <v>8</v>
      </c>
      <c r="W12" s="5">
        <v>11807.1</v>
      </c>
      <c r="X12" s="3">
        <v>0</v>
      </c>
      <c r="Y12" s="3">
        <v>0</v>
      </c>
      <c r="Z12" s="3">
        <v>0</v>
      </c>
      <c r="AA12" s="3">
        <v>0</v>
      </c>
      <c r="AB12" s="5">
        <v>11807.1</v>
      </c>
      <c r="AD12" s="25" t="s">
        <v>1163</v>
      </c>
      <c r="AE12" s="25" t="s">
        <v>1173</v>
      </c>
      <c r="AF12" s="26">
        <v>11807.1</v>
      </c>
      <c r="AG12" s="33">
        <f>AF12</f>
        <v>11807.1</v>
      </c>
      <c r="AH12" s="18"/>
      <c r="AI12" s="3"/>
      <c r="AJ12" s="3"/>
      <c r="AK12" s="3"/>
      <c r="AL12" s="15">
        <f t="shared" si="0"/>
        <v>11807.1</v>
      </c>
      <c r="AM12" s="15">
        <f t="shared" si="3"/>
        <v>0</v>
      </c>
      <c r="AN12">
        <v>0</v>
      </c>
      <c r="AO12" s="15">
        <f t="shared" si="1"/>
        <v>0</v>
      </c>
      <c r="AQ12" s="15">
        <f t="shared" si="2"/>
        <v>0</v>
      </c>
    </row>
    <row r="13" spans="1:43" x14ac:dyDescent="0.25">
      <c r="A13">
        <v>6</v>
      </c>
      <c r="B13" s="10">
        <v>1084</v>
      </c>
      <c r="C13" s="10" t="s">
        <v>999</v>
      </c>
      <c r="D13" s="3" t="s">
        <v>35</v>
      </c>
      <c r="E13" s="3" t="s">
        <v>36</v>
      </c>
      <c r="F13" s="3" t="s">
        <v>37</v>
      </c>
      <c r="G13" s="3" t="s">
        <v>38</v>
      </c>
      <c r="H13" s="3" t="s">
        <v>14</v>
      </c>
      <c r="I13" s="3" t="s">
        <v>6</v>
      </c>
      <c r="J13" s="3" t="s">
        <v>15</v>
      </c>
      <c r="K13" s="3" t="s">
        <v>39</v>
      </c>
      <c r="L13" s="3"/>
      <c r="M13" s="3"/>
      <c r="N13" s="3" t="s">
        <v>22</v>
      </c>
      <c r="O13" s="3"/>
      <c r="P13" s="3"/>
      <c r="Q13" s="4">
        <v>46081</v>
      </c>
      <c r="R13" s="5">
        <v>641.70000000000005</v>
      </c>
      <c r="S13" s="3">
        <v>41</v>
      </c>
      <c r="T13" s="3"/>
      <c r="U13" s="3">
        <v>0</v>
      </c>
      <c r="V13" s="3" t="s">
        <v>8</v>
      </c>
      <c r="W13" s="5">
        <v>641.70000000000005</v>
      </c>
      <c r="X13" s="3">
        <v>0</v>
      </c>
      <c r="Y13" s="3">
        <v>0</v>
      </c>
      <c r="Z13" s="3">
        <v>0</v>
      </c>
      <c r="AA13" s="3">
        <v>0</v>
      </c>
      <c r="AB13" s="5">
        <v>641.70000000000005</v>
      </c>
      <c r="AD13" s="25" t="s">
        <v>1201</v>
      </c>
      <c r="AE13" s="25" t="s">
        <v>35</v>
      </c>
      <c r="AF13" s="26">
        <v>641.70000000000005</v>
      </c>
      <c r="AG13" s="33">
        <f>AF13</f>
        <v>641.70000000000005</v>
      </c>
      <c r="AH13" s="18"/>
      <c r="AI13" s="3"/>
      <c r="AJ13" s="3"/>
      <c r="AK13" s="3"/>
      <c r="AL13" s="15">
        <f t="shared" si="0"/>
        <v>641.70000000000005</v>
      </c>
      <c r="AM13" s="15">
        <f t="shared" si="3"/>
        <v>0</v>
      </c>
      <c r="AN13">
        <v>0</v>
      </c>
      <c r="AO13" s="15">
        <f t="shared" si="1"/>
        <v>0</v>
      </c>
      <c r="AQ13" s="15">
        <f t="shared" si="2"/>
        <v>0</v>
      </c>
    </row>
    <row r="14" spans="1:43" x14ac:dyDescent="0.25">
      <c r="A14">
        <v>7</v>
      </c>
      <c r="B14" s="10" t="s">
        <v>40</v>
      </c>
      <c r="C14" s="10" t="s">
        <v>1000</v>
      </c>
      <c r="D14" s="3" t="s">
        <v>41</v>
      </c>
      <c r="E14" s="3" t="s">
        <v>41</v>
      </c>
      <c r="F14" s="3" t="s">
        <v>42</v>
      </c>
      <c r="G14" s="3" t="s">
        <v>43</v>
      </c>
      <c r="H14" s="3" t="s">
        <v>14</v>
      </c>
      <c r="I14" s="3" t="s">
        <v>6</v>
      </c>
      <c r="J14" s="3"/>
      <c r="K14" s="3" t="s">
        <v>44</v>
      </c>
      <c r="L14" s="3"/>
      <c r="M14" s="3"/>
      <c r="N14" s="3" t="s">
        <v>22</v>
      </c>
      <c r="O14" s="3"/>
      <c r="P14" s="3"/>
      <c r="Q14" s="4">
        <v>46081</v>
      </c>
      <c r="R14" s="5">
        <v>255.51</v>
      </c>
      <c r="S14" s="3">
        <v>126</v>
      </c>
      <c r="T14" s="3"/>
      <c r="U14" s="3">
        <v>0</v>
      </c>
      <c r="V14" s="3" t="s">
        <v>8</v>
      </c>
      <c r="W14" s="5">
        <v>255.51</v>
      </c>
      <c r="X14" s="3">
        <v>0</v>
      </c>
      <c r="Y14" s="3">
        <v>0</v>
      </c>
      <c r="Z14" s="3">
        <v>0</v>
      </c>
      <c r="AA14" s="3">
        <v>0</v>
      </c>
      <c r="AB14" s="5">
        <v>255.51</v>
      </c>
      <c r="AD14" s="25"/>
      <c r="AE14" s="25"/>
      <c r="AF14" s="25"/>
      <c r="AG14" s="32"/>
      <c r="AH14" s="18"/>
      <c r="AI14" s="3"/>
      <c r="AJ14" s="3"/>
      <c r="AK14" s="3"/>
      <c r="AL14" s="15">
        <f t="shared" si="0"/>
        <v>0</v>
      </c>
      <c r="AM14" s="15">
        <f t="shared" si="3"/>
        <v>255.51</v>
      </c>
      <c r="AN14">
        <v>255.51</v>
      </c>
      <c r="AO14" s="15">
        <f t="shared" si="1"/>
        <v>0</v>
      </c>
      <c r="AQ14" s="15">
        <f t="shared" si="2"/>
        <v>0</v>
      </c>
    </row>
    <row r="15" spans="1:43" x14ac:dyDescent="0.25">
      <c r="A15">
        <v>8</v>
      </c>
      <c r="B15" s="10" t="s">
        <v>45</v>
      </c>
      <c r="C15" s="10" t="s">
        <v>1001</v>
      </c>
      <c r="D15" s="3" t="s">
        <v>46</v>
      </c>
      <c r="E15" s="3" t="s">
        <v>47</v>
      </c>
      <c r="F15" s="3" t="s">
        <v>48</v>
      </c>
      <c r="G15" s="3" t="s">
        <v>49</v>
      </c>
      <c r="H15" s="3" t="s">
        <v>14</v>
      </c>
      <c r="I15" s="3" t="s">
        <v>6</v>
      </c>
      <c r="J15" s="3" t="s">
        <v>15</v>
      </c>
      <c r="K15" s="3" t="s">
        <v>50</v>
      </c>
      <c r="L15" s="3"/>
      <c r="M15" s="3"/>
      <c r="N15" s="3"/>
      <c r="O15" s="3">
        <v>1459</v>
      </c>
      <c r="P15" s="3"/>
      <c r="Q15" s="4">
        <v>46081</v>
      </c>
      <c r="R15" s="5">
        <v>321.32</v>
      </c>
      <c r="S15" s="3">
        <v>40</v>
      </c>
      <c r="T15" s="3"/>
      <c r="U15" s="3">
        <v>0</v>
      </c>
      <c r="V15" s="3" t="s">
        <v>8</v>
      </c>
      <c r="W15" s="5">
        <v>321.32</v>
      </c>
      <c r="X15" s="3">
        <v>0</v>
      </c>
      <c r="Y15" s="3">
        <v>0</v>
      </c>
      <c r="Z15" s="3">
        <v>0</v>
      </c>
      <c r="AA15" s="3">
        <v>0</v>
      </c>
      <c r="AB15" s="5">
        <v>321.32</v>
      </c>
      <c r="AD15" s="25" t="s">
        <v>1201</v>
      </c>
      <c r="AE15" s="25" t="s">
        <v>1244</v>
      </c>
      <c r="AF15" s="26">
        <v>321.32</v>
      </c>
      <c r="AG15" s="33">
        <f>AF15</f>
        <v>321.32</v>
      </c>
      <c r="AH15" s="18"/>
      <c r="AI15" s="3"/>
      <c r="AJ15" s="3"/>
      <c r="AK15" s="3"/>
      <c r="AL15" s="15">
        <f t="shared" si="0"/>
        <v>321.32</v>
      </c>
      <c r="AM15" s="15">
        <f t="shared" si="3"/>
        <v>0</v>
      </c>
      <c r="AN15" s="15">
        <f>AM15</f>
        <v>0</v>
      </c>
      <c r="AO15" s="15">
        <f t="shared" si="1"/>
        <v>0</v>
      </c>
      <c r="AQ15" s="15">
        <f t="shared" si="2"/>
        <v>0</v>
      </c>
    </row>
    <row r="16" spans="1:43" x14ac:dyDescent="0.25">
      <c r="A16">
        <v>9</v>
      </c>
      <c r="B16" s="10" t="s">
        <v>51</v>
      </c>
      <c r="C16" s="10" t="s">
        <v>1002</v>
      </c>
      <c r="D16" s="3" t="s">
        <v>52</v>
      </c>
      <c r="E16" s="3" t="s">
        <v>53</v>
      </c>
      <c r="F16" s="3" t="s">
        <v>54</v>
      </c>
      <c r="G16" s="3" t="s">
        <v>55</v>
      </c>
      <c r="H16" s="3" t="s">
        <v>14</v>
      </c>
      <c r="I16" s="3" t="s">
        <v>6</v>
      </c>
      <c r="J16" s="3" t="s">
        <v>15</v>
      </c>
      <c r="K16" s="3" t="s">
        <v>56</v>
      </c>
      <c r="L16" s="3"/>
      <c r="M16" s="3"/>
      <c r="N16" s="3"/>
      <c r="O16" s="3">
        <v>1620</v>
      </c>
      <c r="P16" s="3"/>
      <c r="Q16" s="4">
        <v>46067</v>
      </c>
      <c r="R16" s="5">
        <v>11962.51</v>
      </c>
      <c r="S16" s="3">
        <v>203</v>
      </c>
      <c r="T16" s="3"/>
      <c r="U16" s="3">
        <v>0</v>
      </c>
      <c r="V16" s="3" t="s">
        <v>8</v>
      </c>
      <c r="W16" s="5">
        <v>11962.51</v>
      </c>
      <c r="X16" s="5">
        <v>11962.51</v>
      </c>
      <c r="Y16" s="3">
        <v>0</v>
      </c>
      <c r="Z16" s="3">
        <v>0</v>
      </c>
      <c r="AA16" s="3">
        <v>0</v>
      </c>
      <c r="AB16" s="5">
        <v>23925.02</v>
      </c>
      <c r="AD16" s="25" t="s">
        <v>1164</v>
      </c>
      <c r="AE16" s="25" t="s">
        <v>1174</v>
      </c>
      <c r="AF16" s="26">
        <v>11962.51</v>
      </c>
      <c r="AG16" s="32"/>
      <c r="AH16" s="19">
        <f>AF16</f>
        <v>11962.51</v>
      </c>
      <c r="AI16" s="3"/>
      <c r="AJ16" s="3"/>
      <c r="AK16" s="3"/>
      <c r="AL16" s="15">
        <f t="shared" si="0"/>
        <v>11962.51</v>
      </c>
      <c r="AM16" s="15">
        <f t="shared" si="3"/>
        <v>11962.51</v>
      </c>
      <c r="AN16">
        <v>11962.51</v>
      </c>
      <c r="AO16" s="15">
        <f t="shared" si="1"/>
        <v>0</v>
      </c>
      <c r="AQ16" s="15">
        <f t="shared" si="2"/>
        <v>0</v>
      </c>
    </row>
    <row r="17" spans="1:43" x14ac:dyDescent="0.25">
      <c r="A17">
        <v>10</v>
      </c>
      <c r="B17" s="10" t="s">
        <v>57</v>
      </c>
      <c r="C17" s="10" t="s">
        <v>1003</v>
      </c>
      <c r="D17" s="3" t="s">
        <v>58</v>
      </c>
      <c r="E17" s="3" t="s">
        <v>59</v>
      </c>
      <c r="F17" s="3" t="s">
        <v>60</v>
      </c>
      <c r="G17" s="3" t="s">
        <v>61</v>
      </c>
      <c r="H17" s="3" t="s">
        <v>14</v>
      </c>
      <c r="I17" s="3" t="s">
        <v>6</v>
      </c>
      <c r="J17" s="3"/>
      <c r="K17" s="3" t="s">
        <v>62</v>
      </c>
      <c r="L17" s="3"/>
      <c r="M17" s="3"/>
      <c r="N17" s="3"/>
      <c r="O17" s="3">
        <v>1457</v>
      </c>
      <c r="P17" s="3"/>
      <c r="Q17" s="4">
        <v>46071</v>
      </c>
      <c r="R17" s="5">
        <v>40250</v>
      </c>
      <c r="S17" s="3">
        <v>253</v>
      </c>
      <c r="T17" s="3" t="s">
        <v>63</v>
      </c>
      <c r="U17" s="3">
        <v>0</v>
      </c>
      <c r="V17" s="3" t="s">
        <v>8</v>
      </c>
      <c r="W17" s="5">
        <v>73466.600000000006</v>
      </c>
      <c r="X17" s="5">
        <v>73466.600000000006</v>
      </c>
      <c r="Y17" s="3">
        <v>0</v>
      </c>
      <c r="Z17" s="3">
        <v>0</v>
      </c>
      <c r="AA17" s="3">
        <v>0</v>
      </c>
      <c r="AB17" s="5">
        <v>146933.20000000001</v>
      </c>
      <c r="AD17" s="25" t="s">
        <v>1147</v>
      </c>
      <c r="AE17" s="25" t="s">
        <v>57</v>
      </c>
      <c r="AF17" s="26">
        <v>73466.600000000006</v>
      </c>
      <c r="AG17" s="32"/>
      <c r="AH17" s="19">
        <f>AF17</f>
        <v>73466.600000000006</v>
      </c>
      <c r="AI17" s="3"/>
      <c r="AJ17" s="3"/>
      <c r="AK17" s="3"/>
      <c r="AL17" s="15">
        <f t="shared" si="0"/>
        <v>73466.600000000006</v>
      </c>
      <c r="AM17" s="15">
        <f t="shared" si="3"/>
        <v>73466.600000000006</v>
      </c>
      <c r="AN17">
        <v>73466.600000000006</v>
      </c>
      <c r="AO17" s="15">
        <f t="shared" si="1"/>
        <v>0</v>
      </c>
      <c r="AQ17" s="15">
        <f t="shared" si="2"/>
        <v>0</v>
      </c>
    </row>
    <row r="18" spans="1:43" x14ac:dyDescent="0.25">
      <c r="A18">
        <v>11</v>
      </c>
      <c r="B18" s="10" t="s">
        <v>64</v>
      </c>
      <c r="C18" s="10" t="s">
        <v>1004</v>
      </c>
      <c r="D18" s="3" t="s">
        <v>65</v>
      </c>
      <c r="E18" s="3" t="s">
        <v>66</v>
      </c>
      <c r="F18" s="3"/>
      <c r="G18" s="3" t="s">
        <v>67</v>
      </c>
      <c r="H18" s="3" t="s">
        <v>14</v>
      </c>
      <c r="I18" s="3" t="s">
        <v>6</v>
      </c>
      <c r="J18" s="3"/>
      <c r="K18" s="3" t="s">
        <v>68</v>
      </c>
      <c r="L18" s="3"/>
      <c r="M18" s="3" t="s">
        <v>69</v>
      </c>
      <c r="N18" s="3" t="s">
        <v>22</v>
      </c>
      <c r="O18" s="3"/>
      <c r="P18" s="3"/>
      <c r="Q18" s="4">
        <v>46081</v>
      </c>
      <c r="R18" s="5">
        <v>284.67</v>
      </c>
      <c r="S18" s="3">
        <v>41</v>
      </c>
      <c r="T18" s="3"/>
      <c r="U18" s="3">
        <v>0</v>
      </c>
      <c r="V18" s="3" t="s">
        <v>8</v>
      </c>
      <c r="W18" s="5">
        <v>284.67</v>
      </c>
      <c r="X18" s="3">
        <v>0</v>
      </c>
      <c r="Y18" s="3">
        <v>0</v>
      </c>
      <c r="Z18" s="3">
        <v>0</v>
      </c>
      <c r="AA18" s="3">
        <v>0</v>
      </c>
      <c r="AB18" s="5">
        <v>284.67</v>
      </c>
      <c r="AD18" s="25"/>
      <c r="AE18" s="25"/>
      <c r="AF18" s="25"/>
      <c r="AG18" s="32"/>
      <c r="AH18" s="18"/>
      <c r="AI18" s="3"/>
      <c r="AJ18" s="3"/>
      <c r="AK18" s="3"/>
      <c r="AL18" s="15">
        <f t="shared" si="0"/>
        <v>0</v>
      </c>
      <c r="AM18" s="15">
        <f t="shared" si="3"/>
        <v>284.67</v>
      </c>
      <c r="AN18" s="15">
        <v>284.67</v>
      </c>
      <c r="AO18" s="15">
        <f t="shared" si="1"/>
        <v>0</v>
      </c>
      <c r="AQ18" s="15">
        <f t="shared" si="2"/>
        <v>0</v>
      </c>
    </row>
    <row r="19" spans="1:43" x14ac:dyDescent="0.25">
      <c r="A19">
        <v>12</v>
      </c>
      <c r="B19" s="10" t="s">
        <v>70</v>
      </c>
      <c r="C19" s="10" t="s">
        <v>1272</v>
      </c>
      <c r="D19" s="3" t="s">
        <v>71</v>
      </c>
      <c r="E19" s="3" t="s">
        <v>72</v>
      </c>
      <c r="F19" s="3" t="s">
        <v>73</v>
      </c>
      <c r="G19" s="3" t="s">
        <v>74</v>
      </c>
      <c r="H19" s="3" t="s">
        <v>14</v>
      </c>
      <c r="I19" s="3" t="s">
        <v>6</v>
      </c>
      <c r="J19" s="3" t="s">
        <v>15</v>
      </c>
      <c r="K19" s="3" t="s">
        <v>75</v>
      </c>
      <c r="L19" s="3" t="s">
        <v>76</v>
      </c>
      <c r="M19" s="3" t="s">
        <v>69</v>
      </c>
      <c r="N19" s="3" t="s">
        <v>22</v>
      </c>
      <c r="O19" s="3">
        <v>2094</v>
      </c>
      <c r="P19" s="3"/>
      <c r="Q19" s="4">
        <v>46079</v>
      </c>
      <c r="R19" s="5">
        <v>147.16999999999999</v>
      </c>
      <c r="S19" s="3">
        <v>39</v>
      </c>
      <c r="T19" s="3"/>
      <c r="U19" s="3">
        <v>0</v>
      </c>
      <c r="V19" s="3" t="s">
        <v>8</v>
      </c>
      <c r="W19" s="5">
        <v>147.16999999999999</v>
      </c>
      <c r="X19" s="3">
        <v>0</v>
      </c>
      <c r="Y19" s="3">
        <v>0</v>
      </c>
      <c r="Z19" s="3">
        <v>0</v>
      </c>
      <c r="AA19" s="3">
        <v>0</v>
      </c>
      <c r="AB19" s="5">
        <v>147.16999999999999</v>
      </c>
      <c r="AD19" s="25"/>
      <c r="AE19" s="25"/>
      <c r="AF19" s="25"/>
      <c r="AG19" s="32"/>
      <c r="AH19" s="18"/>
      <c r="AI19" s="3"/>
      <c r="AJ19" s="3"/>
      <c r="AK19" s="3"/>
      <c r="AL19" s="15">
        <f t="shared" si="0"/>
        <v>0</v>
      </c>
      <c r="AM19" s="15">
        <f t="shared" si="3"/>
        <v>147.16999999999999</v>
      </c>
      <c r="AN19" s="15">
        <f>AM19</f>
        <v>147.16999999999999</v>
      </c>
      <c r="AO19" s="15">
        <f t="shared" si="1"/>
        <v>0</v>
      </c>
      <c r="AQ19" s="15">
        <f t="shared" si="2"/>
        <v>0</v>
      </c>
    </row>
    <row r="20" spans="1:43" x14ac:dyDescent="0.25">
      <c r="A20">
        <v>13</v>
      </c>
      <c r="B20" s="10" t="s">
        <v>77</v>
      </c>
      <c r="C20" s="10" t="s">
        <v>1005</v>
      </c>
      <c r="D20" s="3" t="s">
        <v>78</v>
      </c>
      <c r="E20" s="3" t="s">
        <v>79</v>
      </c>
      <c r="F20" s="3" t="s">
        <v>80</v>
      </c>
      <c r="G20" s="3" t="s">
        <v>81</v>
      </c>
      <c r="H20" s="3" t="s">
        <v>82</v>
      </c>
      <c r="I20" s="3" t="s">
        <v>6</v>
      </c>
      <c r="J20" s="3" t="s">
        <v>15</v>
      </c>
      <c r="K20" s="3" t="s">
        <v>83</v>
      </c>
      <c r="L20" s="3"/>
      <c r="M20" s="3"/>
      <c r="N20" s="3"/>
      <c r="O20" s="3">
        <v>2066</v>
      </c>
      <c r="P20" s="3"/>
      <c r="Q20" s="4">
        <v>45169</v>
      </c>
      <c r="R20" s="5">
        <v>342.26</v>
      </c>
      <c r="S20" s="3">
        <v>217</v>
      </c>
      <c r="T20" s="3"/>
      <c r="U20" s="3">
        <v>0</v>
      </c>
      <c r="V20" s="3" t="s">
        <v>8</v>
      </c>
      <c r="W20" s="3">
        <v>0</v>
      </c>
      <c r="X20" s="3">
        <v>0</v>
      </c>
      <c r="Y20" s="3">
        <v>0</v>
      </c>
      <c r="Z20" s="3">
        <v>0</v>
      </c>
      <c r="AA20" s="5">
        <v>0</v>
      </c>
      <c r="AB20" s="5">
        <v>0</v>
      </c>
      <c r="AD20" s="25"/>
      <c r="AE20" s="25"/>
      <c r="AF20" s="25"/>
      <c r="AG20" s="32"/>
      <c r="AH20" s="18"/>
      <c r="AI20" s="3"/>
      <c r="AJ20" s="3"/>
      <c r="AK20" s="5"/>
      <c r="AL20" s="15">
        <f t="shared" si="0"/>
        <v>0</v>
      </c>
      <c r="AM20" s="15">
        <f t="shared" si="3"/>
        <v>0</v>
      </c>
      <c r="AN20">
        <v>0</v>
      </c>
      <c r="AO20" s="15">
        <f t="shared" si="1"/>
        <v>0</v>
      </c>
      <c r="AQ20" s="15">
        <f t="shared" si="2"/>
        <v>0</v>
      </c>
    </row>
    <row r="21" spans="1:43" x14ac:dyDescent="0.25">
      <c r="A21">
        <v>14</v>
      </c>
      <c r="B21" s="10" t="s">
        <v>84</v>
      </c>
      <c r="C21" s="10" t="s">
        <v>1006</v>
      </c>
      <c r="D21" s="3" t="s">
        <v>85</v>
      </c>
      <c r="E21" s="3" t="s">
        <v>86</v>
      </c>
      <c r="F21" s="3"/>
      <c r="G21" s="3" t="s">
        <v>87</v>
      </c>
      <c r="H21" s="3" t="s">
        <v>14</v>
      </c>
      <c r="I21" s="3" t="s">
        <v>6</v>
      </c>
      <c r="J21" s="3" t="s">
        <v>15</v>
      </c>
      <c r="K21" s="3" t="s">
        <v>88</v>
      </c>
      <c r="L21" s="3"/>
      <c r="M21" s="3"/>
      <c r="N21" s="3"/>
      <c r="O21" s="3">
        <v>2041</v>
      </c>
      <c r="P21" s="3"/>
      <c r="Q21" s="4">
        <v>46081</v>
      </c>
      <c r="R21" s="5">
        <v>204.7</v>
      </c>
      <c r="S21" s="3">
        <v>102</v>
      </c>
      <c r="T21" s="3"/>
      <c r="U21" s="3">
        <v>0</v>
      </c>
      <c r="V21" s="3" t="s">
        <v>8</v>
      </c>
      <c r="W21" s="5">
        <v>204.69</v>
      </c>
      <c r="X21" s="3">
        <v>0</v>
      </c>
      <c r="Y21" s="3">
        <v>0</v>
      </c>
      <c r="Z21" s="3">
        <v>0</v>
      </c>
      <c r="AA21" s="3">
        <v>0.01</v>
      </c>
      <c r="AB21" s="5">
        <v>204.7</v>
      </c>
      <c r="AD21" s="25"/>
      <c r="AE21" s="25"/>
      <c r="AF21" s="25"/>
      <c r="AG21" s="32"/>
      <c r="AH21" s="18"/>
      <c r="AI21" s="3"/>
      <c r="AJ21" s="3"/>
      <c r="AK21" s="3"/>
      <c r="AL21" s="15">
        <f t="shared" si="0"/>
        <v>0</v>
      </c>
      <c r="AM21" s="15">
        <f t="shared" si="3"/>
        <v>204.7</v>
      </c>
      <c r="AN21" s="15">
        <f>AM21</f>
        <v>204.7</v>
      </c>
      <c r="AO21" s="15">
        <f t="shared" si="1"/>
        <v>0</v>
      </c>
      <c r="AQ21" s="15">
        <f t="shared" si="2"/>
        <v>0</v>
      </c>
    </row>
    <row r="22" spans="1:43" x14ac:dyDescent="0.25">
      <c r="A22">
        <v>15</v>
      </c>
      <c r="B22" s="10"/>
      <c r="C22" s="10" t="s">
        <v>1272</v>
      </c>
      <c r="D22" s="3" t="str">
        <f>[1]nedredc!$B$35</f>
        <v>AUMA SOUTH AFRICA (PTY)LTD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4"/>
      <c r="R22" s="5"/>
      <c r="S22" s="3"/>
      <c r="T22" s="3"/>
      <c r="U22" s="3"/>
      <c r="V22" s="3"/>
      <c r="W22" s="5"/>
      <c r="X22" s="3"/>
      <c r="Y22" s="3"/>
      <c r="Z22" s="3"/>
      <c r="AA22" s="3"/>
      <c r="AB22" s="5"/>
      <c r="AD22" s="25" t="s">
        <v>1167</v>
      </c>
      <c r="AE22" s="25" t="s">
        <v>1186</v>
      </c>
      <c r="AF22" s="26">
        <v>26226.81</v>
      </c>
      <c r="AG22" s="33">
        <f>AF22</f>
        <v>26226.81</v>
      </c>
      <c r="AH22" s="18"/>
      <c r="AI22" s="3"/>
      <c r="AJ22" s="3"/>
      <c r="AK22" s="3"/>
      <c r="AL22" s="15">
        <f t="shared" si="0"/>
        <v>26226.81</v>
      </c>
      <c r="AM22" s="15">
        <f t="shared" si="3"/>
        <v>-26226.81</v>
      </c>
      <c r="AN22">
        <v>-26226.81</v>
      </c>
      <c r="AO22" s="15">
        <f t="shared" si="1"/>
        <v>0</v>
      </c>
      <c r="AQ22" s="15">
        <f t="shared" si="2"/>
        <v>0</v>
      </c>
    </row>
    <row r="23" spans="1:43" x14ac:dyDescent="0.25">
      <c r="A23">
        <v>16</v>
      </c>
      <c r="B23" s="10" t="s">
        <v>89</v>
      </c>
      <c r="C23" s="10" t="s">
        <v>1007</v>
      </c>
      <c r="D23" s="3" t="s">
        <v>90</v>
      </c>
      <c r="E23" s="3" t="s">
        <v>91</v>
      </c>
      <c r="F23" s="3" t="s">
        <v>92</v>
      </c>
      <c r="G23" s="3" t="s">
        <v>93</v>
      </c>
      <c r="H23" s="3" t="s">
        <v>14</v>
      </c>
      <c r="I23" s="3" t="s">
        <v>6</v>
      </c>
      <c r="J23" s="3" t="s">
        <v>15</v>
      </c>
      <c r="K23" s="3" t="s">
        <v>94</v>
      </c>
      <c r="L23" s="3"/>
      <c r="M23" s="3"/>
      <c r="N23" s="3"/>
      <c r="O23" s="3"/>
      <c r="P23" s="3"/>
      <c r="Q23" s="4">
        <v>46069</v>
      </c>
      <c r="R23" s="5">
        <v>189890.58</v>
      </c>
      <c r="S23" s="3">
        <v>139</v>
      </c>
      <c r="T23" s="3"/>
      <c r="U23" s="3">
        <v>0</v>
      </c>
      <c r="V23" s="3" t="s">
        <v>8</v>
      </c>
      <c r="W23" s="5">
        <v>132914.71</v>
      </c>
      <c r="X23" s="5">
        <v>237641.76</v>
      </c>
      <c r="Y23" s="3">
        <v>0</v>
      </c>
      <c r="Z23" s="3">
        <v>0</v>
      </c>
      <c r="AA23" s="3">
        <v>0</v>
      </c>
      <c r="AB23" s="5">
        <v>370556.47</v>
      </c>
      <c r="AD23" s="25" t="s">
        <v>1156</v>
      </c>
      <c r="AE23" s="25" t="s">
        <v>1190</v>
      </c>
      <c r="AF23" s="26">
        <v>37641.760000000002</v>
      </c>
      <c r="AG23" s="33">
        <f>AF24</f>
        <v>200000</v>
      </c>
      <c r="AH23" s="19">
        <f>AF23</f>
        <v>37641.760000000002</v>
      </c>
      <c r="AI23" s="3"/>
      <c r="AJ23" s="3"/>
      <c r="AK23" s="3"/>
      <c r="AL23" s="15">
        <f t="shared" si="0"/>
        <v>237641.76</v>
      </c>
      <c r="AM23" s="15">
        <f t="shared" si="3"/>
        <v>132914.70999999996</v>
      </c>
      <c r="AN23">
        <v>132914.71</v>
      </c>
      <c r="AO23" s="15">
        <f t="shared" si="1"/>
        <v>0</v>
      </c>
      <c r="AQ23" s="15">
        <f t="shared" si="2"/>
        <v>200000</v>
      </c>
    </row>
    <row r="24" spans="1:43" x14ac:dyDescent="0.25">
      <c r="A24">
        <v>17</v>
      </c>
      <c r="B24" s="10"/>
      <c r="C24" s="10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4"/>
      <c r="R24" s="5"/>
      <c r="S24" s="3"/>
      <c r="T24" s="3"/>
      <c r="U24" s="3"/>
      <c r="V24" s="3"/>
      <c r="W24" s="5"/>
      <c r="X24" s="5"/>
      <c r="Y24" s="3"/>
      <c r="Z24" s="3"/>
      <c r="AA24" s="3"/>
      <c r="AB24" s="5"/>
      <c r="AD24" s="25" t="s">
        <v>1156</v>
      </c>
      <c r="AE24" s="25" t="s">
        <v>1190</v>
      </c>
      <c r="AF24" s="58">
        <v>200000</v>
      </c>
      <c r="AG24" s="32"/>
      <c r="AH24" s="19"/>
      <c r="AI24" s="3"/>
      <c r="AJ24" s="3"/>
      <c r="AK24" s="3"/>
      <c r="AL24" s="15"/>
      <c r="AM24" s="15"/>
      <c r="AO24" s="15"/>
      <c r="AQ24" s="15">
        <f t="shared" si="2"/>
        <v>-200000</v>
      </c>
    </row>
    <row r="25" spans="1:43" x14ac:dyDescent="0.25">
      <c r="A25">
        <v>18</v>
      </c>
      <c r="B25" s="10" t="s">
        <v>95</v>
      </c>
      <c r="C25" s="10" t="s">
        <v>1272</v>
      </c>
      <c r="D25" s="3" t="s">
        <v>96</v>
      </c>
      <c r="E25" s="3" t="s">
        <v>97</v>
      </c>
      <c r="F25" s="3" t="s">
        <v>92</v>
      </c>
      <c r="G25" s="3" t="s">
        <v>93</v>
      </c>
      <c r="H25" s="3" t="s">
        <v>14</v>
      </c>
      <c r="I25" s="3" t="s">
        <v>6</v>
      </c>
      <c r="J25" s="3"/>
      <c r="K25" s="3" t="s">
        <v>94</v>
      </c>
      <c r="L25" s="3"/>
      <c r="M25" s="3"/>
      <c r="N25" s="3" t="s">
        <v>22</v>
      </c>
      <c r="O25" s="3"/>
      <c r="P25" s="3"/>
      <c r="Q25" s="4">
        <v>46081</v>
      </c>
      <c r="R25" s="5">
        <v>1122.4000000000001</v>
      </c>
      <c r="S25" s="3">
        <v>116</v>
      </c>
      <c r="T25" s="3"/>
      <c r="U25" s="3">
        <v>0</v>
      </c>
      <c r="V25" s="3" t="s">
        <v>8</v>
      </c>
      <c r="W25" s="5">
        <v>1122.4000000000001</v>
      </c>
      <c r="X25" s="3">
        <v>0</v>
      </c>
      <c r="Y25" s="3">
        <v>0</v>
      </c>
      <c r="Z25" s="3">
        <v>0</v>
      </c>
      <c r="AA25" s="3">
        <v>0</v>
      </c>
      <c r="AB25" s="5">
        <v>1122.4000000000001</v>
      </c>
      <c r="AD25" s="25"/>
      <c r="AE25" s="25"/>
      <c r="AF25" s="25"/>
      <c r="AG25" s="32"/>
      <c r="AH25" s="18"/>
      <c r="AI25" s="3"/>
      <c r="AJ25" s="3"/>
      <c r="AK25" s="3"/>
      <c r="AL25" s="15">
        <f t="shared" si="0"/>
        <v>0</v>
      </c>
      <c r="AM25" s="15">
        <f t="shared" si="3"/>
        <v>1122.4000000000001</v>
      </c>
      <c r="AN25" s="15">
        <f t="shared" ref="AN25:AN35" si="4">AM25</f>
        <v>1122.4000000000001</v>
      </c>
      <c r="AO25" s="15">
        <f t="shared" si="1"/>
        <v>0</v>
      </c>
      <c r="AQ25" s="15">
        <f t="shared" si="2"/>
        <v>0</v>
      </c>
    </row>
    <row r="26" spans="1:43" x14ac:dyDescent="0.25">
      <c r="A26">
        <v>19</v>
      </c>
      <c r="B26" s="10" t="s">
        <v>98</v>
      </c>
      <c r="C26" s="10" t="s">
        <v>1008</v>
      </c>
      <c r="D26" s="3" t="s">
        <v>99</v>
      </c>
      <c r="E26" s="3" t="s">
        <v>100</v>
      </c>
      <c r="F26" s="3" t="s">
        <v>101</v>
      </c>
      <c r="G26" s="3" t="s">
        <v>102</v>
      </c>
      <c r="H26" s="3" t="s">
        <v>14</v>
      </c>
      <c r="I26" s="3" t="s">
        <v>6</v>
      </c>
      <c r="J26" s="3" t="s">
        <v>15</v>
      </c>
      <c r="K26" s="3" t="s">
        <v>103</v>
      </c>
      <c r="L26" s="3"/>
      <c r="M26" s="3"/>
      <c r="N26" s="3" t="s">
        <v>22</v>
      </c>
      <c r="O26" s="3"/>
      <c r="P26" s="3"/>
      <c r="Q26" s="4">
        <v>46081</v>
      </c>
      <c r="R26" s="5">
        <v>2390.2600000000002</v>
      </c>
      <c r="S26" s="3">
        <v>226</v>
      </c>
      <c r="T26" s="3"/>
      <c r="U26" s="3">
        <v>0</v>
      </c>
      <c r="V26" s="3" t="s">
        <v>8</v>
      </c>
      <c r="W26" s="5">
        <v>2390.2600000000002</v>
      </c>
      <c r="X26" s="3">
        <v>0</v>
      </c>
      <c r="Y26" s="3">
        <v>0</v>
      </c>
      <c r="Z26" s="3">
        <v>0</v>
      </c>
      <c r="AA26" s="3">
        <v>0</v>
      </c>
      <c r="AB26" s="5">
        <v>2390.2600000000002</v>
      </c>
      <c r="AD26" s="25" t="s">
        <v>1201</v>
      </c>
      <c r="AE26" s="25" t="s">
        <v>1257</v>
      </c>
      <c r="AF26" s="26">
        <v>2390.2600000000002</v>
      </c>
      <c r="AG26" s="33">
        <f>AF26</f>
        <v>2390.2600000000002</v>
      </c>
      <c r="AH26" s="18"/>
      <c r="AI26" s="3"/>
      <c r="AJ26" s="3"/>
      <c r="AK26" s="3"/>
      <c r="AL26" s="15">
        <f t="shared" si="0"/>
        <v>2390.2600000000002</v>
      </c>
      <c r="AM26" s="15">
        <f t="shared" si="3"/>
        <v>0</v>
      </c>
      <c r="AN26" s="15">
        <f t="shared" si="4"/>
        <v>0</v>
      </c>
      <c r="AO26" s="15">
        <f t="shared" si="1"/>
        <v>0</v>
      </c>
      <c r="AQ26" s="15">
        <f t="shared" si="2"/>
        <v>0</v>
      </c>
    </row>
    <row r="27" spans="1:43" x14ac:dyDescent="0.25">
      <c r="A27">
        <v>20</v>
      </c>
      <c r="B27" s="10" t="s">
        <v>104</v>
      </c>
      <c r="C27" s="10" t="s">
        <v>1009</v>
      </c>
      <c r="D27" s="3" t="s">
        <v>105</v>
      </c>
      <c r="E27" s="3" t="s">
        <v>106</v>
      </c>
      <c r="F27" s="3" t="s">
        <v>107</v>
      </c>
      <c r="G27" s="3" t="s">
        <v>108</v>
      </c>
      <c r="H27" s="3" t="s">
        <v>14</v>
      </c>
      <c r="I27" s="3" t="s">
        <v>6</v>
      </c>
      <c r="J27" s="3" t="s">
        <v>15</v>
      </c>
      <c r="K27" s="3" t="s">
        <v>109</v>
      </c>
      <c r="L27" s="3"/>
      <c r="M27" s="3"/>
      <c r="N27" s="3" t="s">
        <v>22</v>
      </c>
      <c r="O27" s="3"/>
      <c r="P27" s="3"/>
      <c r="Q27" s="4">
        <v>46081</v>
      </c>
      <c r="R27" s="5">
        <v>1940.51</v>
      </c>
      <c r="S27" s="3">
        <v>67</v>
      </c>
      <c r="T27" s="3"/>
      <c r="U27" s="3">
        <v>0</v>
      </c>
      <c r="V27" s="3" t="s">
        <v>8</v>
      </c>
      <c r="W27" s="5">
        <v>1940.51</v>
      </c>
      <c r="X27" s="3">
        <v>0</v>
      </c>
      <c r="Y27" s="3">
        <v>0</v>
      </c>
      <c r="Z27" s="3">
        <v>0</v>
      </c>
      <c r="AA27" s="3">
        <v>0</v>
      </c>
      <c r="AB27" s="5">
        <v>1940.51</v>
      </c>
      <c r="AD27" s="25" t="s">
        <v>1201</v>
      </c>
      <c r="AE27" s="25" t="s">
        <v>1255</v>
      </c>
      <c r="AF27" s="26">
        <v>1940.51</v>
      </c>
      <c r="AG27" s="33">
        <f>AF27</f>
        <v>1940.51</v>
      </c>
      <c r="AH27" s="18"/>
      <c r="AI27" s="3"/>
      <c r="AJ27" s="3"/>
      <c r="AK27" s="3"/>
      <c r="AL27" s="15">
        <f t="shared" si="0"/>
        <v>1940.51</v>
      </c>
      <c r="AM27" s="15">
        <f t="shared" si="3"/>
        <v>0</v>
      </c>
      <c r="AN27" s="15">
        <f t="shared" si="4"/>
        <v>0</v>
      </c>
      <c r="AO27" s="15">
        <f t="shared" si="1"/>
        <v>0</v>
      </c>
      <c r="AQ27" s="15">
        <f t="shared" si="2"/>
        <v>0</v>
      </c>
    </row>
    <row r="28" spans="1:43" x14ac:dyDescent="0.25">
      <c r="A28">
        <v>21</v>
      </c>
      <c r="B28" s="10" t="s">
        <v>110</v>
      </c>
      <c r="C28" s="10" t="s">
        <v>1272</v>
      </c>
      <c r="D28" s="3" t="s">
        <v>111</v>
      </c>
      <c r="E28" s="3" t="s">
        <v>111</v>
      </c>
      <c r="F28" s="3"/>
      <c r="G28" s="3" t="s">
        <v>112</v>
      </c>
      <c r="H28" s="3" t="s">
        <v>14</v>
      </c>
      <c r="I28" s="3" t="s">
        <v>6</v>
      </c>
      <c r="J28" s="3"/>
      <c r="K28" s="3" t="s">
        <v>113</v>
      </c>
      <c r="L28" s="3"/>
      <c r="M28" s="3"/>
      <c r="N28" s="3" t="s">
        <v>22</v>
      </c>
      <c r="O28" s="3"/>
      <c r="P28" s="3"/>
      <c r="Q28" s="4">
        <v>46079</v>
      </c>
      <c r="R28" s="5">
        <v>79.349999999999994</v>
      </c>
      <c r="S28" s="3">
        <v>64</v>
      </c>
      <c r="T28" s="3"/>
      <c r="U28" s="3">
        <v>0</v>
      </c>
      <c r="V28" s="3" t="s">
        <v>8</v>
      </c>
      <c r="W28" s="5">
        <v>79.349999999999994</v>
      </c>
      <c r="X28" s="3">
        <v>0</v>
      </c>
      <c r="Y28" s="3">
        <v>0</v>
      </c>
      <c r="Z28" s="3">
        <v>0</v>
      </c>
      <c r="AA28" s="3">
        <v>0</v>
      </c>
      <c r="AB28" s="5">
        <v>79.349999999999994</v>
      </c>
      <c r="AD28" s="25"/>
      <c r="AE28" s="25"/>
      <c r="AF28" s="25"/>
      <c r="AG28" s="32"/>
      <c r="AH28" s="18"/>
      <c r="AI28" s="3"/>
      <c r="AJ28" s="3"/>
      <c r="AK28" s="3"/>
      <c r="AL28" s="15">
        <f t="shared" si="0"/>
        <v>0</v>
      </c>
      <c r="AM28" s="15">
        <f t="shared" si="3"/>
        <v>79.349999999999994</v>
      </c>
      <c r="AN28" s="15">
        <f t="shared" si="4"/>
        <v>79.349999999999994</v>
      </c>
      <c r="AO28" s="15">
        <f t="shared" si="1"/>
        <v>0</v>
      </c>
      <c r="AQ28" s="15">
        <f t="shared" si="2"/>
        <v>0</v>
      </c>
    </row>
    <row r="29" spans="1:43" x14ac:dyDescent="0.25">
      <c r="A29">
        <v>22</v>
      </c>
      <c r="B29" s="10" t="s">
        <v>114</v>
      </c>
      <c r="C29" s="10" t="s">
        <v>1272</v>
      </c>
      <c r="D29" s="3" t="s">
        <v>115</v>
      </c>
      <c r="E29" s="3" t="s">
        <v>115</v>
      </c>
      <c r="F29" s="6" t="s">
        <v>116</v>
      </c>
      <c r="G29" s="3" t="s">
        <v>117</v>
      </c>
      <c r="H29" s="3" t="s">
        <v>14</v>
      </c>
      <c r="I29" s="3" t="s">
        <v>6</v>
      </c>
      <c r="J29" s="3" t="s">
        <v>15</v>
      </c>
      <c r="K29" s="3" t="s">
        <v>118</v>
      </c>
      <c r="L29" s="3"/>
      <c r="M29" s="3"/>
      <c r="N29" s="3"/>
      <c r="O29" s="3"/>
      <c r="P29" s="3"/>
      <c r="Q29" s="4">
        <v>46081</v>
      </c>
      <c r="R29" s="5">
        <v>734.3</v>
      </c>
      <c r="S29" s="3">
        <v>73</v>
      </c>
      <c r="T29" s="3"/>
      <c r="U29" s="3">
        <v>0</v>
      </c>
      <c r="V29" s="3" t="s">
        <v>8</v>
      </c>
      <c r="W29" s="5">
        <v>734.3</v>
      </c>
      <c r="X29" s="3">
        <v>0</v>
      </c>
      <c r="Y29" s="3">
        <v>0</v>
      </c>
      <c r="Z29" s="3">
        <v>0</v>
      </c>
      <c r="AA29" s="3">
        <v>0</v>
      </c>
      <c r="AB29" s="5">
        <v>734.3</v>
      </c>
      <c r="AD29" s="25" t="s">
        <v>1201</v>
      </c>
      <c r="AE29" s="25" t="s">
        <v>115</v>
      </c>
      <c r="AF29" s="26">
        <v>734.3</v>
      </c>
      <c r="AG29" s="33">
        <f>AF29</f>
        <v>734.3</v>
      </c>
      <c r="AH29" s="18"/>
      <c r="AI29" s="3"/>
      <c r="AJ29" s="3"/>
      <c r="AK29" s="3"/>
      <c r="AL29" s="15">
        <f t="shared" si="0"/>
        <v>734.3</v>
      </c>
      <c r="AM29" s="15">
        <f t="shared" si="3"/>
        <v>0</v>
      </c>
      <c r="AN29" s="15">
        <f t="shared" si="4"/>
        <v>0</v>
      </c>
      <c r="AO29" s="15">
        <f t="shared" si="1"/>
        <v>0</v>
      </c>
      <c r="AQ29" s="15">
        <f t="shared" si="2"/>
        <v>0</v>
      </c>
    </row>
    <row r="30" spans="1:43" x14ac:dyDescent="0.25">
      <c r="A30">
        <v>23</v>
      </c>
      <c r="B30" s="10" t="s">
        <v>119</v>
      </c>
      <c r="C30" s="10" t="s">
        <v>1010</v>
      </c>
      <c r="D30" s="3" t="s">
        <v>120</v>
      </c>
      <c r="E30" s="3" t="s">
        <v>120</v>
      </c>
      <c r="F30" s="3"/>
      <c r="G30" s="3" t="s">
        <v>121</v>
      </c>
      <c r="H30" s="3" t="s">
        <v>14</v>
      </c>
      <c r="I30" s="3" t="s">
        <v>6</v>
      </c>
      <c r="J30" s="3" t="s">
        <v>15</v>
      </c>
      <c r="K30" s="3" t="s">
        <v>122</v>
      </c>
      <c r="L30" s="3"/>
      <c r="M30" s="3"/>
      <c r="N30" s="3" t="s">
        <v>22</v>
      </c>
      <c r="O30" s="3"/>
      <c r="P30" s="3"/>
      <c r="Q30" s="4">
        <v>46079</v>
      </c>
      <c r="R30" s="5">
        <v>79.349999999999994</v>
      </c>
      <c r="S30" s="3">
        <v>46</v>
      </c>
      <c r="T30" s="3"/>
      <c r="U30" s="3">
        <v>0</v>
      </c>
      <c r="V30" s="3" t="s">
        <v>8</v>
      </c>
      <c r="W30" s="3">
        <v>0</v>
      </c>
      <c r="X30" s="3">
        <v>0</v>
      </c>
      <c r="Y30" s="3">
        <v>0</v>
      </c>
      <c r="Z30" s="3">
        <v>0</v>
      </c>
      <c r="AA30" s="5">
        <v>79.349999999999994</v>
      </c>
      <c r="AB30" s="5">
        <v>79.349999999999994</v>
      </c>
      <c r="AD30" s="25"/>
      <c r="AE30" s="25"/>
      <c r="AF30" s="25"/>
      <c r="AG30" s="32"/>
      <c r="AH30" s="18"/>
      <c r="AI30" s="3"/>
      <c r="AJ30" s="3"/>
      <c r="AK30" s="5"/>
      <c r="AL30" s="15">
        <f t="shared" si="0"/>
        <v>0</v>
      </c>
      <c r="AM30" s="15">
        <f t="shared" si="3"/>
        <v>79.349999999999994</v>
      </c>
      <c r="AN30" s="15">
        <f t="shared" si="4"/>
        <v>79.349999999999994</v>
      </c>
      <c r="AO30" s="15">
        <f t="shared" si="1"/>
        <v>0</v>
      </c>
      <c r="AQ30" s="15">
        <f t="shared" si="2"/>
        <v>0</v>
      </c>
    </row>
    <row r="31" spans="1:43" x14ac:dyDescent="0.25">
      <c r="A31">
        <v>24</v>
      </c>
      <c r="B31" s="10" t="s">
        <v>123</v>
      </c>
      <c r="C31" s="10" t="s">
        <v>1011</v>
      </c>
      <c r="D31" s="3" t="s">
        <v>124</v>
      </c>
      <c r="E31" s="3" t="s">
        <v>125</v>
      </c>
      <c r="F31" s="3" t="s">
        <v>126</v>
      </c>
      <c r="G31" s="3" t="s">
        <v>127</v>
      </c>
      <c r="H31" s="3" t="s">
        <v>14</v>
      </c>
      <c r="I31" s="3" t="s">
        <v>6</v>
      </c>
      <c r="J31" s="3" t="s">
        <v>15</v>
      </c>
      <c r="K31" s="3" t="s">
        <v>128</v>
      </c>
      <c r="L31" s="3"/>
      <c r="M31" s="3"/>
      <c r="N31" s="3"/>
      <c r="O31" s="3">
        <v>1715</v>
      </c>
      <c r="P31" s="3"/>
      <c r="Q31" s="4">
        <v>46081</v>
      </c>
      <c r="R31" s="5">
        <v>1949.08</v>
      </c>
      <c r="S31" s="3">
        <v>122</v>
      </c>
      <c r="T31" s="3"/>
      <c r="U31" s="3">
        <v>0</v>
      </c>
      <c r="V31" s="3" t="s">
        <v>8</v>
      </c>
      <c r="W31" s="5">
        <v>1949.08</v>
      </c>
      <c r="X31" s="3">
        <v>0</v>
      </c>
      <c r="Y31" s="3">
        <v>0</v>
      </c>
      <c r="Z31" s="3">
        <v>0</v>
      </c>
      <c r="AA31" s="3">
        <v>0</v>
      </c>
      <c r="AB31" s="5">
        <v>1949.08</v>
      </c>
      <c r="AD31" s="25" t="s">
        <v>1201</v>
      </c>
      <c r="AE31" s="25" t="s">
        <v>1256</v>
      </c>
      <c r="AF31" s="26">
        <v>1949.08</v>
      </c>
      <c r="AG31" s="33">
        <f>AF31</f>
        <v>1949.08</v>
      </c>
      <c r="AH31" s="18"/>
      <c r="AI31" s="3"/>
      <c r="AJ31" s="3"/>
      <c r="AK31" s="3"/>
      <c r="AL31" s="15">
        <f t="shared" si="0"/>
        <v>1949.08</v>
      </c>
      <c r="AM31" s="15">
        <f t="shared" si="3"/>
        <v>0</v>
      </c>
      <c r="AN31" s="15">
        <f t="shared" si="4"/>
        <v>0</v>
      </c>
      <c r="AO31" s="15">
        <f t="shared" si="1"/>
        <v>0</v>
      </c>
      <c r="AQ31" s="15">
        <f t="shared" si="2"/>
        <v>0</v>
      </c>
    </row>
    <row r="32" spans="1:43" x14ac:dyDescent="0.25">
      <c r="A32">
        <v>25</v>
      </c>
      <c r="B32" s="10" t="s">
        <v>129</v>
      </c>
      <c r="C32" s="10" t="s">
        <v>1272</v>
      </c>
      <c r="D32" s="3" t="s">
        <v>130</v>
      </c>
      <c r="E32" s="3" t="s">
        <v>130</v>
      </c>
      <c r="F32" s="3" t="s">
        <v>131</v>
      </c>
      <c r="G32" s="3" t="s">
        <v>132</v>
      </c>
      <c r="H32" s="3" t="s">
        <v>14</v>
      </c>
      <c r="I32" s="3" t="s">
        <v>6</v>
      </c>
      <c r="J32" s="3" t="s">
        <v>15</v>
      </c>
      <c r="K32" s="3" t="s">
        <v>133</v>
      </c>
      <c r="L32" s="3"/>
      <c r="M32" s="3"/>
      <c r="N32" s="3" t="s">
        <v>22</v>
      </c>
      <c r="O32" s="3"/>
      <c r="P32" s="3"/>
      <c r="Q32" s="4">
        <v>46081</v>
      </c>
      <c r="R32" s="5">
        <v>153.53</v>
      </c>
      <c r="S32" s="3">
        <v>57</v>
      </c>
      <c r="T32" s="3"/>
      <c r="U32" s="3">
        <v>0</v>
      </c>
      <c r="V32" s="3" t="s">
        <v>8</v>
      </c>
      <c r="W32" s="5">
        <v>153.53</v>
      </c>
      <c r="X32" s="3">
        <v>0</v>
      </c>
      <c r="Y32" s="3">
        <v>0</v>
      </c>
      <c r="Z32" s="3">
        <v>0</v>
      </c>
      <c r="AA32" s="3">
        <v>0</v>
      </c>
      <c r="AB32" s="5">
        <v>153.53</v>
      </c>
      <c r="AD32" s="25"/>
      <c r="AE32" s="25"/>
      <c r="AF32" s="25"/>
      <c r="AG32" s="32"/>
      <c r="AH32" s="18"/>
      <c r="AI32" s="3"/>
      <c r="AJ32" s="3"/>
      <c r="AK32" s="3"/>
      <c r="AL32" s="15">
        <f t="shared" si="0"/>
        <v>0</v>
      </c>
      <c r="AM32" s="15">
        <f t="shared" si="3"/>
        <v>153.53</v>
      </c>
      <c r="AN32" s="15">
        <f t="shared" si="4"/>
        <v>153.53</v>
      </c>
      <c r="AO32" s="15">
        <f t="shared" si="1"/>
        <v>0</v>
      </c>
      <c r="AQ32" s="15">
        <f t="shared" si="2"/>
        <v>0</v>
      </c>
    </row>
    <row r="33" spans="1:43" x14ac:dyDescent="0.25">
      <c r="A33">
        <v>26</v>
      </c>
      <c r="B33" s="10">
        <v>1126</v>
      </c>
      <c r="C33" s="10" t="s">
        <v>1012</v>
      </c>
      <c r="D33" s="3" t="s">
        <v>134</v>
      </c>
      <c r="E33" s="3" t="s">
        <v>135</v>
      </c>
      <c r="F33" s="3" t="s">
        <v>136</v>
      </c>
      <c r="G33" s="3" t="s">
        <v>137</v>
      </c>
      <c r="H33" s="3" t="s">
        <v>14</v>
      </c>
      <c r="I33" s="3" t="s">
        <v>6</v>
      </c>
      <c r="J33" s="3" t="s">
        <v>15</v>
      </c>
      <c r="K33" s="3" t="s">
        <v>138</v>
      </c>
      <c r="L33" s="3" t="s">
        <v>76</v>
      </c>
      <c r="M33" s="3" t="s">
        <v>69</v>
      </c>
      <c r="N33" s="3" t="s">
        <v>22</v>
      </c>
      <c r="O33" s="3">
        <v>1401</v>
      </c>
      <c r="P33" s="3"/>
      <c r="Q33" s="4">
        <v>46081</v>
      </c>
      <c r="R33" s="5">
        <v>354.66</v>
      </c>
      <c r="S33" s="3">
        <v>67</v>
      </c>
      <c r="T33" s="3"/>
      <c r="U33" s="3">
        <v>0</v>
      </c>
      <c r="V33" s="3" t="s">
        <v>8</v>
      </c>
      <c r="W33" s="5">
        <v>354.66</v>
      </c>
      <c r="X33" s="3">
        <v>0</v>
      </c>
      <c r="Y33" s="3">
        <v>0</v>
      </c>
      <c r="Z33" s="3">
        <v>0</v>
      </c>
      <c r="AA33" s="3">
        <v>0</v>
      </c>
      <c r="AB33" s="5">
        <v>354.66</v>
      </c>
      <c r="AD33" s="25" t="s">
        <v>1201</v>
      </c>
      <c r="AE33" s="25" t="s">
        <v>1246</v>
      </c>
      <c r="AF33" s="26">
        <v>354.66</v>
      </c>
      <c r="AG33" s="33">
        <f>AF33</f>
        <v>354.66</v>
      </c>
      <c r="AH33" s="18"/>
      <c r="AI33" s="3"/>
      <c r="AJ33" s="3"/>
      <c r="AK33" s="3"/>
      <c r="AL33" s="15">
        <f t="shared" si="0"/>
        <v>354.66</v>
      </c>
      <c r="AM33" s="15">
        <f t="shared" si="3"/>
        <v>0</v>
      </c>
      <c r="AN33" s="15">
        <f t="shared" si="4"/>
        <v>0</v>
      </c>
      <c r="AO33" s="15">
        <f t="shared" si="1"/>
        <v>0</v>
      </c>
      <c r="AQ33" s="15">
        <f t="shared" si="2"/>
        <v>0</v>
      </c>
    </row>
    <row r="34" spans="1:43" x14ac:dyDescent="0.25">
      <c r="A34">
        <v>27</v>
      </c>
      <c r="B34" s="10" t="s">
        <v>139</v>
      </c>
      <c r="C34" s="10" t="s">
        <v>1013</v>
      </c>
      <c r="D34" s="3" t="s">
        <v>140</v>
      </c>
      <c r="E34" s="3" t="s">
        <v>140</v>
      </c>
      <c r="F34" s="3" t="s">
        <v>141</v>
      </c>
      <c r="G34" s="3" t="s">
        <v>142</v>
      </c>
      <c r="H34" s="3" t="s">
        <v>14</v>
      </c>
      <c r="I34" s="3" t="s">
        <v>6</v>
      </c>
      <c r="J34" s="3" t="s">
        <v>15</v>
      </c>
      <c r="K34" s="3" t="s">
        <v>143</v>
      </c>
      <c r="L34" s="3"/>
      <c r="M34" s="3"/>
      <c r="N34" s="3" t="s">
        <v>22</v>
      </c>
      <c r="O34" s="3"/>
      <c r="P34" s="3"/>
      <c r="Q34" s="4">
        <v>46010</v>
      </c>
      <c r="R34" s="5">
        <v>2000</v>
      </c>
      <c r="S34" s="3">
        <v>84</v>
      </c>
      <c r="T34" s="3"/>
      <c r="U34" s="3">
        <v>0</v>
      </c>
      <c r="V34" s="3" t="s">
        <v>8</v>
      </c>
      <c r="W34" s="5">
        <v>655.49</v>
      </c>
      <c r="X34" s="5">
        <v>655.49</v>
      </c>
      <c r="Y34" s="5">
        <v>640.51</v>
      </c>
      <c r="Z34" s="3">
        <v>0</v>
      </c>
      <c r="AA34" s="3">
        <v>0</v>
      </c>
      <c r="AB34" s="5">
        <v>1951.49</v>
      </c>
      <c r="AD34" s="25"/>
      <c r="AE34" s="25"/>
      <c r="AF34" s="25"/>
      <c r="AG34" s="32"/>
      <c r="AH34" s="19"/>
      <c r="AI34" s="5"/>
      <c r="AJ34" s="3"/>
      <c r="AK34" s="3"/>
      <c r="AL34" s="15">
        <f t="shared" si="0"/>
        <v>0</v>
      </c>
      <c r="AM34" s="15">
        <f t="shared" si="3"/>
        <v>1951.49</v>
      </c>
      <c r="AN34" s="15">
        <f t="shared" si="4"/>
        <v>1951.49</v>
      </c>
      <c r="AO34" s="15">
        <f t="shared" si="1"/>
        <v>0</v>
      </c>
      <c r="AQ34" s="15">
        <f t="shared" si="2"/>
        <v>0</v>
      </c>
    </row>
    <row r="35" spans="1:43" x14ac:dyDescent="0.25">
      <c r="A35">
        <v>28</v>
      </c>
      <c r="B35" s="10" t="s">
        <v>144</v>
      </c>
      <c r="C35" s="10" t="s">
        <v>1014</v>
      </c>
      <c r="D35" s="3" t="s">
        <v>145</v>
      </c>
      <c r="E35" s="3" t="s">
        <v>145</v>
      </c>
      <c r="F35" s="3" t="s">
        <v>146</v>
      </c>
      <c r="G35" s="3" t="s">
        <v>147</v>
      </c>
      <c r="H35" s="3" t="s">
        <v>14</v>
      </c>
      <c r="I35" s="3" t="s">
        <v>6</v>
      </c>
      <c r="J35" s="3" t="s">
        <v>15</v>
      </c>
      <c r="K35" s="3" t="s">
        <v>148</v>
      </c>
      <c r="L35" s="3"/>
      <c r="M35" s="3"/>
      <c r="N35" s="3" t="s">
        <v>22</v>
      </c>
      <c r="O35" s="3"/>
      <c r="P35" s="3"/>
      <c r="Q35" s="4">
        <v>45772</v>
      </c>
      <c r="R35" s="3">
        <v>0</v>
      </c>
      <c r="S35" s="3">
        <v>60</v>
      </c>
      <c r="T35" s="3"/>
      <c r="U35" s="3">
        <v>0</v>
      </c>
      <c r="V35" s="3" t="s">
        <v>8</v>
      </c>
      <c r="W35" s="5">
        <v>967.52</v>
      </c>
      <c r="X35" s="5">
        <v>857.11</v>
      </c>
      <c r="Y35" s="3">
        <v>0</v>
      </c>
      <c r="Z35" s="3">
        <v>0</v>
      </c>
      <c r="AA35" s="5">
        <v>0</v>
      </c>
      <c r="AB35" s="5">
        <f>SUM(W35:AA35)</f>
        <v>1824.63</v>
      </c>
      <c r="AD35" s="25"/>
      <c r="AE35" s="25"/>
      <c r="AF35" s="59">
        <v>857.11</v>
      </c>
      <c r="AG35" s="32"/>
      <c r="AH35" s="19">
        <f>AF35</f>
        <v>857.11</v>
      </c>
      <c r="AI35" s="3"/>
      <c r="AJ35" s="3"/>
      <c r="AK35" s="5"/>
      <c r="AL35" s="15">
        <f t="shared" si="0"/>
        <v>857.11</v>
      </c>
      <c r="AM35" s="15">
        <f t="shared" si="3"/>
        <v>967.5200000000001</v>
      </c>
      <c r="AN35" s="15">
        <f t="shared" si="4"/>
        <v>967.5200000000001</v>
      </c>
      <c r="AO35" s="15">
        <f t="shared" si="1"/>
        <v>0</v>
      </c>
      <c r="AQ35" s="15">
        <f t="shared" si="2"/>
        <v>0</v>
      </c>
    </row>
    <row r="36" spans="1:43" x14ac:dyDescent="0.25">
      <c r="A36">
        <v>29</v>
      </c>
      <c r="B36" s="10" t="s">
        <v>149</v>
      </c>
      <c r="C36" s="10" t="s">
        <v>1015</v>
      </c>
      <c r="D36" s="3" t="s">
        <v>150</v>
      </c>
      <c r="E36" s="3" t="s">
        <v>151</v>
      </c>
      <c r="F36" s="3"/>
      <c r="G36" s="3" t="s">
        <v>152</v>
      </c>
      <c r="H36" s="3" t="s">
        <v>14</v>
      </c>
      <c r="I36" s="3" t="s">
        <v>6</v>
      </c>
      <c r="J36" s="3"/>
      <c r="K36" s="3" t="s">
        <v>153</v>
      </c>
      <c r="L36" s="3"/>
      <c r="M36" s="3"/>
      <c r="N36" s="3" t="s">
        <v>22</v>
      </c>
      <c r="O36" s="3"/>
      <c r="P36" s="3"/>
      <c r="Q36" s="4">
        <v>46060</v>
      </c>
      <c r="R36" s="5">
        <v>13511</v>
      </c>
      <c r="S36" s="3">
        <v>79</v>
      </c>
      <c r="T36" s="3"/>
      <c r="U36" s="3">
        <v>0</v>
      </c>
      <c r="V36" s="3" t="s">
        <v>8</v>
      </c>
      <c r="W36" s="5">
        <v>13511</v>
      </c>
      <c r="X36" s="5">
        <v>13511</v>
      </c>
      <c r="Y36" s="3">
        <v>0</v>
      </c>
      <c r="Z36" s="3">
        <v>0</v>
      </c>
      <c r="AA36" s="3">
        <v>0</v>
      </c>
      <c r="AB36" s="5">
        <v>27022</v>
      </c>
      <c r="AD36" s="25" t="s">
        <v>1151</v>
      </c>
      <c r="AE36" s="25" t="s">
        <v>150</v>
      </c>
      <c r="AF36" s="26">
        <v>13511</v>
      </c>
      <c r="AG36" s="32"/>
      <c r="AH36" s="19">
        <f>AF36</f>
        <v>13511</v>
      </c>
      <c r="AI36" s="3"/>
      <c r="AJ36" s="3"/>
      <c r="AK36" s="3"/>
      <c r="AL36" s="15">
        <f t="shared" si="0"/>
        <v>13511</v>
      </c>
      <c r="AM36" s="15">
        <f t="shared" si="3"/>
        <v>13511</v>
      </c>
      <c r="AN36">
        <v>13511</v>
      </c>
      <c r="AO36" s="15">
        <f t="shared" si="1"/>
        <v>0</v>
      </c>
      <c r="AQ36" s="15">
        <f t="shared" si="2"/>
        <v>0</v>
      </c>
    </row>
    <row r="37" spans="1:43" x14ac:dyDescent="0.25">
      <c r="A37">
        <v>30</v>
      </c>
      <c r="B37" s="10" t="s">
        <v>154</v>
      </c>
      <c r="C37" s="10" t="s">
        <v>1016</v>
      </c>
      <c r="D37" s="3" t="s">
        <v>155</v>
      </c>
      <c r="E37" s="3" t="s">
        <v>156</v>
      </c>
      <c r="F37" s="3" t="s">
        <v>157</v>
      </c>
      <c r="G37" s="3" t="s">
        <v>158</v>
      </c>
      <c r="H37" s="3" t="s">
        <v>14</v>
      </c>
      <c r="I37" s="3" t="s">
        <v>6</v>
      </c>
      <c r="J37" s="3"/>
      <c r="K37" s="3" t="s">
        <v>159</v>
      </c>
      <c r="L37" s="3"/>
      <c r="M37" s="3"/>
      <c r="N37" s="3" t="s">
        <v>22</v>
      </c>
      <c r="O37" s="3"/>
      <c r="P37" s="3"/>
      <c r="Q37" s="4">
        <v>46058</v>
      </c>
      <c r="R37" s="5">
        <v>6877</v>
      </c>
      <c r="S37" s="3">
        <v>89</v>
      </c>
      <c r="T37" s="3"/>
      <c r="U37" s="3">
        <v>0</v>
      </c>
      <c r="V37" s="3" t="s">
        <v>8</v>
      </c>
      <c r="W37" s="5">
        <v>10597.25</v>
      </c>
      <c r="X37" s="3">
        <v>0</v>
      </c>
      <c r="Y37" s="3">
        <v>0</v>
      </c>
      <c r="Z37" s="3">
        <v>0</v>
      </c>
      <c r="AA37" s="3">
        <v>0</v>
      </c>
      <c r="AB37" s="5">
        <v>10597.25</v>
      </c>
      <c r="AD37" s="25" t="s">
        <v>1154</v>
      </c>
      <c r="AE37" s="25" t="s">
        <v>154</v>
      </c>
      <c r="AF37" s="26">
        <v>3438.5</v>
      </c>
      <c r="AG37" s="33">
        <f>AF37</f>
        <v>3438.5</v>
      </c>
      <c r="AH37" s="18"/>
      <c r="AI37" s="3"/>
      <c r="AJ37" s="3"/>
      <c r="AK37" s="3"/>
      <c r="AL37" s="15">
        <f t="shared" si="0"/>
        <v>3438.5</v>
      </c>
      <c r="AM37" s="15">
        <f t="shared" si="3"/>
        <v>7158.75</v>
      </c>
      <c r="AN37">
        <v>7158.75</v>
      </c>
      <c r="AO37" s="15">
        <f t="shared" si="1"/>
        <v>0</v>
      </c>
      <c r="AQ37" s="15">
        <f t="shared" si="2"/>
        <v>0</v>
      </c>
    </row>
    <row r="38" spans="1:43" x14ac:dyDescent="0.25">
      <c r="A38">
        <v>31</v>
      </c>
      <c r="B38" s="10" t="s">
        <v>160</v>
      </c>
      <c r="C38" s="10" t="s">
        <v>1017</v>
      </c>
      <c r="D38" s="3" t="s">
        <v>161</v>
      </c>
      <c r="E38" s="3" t="s">
        <v>161</v>
      </c>
      <c r="F38" s="3"/>
      <c r="G38" s="3" t="s">
        <v>162</v>
      </c>
      <c r="H38" s="3" t="s">
        <v>14</v>
      </c>
      <c r="I38" s="3" t="s">
        <v>6</v>
      </c>
      <c r="J38" s="3"/>
      <c r="K38" s="3" t="s">
        <v>163</v>
      </c>
      <c r="L38" s="3"/>
      <c r="M38" s="3"/>
      <c r="N38" s="3"/>
      <c r="O38" s="3"/>
      <c r="P38" s="3"/>
      <c r="Q38" s="4">
        <v>46081</v>
      </c>
      <c r="R38" s="5">
        <v>79.349999999999994</v>
      </c>
      <c r="S38" s="3">
        <v>28</v>
      </c>
      <c r="T38" s="3"/>
      <c r="U38" s="3">
        <v>0</v>
      </c>
      <c r="V38" s="3" t="s">
        <v>8</v>
      </c>
      <c r="W38" s="5">
        <v>1442.1</v>
      </c>
      <c r="X38" s="3">
        <v>0</v>
      </c>
      <c r="Y38" s="3">
        <v>0</v>
      </c>
      <c r="Z38" s="3">
        <v>0</v>
      </c>
      <c r="AA38" s="3">
        <v>0</v>
      </c>
      <c r="AB38" s="5">
        <v>1442.1</v>
      </c>
      <c r="AD38" s="25" t="s">
        <v>1201</v>
      </c>
      <c r="AE38" s="25" t="s">
        <v>1251</v>
      </c>
      <c r="AF38" s="26">
        <v>1442.1</v>
      </c>
      <c r="AG38" s="33">
        <f>AF38</f>
        <v>1442.1</v>
      </c>
      <c r="AH38" s="18"/>
      <c r="AI38" s="3"/>
      <c r="AJ38" s="3"/>
      <c r="AK38" s="3"/>
      <c r="AL38" s="15">
        <f t="shared" si="0"/>
        <v>1442.1</v>
      </c>
      <c r="AM38" s="15">
        <f t="shared" si="3"/>
        <v>0</v>
      </c>
      <c r="AN38" s="15">
        <f>AM38</f>
        <v>0</v>
      </c>
      <c r="AO38" s="15">
        <f t="shared" si="1"/>
        <v>0</v>
      </c>
      <c r="AQ38" s="15">
        <f t="shared" si="2"/>
        <v>0</v>
      </c>
    </row>
    <row r="39" spans="1:43" x14ac:dyDescent="0.25">
      <c r="A39">
        <v>32</v>
      </c>
      <c r="B39" s="10">
        <v>1128</v>
      </c>
      <c r="C39" s="10" t="s">
        <v>1272</v>
      </c>
      <c r="D39" s="3" t="s">
        <v>164</v>
      </c>
      <c r="E39" s="3" t="s">
        <v>165</v>
      </c>
      <c r="F39" s="3" t="s">
        <v>166</v>
      </c>
      <c r="G39" s="3" t="s">
        <v>167</v>
      </c>
      <c r="H39" s="3" t="s">
        <v>14</v>
      </c>
      <c r="I39" s="3" t="s">
        <v>168</v>
      </c>
      <c r="J39" s="3" t="s">
        <v>33</v>
      </c>
      <c r="K39" s="3" t="s">
        <v>169</v>
      </c>
      <c r="L39" s="3" t="s">
        <v>170</v>
      </c>
      <c r="M39" s="3"/>
      <c r="N39" s="3"/>
      <c r="O39" s="3"/>
      <c r="P39" s="3"/>
      <c r="Q39" s="4">
        <v>45933</v>
      </c>
      <c r="R39" s="5">
        <v>57221.7</v>
      </c>
      <c r="S39" s="3">
        <v>259</v>
      </c>
      <c r="T39" s="3"/>
      <c r="U39" s="3">
        <v>0</v>
      </c>
      <c r="V39" s="3" t="s">
        <v>8</v>
      </c>
      <c r="W39" s="3">
        <v>0</v>
      </c>
      <c r="X39" s="3">
        <v>0</v>
      </c>
      <c r="Y39" s="3">
        <v>0</v>
      </c>
      <c r="Z39" s="3">
        <v>0</v>
      </c>
      <c r="AA39" s="5">
        <v>87149.85</v>
      </c>
      <c r="AB39" s="5">
        <v>87149.85</v>
      </c>
      <c r="AD39" s="25"/>
      <c r="AE39" s="25"/>
      <c r="AF39" s="25"/>
      <c r="AG39" s="32"/>
      <c r="AH39" s="18"/>
      <c r="AI39" s="3"/>
      <c r="AJ39" s="3"/>
      <c r="AK39" s="5"/>
      <c r="AL39" s="15">
        <f t="shared" si="0"/>
        <v>0</v>
      </c>
      <c r="AM39" s="15">
        <f t="shared" si="3"/>
        <v>87149.85</v>
      </c>
      <c r="AN39" s="15">
        <f t="shared" ref="AN39:AN42" si="5">AM39</f>
        <v>87149.85</v>
      </c>
      <c r="AO39" s="15">
        <f t="shared" si="1"/>
        <v>0</v>
      </c>
      <c r="AQ39" s="15">
        <f t="shared" si="2"/>
        <v>0</v>
      </c>
    </row>
    <row r="40" spans="1:43" x14ac:dyDescent="0.25">
      <c r="A40">
        <v>33</v>
      </c>
      <c r="B40" s="10" t="s">
        <v>171</v>
      </c>
      <c r="C40" s="10" t="s">
        <v>1018</v>
      </c>
      <c r="D40" s="3" t="s">
        <v>172</v>
      </c>
      <c r="E40" s="3" t="s">
        <v>173</v>
      </c>
      <c r="F40" s="3" t="s">
        <v>174</v>
      </c>
      <c r="G40" s="3" t="s">
        <v>175</v>
      </c>
      <c r="H40" s="3" t="s">
        <v>14</v>
      </c>
      <c r="I40" s="3" t="s">
        <v>6</v>
      </c>
      <c r="J40" s="3" t="s">
        <v>15</v>
      </c>
      <c r="K40" s="3" t="s">
        <v>176</v>
      </c>
      <c r="L40" s="3"/>
      <c r="M40" s="3"/>
      <c r="N40" s="3"/>
      <c r="O40" s="3">
        <v>2059</v>
      </c>
      <c r="P40" s="3"/>
      <c r="Q40" s="4">
        <v>46081</v>
      </c>
      <c r="R40" s="5">
        <v>2005.36</v>
      </c>
      <c r="S40" s="3">
        <v>90</v>
      </c>
      <c r="T40" s="3"/>
      <c r="U40" s="3">
        <v>0</v>
      </c>
      <c r="V40" s="3" t="s">
        <v>8</v>
      </c>
      <c r="W40" s="5">
        <v>2005.36</v>
      </c>
      <c r="X40" s="3">
        <v>0</v>
      </c>
      <c r="Y40" s="3">
        <v>0</v>
      </c>
      <c r="Z40" s="3">
        <v>0</v>
      </c>
      <c r="AA40" s="3">
        <v>0</v>
      </c>
      <c r="AB40" s="5">
        <v>2005.36</v>
      </c>
      <c r="AD40" s="25" t="s">
        <v>1201</v>
      </c>
      <c r="AE40" s="25" t="s">
        <v>172</v>
      </c>
      <c r="AF40" s="26">
        <v>2005.36</v>
      </c>
      <c r="AG40" s="33">
        <f>AF40</f>
        <v>2005.36</v>
      </c>
      <c r="AH40" s="18"/>
      <c r="AI40" s="3"/>
      <c r="AJ40" s="3"/>
      <c r="AK40" s="3"/>
      <c r="AL40" s="15">
        <f t="shared" si="0"/>
        <v>2005.36</v>
      </c>
      <c r="AM40" s="15">
        <f t="shared" si="3"/>
        <v>0</v>
      </c>
      <c r="AN40" s="15">
        <f t="shared" si="5"/>
        <v>0</v>
      </c>
      <c r="AO40" s="15">
        <f t="shared" si="1"/>
        <v>0</v>
      </c>
      <c r="AQ40" s="15">
        <f t="shared" si="2"/>
        <v>0</v>
      </c>
    </row>
    <row r="41" spans="1:43" x14ac:dyDescent="0.25">
      <c r="A41">
        <v>34</v>
      </c>
      <c r="B41" s="10" t="s">
        <v>177</v>
      </c>
      <c r="C41" s="10" t="s">
        <v>1019</v>
      </c>
      <c r="D41" s="3" t="s">
        <v>178</v>
      </c>
      <c r="E41" s="3" t="s">
        <v>179</v>
      </c>
      <c r="F41" s="3" t="s">
        <v>180</v>
      </c>
      <c r="G41" s="3" t="s">
        <v>181</v>
      </c>
      <c r="H41" s="3" t="s">
        <v>14</v>
      </c>
      <c r="I41" s="3" t="s">
        <v>6</v>
      </c>
      <c r="J41" s="3" t="s">
        <v>15</v>
      </c>
      <c r="K41" s="3" t="s">
        <v>182</v>
      </c>
      <c r="L41" s="3"/>
      <c r="M41" s="3"/>
      <c r="N41" s="3"/>
      <c r="O41" s="3">
        <v>2051</v>
      </c>
      <c r="P41" s="3"/>
      <c r="Q41" s="4">
        <v>46081</v>
      </c>
      <c r="R41" s="5">
        <v>6204.14</v>
      </c>
      <c r="S41" s="3">
        <v>140</v>
      </c>
      <c r="T41" s="3"/>
      <c r="U41" s="3">
        <v>0</v>
      </c>
      <c r="V41" s="3" t="s">
        <v>8</v>
      </c>
      <c r="W41" s="5">
        <v>6204.14</v>
      </c>
      <c r="X41" s="3">
        <v>0</v>
      </c>
      <c r="Y41" s="3">
        <v>0.01</v>
      </c>
      <c r="Z41" s="3">
        <v>0</v>
      </c>
      <c r="AA41" s="5">
        <v>-0.01</v>
      </c>
      <c r="AB41" s="5">
        <v>6204.14</v>
      </c>
      <c r="AD41" s="25"/>
      <c r="AE41" s="25"/>
      <c r="AF41" s="25"/>
      <c r="AG41" s="32"/>
      <c r="AH41" s="18"/>
      <c r="AI41" s="3"/>
      <c r="AJ41" s="3"/>
      <c r="AK41" s="5"/>
      <c r="AL41" s="15">
        <f t="shared" si="0"/>
        <v>0</v>
      </c>
      <c r="AM41" s="15">
        <f t="shared" si="3"/>
        <v>6204.14</v>
      </c>
      <c r="AN41" s="15">
        <f>AM41</f>
        <v>6204.14</v>
      </c>
      <c r="AO41" s="15">
        <f t="shared" si="1"/>
        <v>0</v>
      </c>
      <c r="AQ41" s="15">
        <f t="shared" si="2"/>
        <v>0</v>
      </c>
    </row>
    <row r="42" spans="1:43" x14ac:dyDescent="0.25">
      <c r="A42">
        <v>35</v>
      </c>
      <c r="B42" s="10">
        <v>1148</v>
      </c>
      <c r="C42" s="10" t="s">
        <v>1272</v>
      </c>
      <c r="D42" s="3" t="s">
        <v>183</v>
      </c>
      <c r="E42" s="3" t="s">
        <v>183</v>
      </c>
      <c r="F42" s="3"/>
      <c r="G42" s="3" t="s">
        <v>184</v>
      </c>
      <c r="H42" s="3" t="s">
        <v>14</v>
      </c>
      <c r="I42" s="3" t="s">
        <v>6</v>
      </c>
      <c r="J42" s="3"/>
      <c r="K42" s="3" t="s">
        <v>185</v>
      </c>
      <c r="L42" s="3"/>
      <c r="M42" s="3"/>
      <c r="N42" s="3" t="s">
        <v>22</v>
      </c>
      <c r="O42" s="3"/>
      <c r="P42" s="3"/>
      <c r="Q42" s="4">
        <v>45971</v>
      </c>
      <c r="R42" s="5">
        <v>1984.74</v>
      </c>
      <c r="S42" s="3">
        <v>43</v>
      </c>
      <c r="T42" s="3"/>
      <c r="U42" s="3">
        <v>0</v>
      </c>
      <c r="V42" s="3" t="s">
        <v>8</v>
      </c>
      <c r="W42" s="5">
        <v>661.18</v>
      </c>
      <c r="X42" s="5">
        <v>660.38</v>
      </c>
      <c r="Y42" s="3">
        <v>0</v>
      </c>
      <c r="Z42" s="3">
        <v>0</v>
      </c>
      <c r="AA42" s="3">
        <v>0</v>
      </c>
      <c r="AB42" s="5">
        <v>1321.56</v>
      </c>
      <c r="AD42" s="25"/>
      <c r="AE42" s="25"/>
      <c r="AF42" s="25"/>
      <c r="AG42" s="32"/>
      <c r="AH42" s="19"/>
      <c r="AI42" s="3"/>
      <c r="AJ42" s="3"/>
      <c r="AK42" s="3"/>
      <c r="AL42" s="15">
        <f t="shared" si="0"/>
        <v>0</v>
      </c>
      <c r="AM42" s="15">
        <f t="shared" si="3"/>
        <v>1321.56</v>
      </c>
      <c r="AN42" s="15">
        <f t="shared" si="5"/>
        <v>1321.56</v>
      </c>
      <c r="AO42" s="15">
        <f t="shared" si="1"/>
        <v>0</v>
      </c>
      <c r="AQ42" s="15">
        <f t="shared" si="2"/>
        <v>0</v>
      </c>
    </row>
    <row r="43" spans="1:43" x14ac:dyDescent="0.25">
      <c r="A43">
        <v>36</v>
      </c>
      <c r="B43" s="10" t="s">
        <v>186</v>
      </c>
      <c r="C43" s="10" t="s">
        <v>1272</v>
      </c>
      <c r="D43" s="3" t="s">
        <v>187</v>
      </c>
      <c r="E43" s="3" t="s">
        <v>188</v>
      </c>
      <c r="F43" s="3" t="s">
        <v>189</v>
      </c>
      <c r="G43" s="3" t="s">
        <v>190</v>
      </c>
      <c r="H43" s="3" t="s">
        <v>14</v>
      </c>
      <c r="I43" s="3" t="s">
        <v>6</v>
      </c>
      <c r="J43" s="3"/>
      <c r="K43" s="3" t="s">
        <v>191</v>
      </c>
      <c r="L43" s="3"/>
      <c r="M43" s="3"/>
      <c r="N43" s="3" t="s">
        <v>22</v>
      </c>
      <c r="O43" s="3"/>
      <c r="P43" s="3"/>
      <c r="Q43" s="4">
        <v>46055</v>
      </c>
      <c r="R43" s="5">
        <v>30925.8</v>
      </c>
      <c r="S43" s="3">
        <v>28</v>
      </c>
      <c r="T43" s="3"/>
      <c r="U43" s="3">
        <v>0</v>
      </c>
      <c r="V43" s="3" t="s">
        <v>8</v>
      </c>
      <c r="W43" s="5">
        <v>1017.75</v>
      </c>
      <c r="X43" s="16">
        <v>1293.75</v>
      </c>
      <c r="Y43" s="3">
        <v>0</v>
      </c>
      <c r="Z43" s="3">
        <v>0</v>
      </c>
      <c r="AA43" s="3">
        <v>0</v>
      </c>
      <c r="AB43" s="5">
        <v>2311.5</v>
      </c>
      <c r="AD43" s="25" t="s">
        <v>1147</v>
      </c>
      <c r="AE43" s="25" t="s">
        <v>1160</v>
      </c>
      <c r="AF43" s="26">
        <v>1293.75</v>
      </c>
      <c r="AG43" s="32"/>
      <c r="AH43" s="20">
        <f>AF43</f>
        <v>1293.75</v>
      </c>
      <c r="AI43" s="3"/>
      <c r="AJ43" s="3"/>
      <c r="AK43" s="3"/>
      <c r="AL43" s="15">
        <f t="shared" si="0"/>
        <v>1293.75</v>
      </c>
      <c r="AM43" s="15">
        <f t="shared" si="3"/>
        <v>1017.75</v>
      </c>
      <c r="AN43">
        <v>1017.75</v>
      </c>
      <c r="AO43" s="15">
        <f t="shared" si="1"/>
        <v>0</v>
      </c>
      <c r="AQ43" s="15">
        <f t="shared" si="2"/>
        <v>0</v>
      </c>
    </row>
    <row r="44" spans="1:43" x14ac:dyDescent="0.25">
      <c r="A44">
        <v>37</v>
      </c>
      <c r="B44" s="10" t="s">
        <v>192</v>
      </c>
      <c r="C44" s="10" t="s">
        <v>1020</v>
      </c>
      <c r="D44" s="3" t="s">
        <v>193</v>
      </c>
      <c r="E44" s="3" t="s">
        <v>194</v>
      </c>
      <c r="F44" s="3"/>
      <c r="G44" s="3" t="s">
        <v>195</v>
      </c>
      <c r="H44" s="3" t="s">
        <v>14</v>
      </c>
      <c r="I44" s="3" t="s">
        <v>6</v>
      </c>
      <c r="J44" s="3"/>
      <c r="K44" s="3" t="s">
        <v>196</v>
      </c>
      <c r="L44" s="3"/>
      <c r="M44" s="3"/>
      <c r="N44" s="3" t="s">
        <v>22</v>
      </c>
      <c r="O44" s="3"/>
      <c r="P44" s="3"/>
      <c r="Q44" s="4">
        <v>46081</v>
      </c>
      <c r="R44" s="5">
        <v>6944.85</v>
      </c>
      <c r="S44" s="3">
        <v>293</v>
      </c>
      <c r="T44" s="3"/>
      <c r="U44" s="3">
        <v>0</v>
      </c>
      <c r="V44" s="3" t="s">
        <v>8</v>
      </c>
      <c r="W44" s="5">
        <v>6944.85</v>
      </c>
      <c r="X44" s="3">
        <v>0</v>
      </c>
      <c r="Y44" s="3">
        <v>0</v>
      </c>
      <c r="Z44" s="3">
        <v>0</v>
      </c>
      <c r="AA44" s="3">
        <v>0</v>
      </c>
      <c r="AB44" s="5">
        <v>6944.85</v>
      </c>
      <c r="AD44" s="25" t="s">
        <v>1201</v>
      </c>
      <c r="AE44" s="25" t="s">
        <v>193</v>
      </c>
      <c r="AF44" s="26">
        <v>6944.85</v>
      </c>
      <c r="AG44" s="33">
        <f>AF44</f>
        <v>6944.85</v>
      </c>
      <c r="AH44" s="18"/>
      <c r="AI44" s="3"/>
      <c r="AJ44" s="3"/>
      <c r="AK44" s="3"/>
      <c r="AL44" s="15">
        <f t="shared" si="0"/>
        <v>6944.85</v>
      </c>
      <c r="AM44" s="15">
        <f t="shared" si="3"/>
        <v>0</v>
      </c>
      <c r="AN44" s="15">
        <f>AM44</f>
        <v>0</v>
      </c>
      <c r="AO44" s="15">
        <f t="shared" si="1"/>
        <v>0</v>
      </c>
      <c r="AQ44" s="15">
        <f t="shared" si="2"/>
        <v>0</v>
      </c>
    </row>
    <row r="45" spans="1:43" x14ac:dyDescent="0.25">
      <c r="A45">
        <v>38</v>
      </c>
      <c r="B45" s="10" t="s">
        <v>197</v>
      </c>
      <c r="C45" s="10" t="s">
        <v>1021</v>
      </c>
      <c r="D45" s="3" t="s">
        <v>198</v>
      </c>
      <c r="E45" s="3" t="s">
        <v>199</v>
      </c>
      <c r="F45" s="6" t="s">
        <v>200</v>
      </c>
      <c r="G45" s="3" t="s">
        <v>201</v>
      </c>
      <c r="H45" s="3" t="s">
        <v>14</v>
      </c>
      <c r="I45" s="3" t="s">
        <v>6</v>
      </c>
      <c r="J45" s="3" t="s">
        <v>33</v>
      </c>
      <c r="K45" s="3" t="s">
        <v>202</v>
      </c>
      <c r="L45" s="3"/>
      <c r="M45" s="3"/>
      <c r="N45" s="3" t="s">
        <v>22</v>
      </c>
      <c r="O45" s="3"/>
      <c r="P45" s="3"/>
      <c r="Q45" s="4">
        <v>46081</v>
      </c>
      <c r="R45" s="5">
        <v>635.95000000000005</v>
      </c>
      <c r="S45" s="3">
        <v>48</v>
      </c>
      <c r="T45" s="3"/>
      <c r="U45" s="3">
        <v>0</v>
      </c>
      <c r="V45" s="3" t="s">
        <v>8</v>
      </c>
      <c r="W45" s="5">
        <v>635.95000000000005</v>
      </c>
      <c r="X45" s="3">
        <v>0</v>
      </c>
      <c r="Y45" s="3">
        <v>0</v>
      </c>
      <c r="Z45" s="3">
        <v>0</v>
      </c>
      <c r="AA45" s="3">
        <v>0</v>
      </c>
      <c r="AB45" s="5">
        <v>635.95000000000005</v>
      </c>
      <c r="AD45" s="25"/>
      <c r="AE45" s="25"/>
      <c r="AF45" s="25"/>
      <c r="AG45" s="32"/>
      <c r="AH45" s="18"/>
      <c r="AI45" s="3"/>
      <c r="AJ45" s="3"/>
      <c r="AK45" s="3"/>
      <c r="AL45" s="15">
        <f t="shared" si="0"/>
        <v>0</v>
      </c>
      <c r="AM45" s="15">
        <f t="shared" si="3"/>
        <v>635.95000000000005</v>
      </c>
      <c r="AN45" s="15">
        <f t="shared" ref="AN45" si="6">AM45</f>
        <v>635.95000000000005</v>
      </c>
      <c r="AO45" s="15">
        <f t="shared" si="1"/>
        <v>0</v>
      </c>
      <c r="AQ45" s="15">
        <f t="shared" si="2"/>
        <v>0</v>
      </c>
    </row>
    <row r="46" spans="1:43" x14ac:dyDescent="0.25">
      <c r="A46">
        <v>39</v>
      </c>
      <c r="B46" s="10" t="s">
        <v>203</v>
      </c>
      <c r="C46" s="10" t="s">
        <v>1022</v>
      </c>
      <c r="D46" s="3" t="s">
        <v>204</v>
      </c>
      <c r="E46" s="3" t="s">
        <v>30</v>
      </c>
      <c r="F46" s="3" t="s">
        <v>205</v>
      </c>
      <c r="G46" s="3" t="s">
        <v>206</v>
      </c>
      <c r="H46" s="3" t="s">
        <v>14</v>
      </c>
      <c r="I46" s="3" t="s">
        <v>6</v>
      </c>
      <c r="J46" s="3" t="s">
        <v>33</v>
      </c>
      <c r="K46" s="3" t="s">
        <v>207</v>
      </c>
      <c r="L46" s="3"/>
      <c r="M46" s="3"/>
      <c r="N46" s="3" t="s">
        <v>22</v>
      </c>
      <c r="O46" s="3"/>
      <c r="P46" s="3"/>
      <c r="Q46" s="4">
        <v>46080</v>
      </c>
      <c r="R46" s="5">
        <v>207361.1</v>
      </c>
      <c r="S46" s="3">
        <v>1653</v>
      </c>
      <c r="T46" s="3"/>
      <c r="U46" s="3">
        <v>0</v>
      </c>
      <c r="V46" s="3" t="s">
        <v>8</v>
      </c>
      <c r="W46" s="5">
        <v>66835.7</v>
      </c>
      <c r="X46" s="3">
        <v>213871.25</v>
      </c>
      <c r="Y46" s="3">
        <v>155649.04999999999</v>
      </c>
      <c r="Z46" s="46">
        <v>0</v>
      </c>
      <c r="AA46" s="3">
        <v>0</v>
      </c>
      <c r="AB46" s="5">
        <f>SUM(W46:AA46)</f>
        <v>436356</v>
      </c>
      <c r="AD46" s="25" t="s">
        <v>1201</v>
      </c>
      <c r="AE46" s="25" t="s">
        <v>1269</v>
      </c>
      <c r="AF46" s="26">
        <v>211548.25</v>
      </c>
      <c r="AG46" s="32"/>
      <c r="AH46" s="19">
        <f>AF46-AJ46</f>
        <v>55899.200000000012</v>
      </c>
      <c r="AI46" s="3"/>
      <c r="AJ46" s="3">
        <f>Y46</f>
        <v>155649.04999999999</v>
      </c>
      <c r="AK46" s="3"/>
      <c r="AL46" s="15">
        <f t="shared" si="0"/>
        <v>211548.25</v>
      </c>
      <c r="AM46" s="15">
        <f t="shared" si="3"/>
        <v>224807.75</v>
      </c>
      <c r="AN46" s="15">
        <v>224807.75</v>
      </c>
      <c r="AO46" s="15">
        <f t="shared" si="1"/>
        <v>0</v>
      </c>
      <c r="AQ46" s="15">
        <f t="shared" si="2"/>
        <v>0</v>
      </c>
    </row>
    <row r="47" spans="1:43" x14ac:dyDescent="0.25">
      <c r="A47">
        <v>40</v>
      </c>
      <c r="B47" s="10" t="s">
        <v>208</v>
      </c>
      <c r="C47" s="10" t="s">
        <v>1023</v>
      </c>
      <c r="D47" s="3" t="s">
        <v>209</v>
      </c>
      <c r="E47" s="3" t="s">
        <v>210</v>
      </c>
      <c r="F47" s="3" t="s">
        <v>211</v>
      </c>
      <c r="G47" s="3" t="s">
        <v>212</v>
      </c>
      <c r="H47" s="3" t="s">
        <v>14</v>
      </c>
      <c r="I47" s="3" t="s">
        <v>6</v>
      </c>
      <c r="J47" s="3" t="s">
        <v>33</v>
      </c>
      <c r="K47" s="3" t="s">
        <v>213</v>
      </c>
      <c r="L47" s="3"/>
      <c r="M47" s="3"/>
      <c r="N47" s="3"/>
      <c r="O47" s="3">
        <v>7551</v>
      </c>
      <c r="P47" s="3"/>
      <c r="Q47" s="4">
        <v>46062</v>
      </c>
      <c r="R47" s="5">
        <v>99830.79</v>
      </c>
      <c r="S47" s="3">
        <v>176</v>
      </c>
      <c r="T47" s="3"/>
      <c r="U47" s="3">
        <v>0</v>
      </c>
      <c r="V47" s="3" t="s">
        <v>8</v>
      </c>
      <c r="W47" s="5">
        <v>151835.09</v>
      </c>
      <c r="X47" s="5">
        <v>134623.64000000001</v>
      </c>
      <c r="Y47" s="3">
        <v>0</v>
      </c>
      <c r="Z47" s="5">
        <v>4.5</v>
      </c>
      <c r="AA47" s="5">
        <v>1214.4000000000001</v>
      </c>
      <c r="AB47" s="5">
        <v>287677.63</v>
      </c>
      <c r="AD47" s="25" t="s">
        <v>1183</v>
      </c>
      <c r="AE47" s="25" t="s">
        <v>1194</v>
      </c>
      <c r="AF47" s="58">
        <v>134623.64000000001</v>
      </c>
      <c r="AG47" s="32"/>
      <c r="AH47" s="19">
        <f>AF47</f>
        <v>134623.64000000001</v>
      </c>
      <c r="AI47" s="3"/>
      <c r="AJ47" s="5"/>
      <c r="AK47" s="5"/>
      <c r="AL47" s="15">
        <f t="shared" si="0"/>
        <v>134623.64000000001</v>
      </c>
      <c r="AM47" s="15">
        <f t="shared" si="3"/>
        <v>153053.99</v>
      </c>
      <c r="AN47">
        <v>153053.99</v>
      </c>
      <c r="AO47" s="15">
        <f t="shared" si="1"/>
        <v>0</v>
      </c>
      <c r="AQ47" s="15">
        <f t="shared" si="2"/>
        <v>0</v>
      </c>
    </row>
    <row r="48" spans="1:43" x14ac:dyDescent="0.25">
      <c r="A48">
        <v>41</v>
      </c>
      <c r="B48" s="10" t="s">
        <v>214</v>
      </c>
      <c r="C48" s="10" t="s">
        <v>1024</v>
      </c>
      <c r="D48" s="3" t="s">
        <v>215</v>
      </c>
      <c r="E48" s="3" t="s">
        <v>215</v>
      </c>
      <c r="F48" s="3"/>
      <c r="G48" s="3" t="s">
        <v>216</v>
      </c>
      <c r="H48" s="3" t="s">
        <v>14</v>
      </c>
      <c r="I48" s="3" t="s">
        <v>6</v>
      </c>
      <c r="J48" s="3" t="s">
        <v>15</v>
      </c>
      <c r="K48" s="3" t="s">
        <v>217</v>
      </c>
      <c r="L48" s="3"/>
      <c r="M48" s="3"/>
      <c r="N48" s="3" t="s">
        <v>22</v>
      </c>
      <c r="O48" s="3"/>
      <c r="P48" s="3"/>
      <c r="Q48" s="4">
        <v>46081</v>
      </c>
      <c r="R48" s="5">
        <v>1069.79</v>
      </c>
      <c r="S48" s="3">
        <v>52</v>
      </c>
      <c r="T48" s="3"/>
      <c r="U48" s="3">
        <v>0</v>
      </c>
      <c r="V48" s="3" t="s">
        <v>8</v>
      </c>
      <c r="W48" s="5">
        <v>1069.79</v>
      </c>
      <c r="X48" s="3">
        <v>0</v>
      </c>
      <c r="Y48" s="3">
        <v>0</v>
      </c>
      <c r="Z48" s="3">
        <v>0</v>
      </c>
      <c r="AA48" s="3">
        <v>0</v>
      </c>
      <c r="AB48" s="5">
        <v>1069.79</v>
      </c>
      <c r="AD48" s="25" t="s">
        <v>1201</v>
      </c>
      <c r="AE48" s="25" t="s">
        <v>215</v>
      </c>
      <c r="AF48" s="58">
        <v>1069.79</v>
      </c>
      <c r="AG48" s="33">
        <f>AF48</f>
        <v>1069.79</v>
      </c>
      <c r="AH48" s="18"/>
      <c r="AI48" s="3"/>
      <c r="AJ48" s="3"/>
      <c r="AK48" s="3"/>
      <c r="AL48" s="15">
        <f t="shared" si="0"/>
        <v>1069.79</v>
      </c>
      <c r="AM48" s="15">
        <f t="shared" si="3"/>
        <v>0</v>
      </c>
      <c r="AN48" s="15">
        <f>AM48</f>
        <v>0</v>
      </c>
      <c r="AO48" s="15">
        <f t="shared" si="1"/>
        <v>0</v>
      </c>
      <c r="AQ48" s="15">
        <f t="shared" si="2"/>
        <v>0</v>
      </c>
    </row>
    <row r="49" spans="1:43" x14ac:dyDescent="0.25">
      <c r="A49">
        <v>42</v>
      </c>
      <c r="B49" s="10" t="s">
        <v>218</v>
      </c>
      <c r="C49" s="10" t="s">
        <v>1025</v>
      </c>
      <c r="D49" s="3" t="s">
        <v>219</v>
      </c>
      <c r="E49" s="3" t="s">
        <v>220</v>
      </c>
      <c r="F49" s="3"/>
      <c r="G49" s="3" t="s">
        <v>221</v>
      </c>
      <c r="H49" s="3" t="s">
        <v>14</v>
      </c>
      <c r="I49" s="3" t="s">
        <v>6</v>
      </c>
      <c r="J49" s="3" t="s">
        <v>33</v>
      </c>
      <c r="K49" s="3" t="s">
        <v>222</v>
      </c>
      <c r="L49" s="3"/>
      <c r="M49" s="3"/>
      <c r="N49" s="3" t="s">
        <v>22</v>
      </c>
      <c r="O49" s="3" t="s">
        <v>223</v>
      </c>
      <c r="P49" s="3"/>
      <c r="Q49" s="4">
        <v>46073</v>
      </c>
      <c r="R49" s="5">
        <v>47606.7</v>
      </c>
      <c r="S49" s="3">
        <v>275</v>
      </c>
      <c r="T49" s="3"/>
      <c r="U49" s="3">
        <v>0</v>
      </c>
      <c r="V49" s="3" t="s">
        <v>8</v>
      </c>
      <c r="W49" s="5">
        <v>65518.91</v>
      </c>
      <c r="X49" s="3">
        <v>0.09</v>
      </c>
      <c r="Y49" s="3">
        <v>0</v>
      </c>
      <c r="Z49" s="3">
        <v>0</v>
      </c>
      <c r="AA49" s="3">
        <v>0</v>
      </c>
      <c r="AB49" s="5">
        <v>65519</v>
      </c>
      <c r="AD49" s="25" t="s">
        <v>1191</v>
      </c>
      <c r="AE49" s="25" t="s">
        <v>1192</v>
      </c>
      <c r="AF49" s="26">
        <v>65519</v>
      </c>
      <c r="AG49" s="33">
        <f>AF49</f>
        <v>65519</v>
      </c>
      <c r="AH49" s="18"/>
      <c r="AI49" s="3"/>
      <c r="AJ49" s="3"/>
      <c r="AK49" s="3"/>
      <c r="AL49" s="15">
        <f t="shared" si="0"/>
        <v>65519</v>
      </c>
      <c r="AM49" s="15">
        <f t="shared" si="3"/>
        <v>0</v>
      </c>
      <c r="AN49">
        <v>0</v>
      </c>
      <c r="AO49" s="15">
        <f t="shared" si="1"/>
        <v>0</v>
      </c>
      <c r="AQ49" s="15">
        <f t="shared" si="2"/>
        <v>0</v>
      </c>
    </row>
    <row r="50" spans="1:43" x14ac:dyDescent="0.25">
      <c r="A50">
        <v>43</v>
      </c>
      <c r="B50" s="10">
        <v>2272</v>
      </c>
      <c r="C50" s="10" t="s">
        <v>1027</v>
      </c>
      <c r="D50" s="3" t="s">
        <v>224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>
        <v>0</v>
      </c>
      <c r="S50" s="3">
        <v>31</v>
      </c>
      <c r="T50" s="3"/>
      <c r="U50" s="3">
        <v>0</v>
      </c>
      <c r="V50" s="3" t="s">
        <v>8</v>
      </c>
      <c r="W50" s="5">
        <v>8484.7000000000007</v>
      </c>
      <c r="X50" s="3">
        <v>0</v>
      </c>
      <c r="Y50" s="3">
        <v>0</v>
      </c>
      <c r="Z50" s="3">
        <v>0</v>
      </c>
      <c r="AA50" s="3">
        <v>0</v>
      </c>
      <c r="AB50" s="5">
        <v>8484.7000000000007</v>
      </c>
      <c r="AD50" s="25"/>
      <c r="AE50" s="25"/>
      <c r="AF50" s="25"/>
      <c r="AG50" s="32"/>
      <c r="AH50" s="18"/>
      <c r="AI50" s="3"/>
      <c r="AJ50" s="3"/>
      <c r="AK50" s="3"/>
      <c r="AL50" s="15">
        <f t="shared" si="0"/>
        <v>0</v>
      </c>
      <c r="AM50" s="15">
        <f t="shared" si="3"/>
        <v>8484.7000000000007</v>
      </c>
      <c r="AN50" s="15">
        <v>8484.7000000000007</v>
      </c>
      <c r="AO50" s="15">
        <f t="shared" si="1"/>
        <v>0</v>
      </c>
      <c r="AQ50" s="15">
        <f t="shared" si="2"/>
        <v>0</v>
      </c>
    </row>
    <row r="51" spans="1:43" x14ac:dyDescent="0.25">
      <c r="A51">
        <v>44</v>
      </c>
      <c r="B51" s="10" t="s">
        <v>225</v>
      </c>
      <c r="C51" s="10" t="s">
        <v>1026</v>
      </c>
      <c r="D51" s="3" t="s">
        <v>226</v>
      </c>
      <c r="E51" s="3" t="s">
        <v>227</v>
      </c>
      <c r="F51" s="3" t="s">
        <v>228</v>
      </c>
      <c r="G51" s="3" t="s">
        <v>229</v>
      </c>
      <c r="H51" s="3" t="s">
        <v>14</v>
      </c>
      <c r="I51" s="3" t="s">
        <v>6</v>
      </c>
      <c r="J51" s="3" t="s">
        <v>15</v>
      </c>
      <c r="K51" s="3" t="s">
        <v>230</v>
      </c>
      <c r="L51" s="3"/>
      <c r="M51" s="3"/>
      <c r="N51" s="3"/>
      <c r="O51" s="3">
        <v>1685</v>
      </c>
      <c r="P51" s="3"/>
      <c r="Q51" s="4">
        <v>46081</v>
      </c>
      <c r="R51" s="5">
        <v>1303.28</v>
      </c>
      <c r="S51" s="3">
        <v>206</v>
      </c>
      <c r="T51" s="3"/>
      <c r="U51" s="3">
        <v>0</v>
      </c>
      <c r="V51" s="3" t="s">
        <v>8</v>
      </c>
      <c r="W51" s="5">
        <v>1303.3699999999999</v>
      </c>
      <c r="X51" s="3">
        <v>0</v>
      </c>
      <c r="Y51" s="3">
        <v>0</v>
      </c>
      <c r="Z51" s="3">
        <v>0</v>
      </c>
      <c r="AA51" s="3">
        <v>0</v>
      </c>
      <c r="AB51" s="5">
        <f>SUM(W51:AA51)</f>
        <v>1303.3699999999999</v>
      </c>
      <c r="AD51" s="25" t="s">
        <v>1201</v>
      </c>
      <c r="AE51" s="25" t="s">
        <v>1250</v>
      </c>
      <c r="AF51" s="26">
        <v>1303.3699999999999</v>
      </c>
      <c r="AG51" s="33">
        <f>AF51</f>
        <v>1303.3699999999999</v>
      </c>
      <c r="AH51" s="18"/>
      <c r="AI51" s="3"/>
      <c r="AJ51" s="3"/>
      <c r="AK51" s="3"/>
      <c r="AL51" s="15">
        <f t="shared" si="0"/>
        <v>1303.3699999999999</v>
      </c>
      <c r="AM51" s="15">
        <f t="shared" si="3"/>
        <v>0</v>
      </c>
      <c r="AN51" s="15">
        <f>AM51</f>
        <v>0</v>
      </c>
      <c r="AO51" s="15">
        <f t="shared" si="1"/>
        <v>0</v>
      </c>
      <c r="AQ51" s="15">
        <f t="shared" si="2"/>
        <v>0</v>
      </c>
    </row>
    <row r="52" spans="1:43" x14ac:dyDescent="0.25">
      <c r="A52">
        <v>45</v>
      </c>
      <c r="B52" s="10" t="s">
        <v>231</v>
      </c>
      <c r="C52" s="10" t="s">
        <v>1272</v>
      </c>
      <c r="D52" s="3" t="s">
        <v>232</v>
      </c>
      <c r="E52" s="3" t="s">
        <v>233</v>
      </c>
      <c r="F52" s="3" t="s">
        <v>234</v>
      </c>
      <c r="G52" s="3" t="s">
        <v>235</v>
      </c>
      <c r="H52" s="3" t="s">
        <v>236</v>
      </c>
      <c r="I52" s="3" t="s">
        <v>6</v>
      </c>
      <c r="J52" s="3"/>
      <c r="K52" s="3" t="s">
        <v>237</v>
      </c>
      <c r="L52" s="3"/>
      <c r="M52" s="3"/>
      <c r="N52" s="3"/>
      <c r="O52" s="3"/>
      <c r="P52" s="3"/>
      <c r="Q52" s="3"/>
      <c r="R52" s="3">
        <v>0</v>
      </c>
      <c r="S52" s="3">
        <v>2901</v>
      </c>
      <c r="T52" s="3"/>
      <c r="U52" s="3">
        <v>0</v>
      </c>
      <c r="V52" s="3" t="s">
        <v>8</v>
      </c>
      <c r="W52" s="3">
        <v>0</v>
      </c>
      <c r="X52" s="3">
        <v>0</v>
      </c>
      <c r="Y52" s="3">
        <v>0</v>
      </c>
      <c r="Z52" s="3">
        <v>0</v>
      </c>
      <c r="AA52" s="5">
        <v>78856.67</v>
      </c>
      <c r="AB52" s="5">
        <v>78856.67</v>
      </c>
      <c r="AD52" s="25"/>
      <c r="AE52" s="25"/>
      <c r="AF52" s="25"/>
      <c r="AG52" s="32"/>
      <c r="AH52" s="18"/>
      <c r="AI52" s="3"/>
      <c r="AJ52" s="3"/>
      <c r="AK52" s="5"/>
      <c r="AL52" s="15">
        <f t="shared" si="0"/>
        <v>0</v>
      </c>
      <c r="AM52" s="15">
        <f t="shared" si="3"/>
        <v>78856.67</v>
      </c>
      <c r="AN52" s="15">
        <v>78856.67</v>
      </c>
      <c r="AO52" s="15">
        <f t="shared" si="1"/>
        <v>0</v>
      </c>
      <c r="AQ52" s="15">
        <f t="shared" si="2"/>
        <v>0</v>
      </c>
    </row>
    <row r="53" spans="1:43" x14ac:dyDescent="0.25">
      <c r="A53">
        <v>46</v>
      </c>
      <c r="B53" s="10" t="s">
        <v>238</v>
      </c>
      <c r="C53" s="10" t="s">
        <v>1028</v>
      </c>
      <c r="D53" s="3" t="s">
        <v>239</v>
      </c>
      <c r="E53" s="3" t="s">
        <v>240</v>
      </c>
      <c r="F53" s="3" t="s">
        <v>241</v>
      </c>
      <c r="G53" s="3" t="s">
        <v>242</v>
      </c>
      <c r="H53" s="3" t="s">
        <v>14</v>
      </c>
      <c r="I53" s="3" t="s">
        <v>6</v>
      </c>
      <c r="J53" s="3" t="s">
        <v>15</v>
      </c>
      <c r="K53" s="3" t="s">
        <v>243</v>
      </c>
      <c r="L53" s="3"/>
      <c r="M53" s="3"/>
      <c r="N53" s="3"/>
      <c r="O53" s="3">
        <v>1600</v>
      </c>
      <c r="P53" s="3"/>
      <c r="Q53" s="4">
        <v>46081</v>
      </c>
      <c r="R53" s="5">
        <v>1300.3699999999999</v>
      </c>
      <c r="S53" s="3">
        <v>62</v>
      </c>
      <c r="T53" s="3"/>
      <c r="U53" s="3">
        <v>0</v>
      </c>
      <c r="V53" s="3" t="s">
        <v>8</v>
      </c>
      <c r="W53" s="5">
        <v>1300.3699999999999</v>
      </c>
      <c r="X53" s="3">
        <v>0</v>
      </c>
      <c r="Y53" s="3">
        <v>0</v>
      </c>
      <c r="Z53" s="3">
        <v>0</v>
      </c>
      <c r="AA53" s="3">
        <v>0</v>
      </c>
      <c r="AB53" s="5">
        <v>1300.3699999999999</v>
      </c>
      <c r="AD53" s="25" t="s">
        <v>1201</v>
      </c>
      <c r="AE53" s="25" t="s">
        <v>1249</v>
      </c>
      <c r="AF53" s="26">
        <v>1300.3699999999999</v>
      </c>
      <c r="AG53" s="33">
        <f>AF53</f>
        <v>1300.3699999999999</v>
      </c>
      <c r="AH53" s="18"/>
      <c r="AI53" s="3"/>
      <c r="AJ53" s="3"/>
      <c r="AK53" s="3"/>
      <c r="AL53" s="15">
        <f t="shared" si="0"/>
        <v>1300.3699999999999</v>
      </c>
      <c r="AM53" s="15">
        <f t="shared" si="3"/>
        <v>0</v>
      </c>
      <c r="AN53" s="15">
        <f>AM53</f>
        <v>0</v>
      </c>
      <c r="AO53" s="15">
        <f t="shared" si="1"/>
        <v>0</v>
      </c>
      <c r="AQ53" s="15">
        <f t="shared" si="2"/>
        <v>0</v>
      </c>
    </row>
    <row r="54" spans="1:43" x14ac:dyDescent="0.25">
      <c r="A54">
        <v>47</v>
      </c>
      <c r="B54" s="10" t="s">
        <v>244</v>
      </c>
      <c r="C54" s="10" t="s">
        <v>1272</v>
      </c>
      <c r="D54" s="3" t="s">
        <v>245</v>
      </c>
      <c r="E54" s="3" t="s">
        <v>246</v>
      </c>
      <c r="F54" s="3" t="s">
        <v>247</v>
      </c>
      <c r="G54" s="3" t="s">
        <v>248</v>
      </c>
      <c r="H54" s="3" t="s">
        <v>249</v>
      </c>
      <c r="I54" s="3" t="s">
        <v>6</v>
      </c>
      <c r="J54" s="3" t="s">
        <v>15</v>
      </c>
      <c r="K54" s="3" t="s">
        <v>250</v>
      </c>
      <c r="L54" s="3"/>
      <c r="M54" s="3"/>
      <c r="N54" s="3"/>
      <c r="O54" s="3">
        <v>2310</v>
      </c>
      <c r="P54" s="3"/>
      <c r="Q54" s="4">
        <v>43645</v>
      </c>
      <c r="R54" s="5">
        <v>8618.0400000000009</v>
      </c>
      <c r="S54" s="3">
        <v>282</v>
      </c>
      <c r="T54" s="3"/>
      <c r="U54" s="3">
        <v>0</v>
      </c>
      <c r="V54" s="3" t="s">
        <v>8</v>
      </c>
      <c r="W54" s="3">
        <v>0</v>
      </c>
      <c r="X54" s="3">
        <v>0</v>
      </c>
      <c r="Y54" s="3">
        <v>0</v>
      </c>
      <c r="Z54" s="3">
        <v>0</v>
      </c>
      <c r="AA54" s="3">
        <v>0.01</v>
      </c>
      <c r="AB54" s="3">
        <v>0.01</v>
      </c>
      <c r="AD54" s="25"/>
      <c r="AE54" s="25"/>
      <c r="AF54" s="25"/>
      <c r="AG54" s="32"/>
      <c r="AH54" s="18"/>
      <c r="AI54" s="3"/>
      <c r="AJ54" s="3"/>
      <c r="AK54" s="3"/>
      <c r="AL54" s="15">
        <f t="shared" si="0"/>
        <v>0</v>
      </c>
      <c r="AM54" s="15">
        <f t="shared" si="3"/>
        <v>0.01</v>
      </c>
      <c r="AN54" s="15">
        <f>AM54</f>
        <v>0.01</v>
      </c>
      <c r="AO54" s="15">
        <f t="shared" si="1"/>
        <v>0</v>
      </c>
      <c r="AQ54" s="15">
        <f t="shared" si="2"/>
        <v>0</v>
      </c>
    </row>
    <row r="55" spans="1:43" x14ac:dyDescent="0.25">
      <c r="A55">
        <v>48</v>
      </c>
      <c r="B55" s="10" t="s">
        <v>251</v>
      </c>
      <c r="C55" s="10" t="s">
        <v>1137</v>
      </c>
      <c r="D55" s="3" t="s">
        <v>252</v>
      </c>
      <c r="E55" s="3" t="s">
        <v>253</v>
      </c>
      <c r="F55" s="3" t="s">
        <v>254</v>
      </c>
      <c r="G55" s="3" t="s">
        <v>201</v>
      </c>
      <c r="H55" s="3" t="s">
        <v>14</v>
      </c>
      <c r="I55" s="3" t="s">
        <v>6</v>
      </c>
      <c r="J55" s="3" t="s">
        <v>33</v>
      </c>
      <c r="K55" s="3" t="s">
        <v>255</v>
      </c>
      <c r="L55" s="3"/>
      <c r="M55" s="3"/>
      <c r="N55" s="3"/>
      <c r="O55" s="3">
        <v>2037</v>
      </c>
      <c r="P55" s="3"/>
      <c r="Q55" s="4">
        <v>46080</v>
      </c>
      <c r="R55" s="5">
        <v>2255.15</v>
      </c>
      <c r="S55" s="3">
        <v>226</v>
      </c>
      <c r="T55" s="3"/>
      <c r="U55" s="3">
        <v>0</v>
      </c>
      <c r="V55" s="3" t="s">
        <v>8</v>
      </c>
      <c r="W55" s="5">
        <v>1785.95</v>
      </c>
      <c r="X55" s="3">
        <v>0</v>
      </c>
      <c r="Y55" s="3">
        <v>0</v>
      </c>
      <c r="Z55" s="3">
        <v>0</v>
      </c>
      <c r="AA55" s="3">
        <v>0</v>
      </c>
      <c r="AB55" s="5">
        <v>1785.95</v>
      </c>
      <c r="AD55" s="25"/>
      <c r="AE55" s="25"/>
      <c r="AF55" s="26"/>
      <c r="AG55" s="32"/>
      <c r="AH55" s="18"/>
      <c r="AI55" s="3"/>
      <c r="AJ55" s="3"/>
      <c r="AK55" s="3"/>
      <c r="AL55" s="15">
        <f t="shared" si="0"/>
        <v>0</v>
      </c>
      <c r="AM55" s="15">
        <f t="shared" si="3"/>
        <v>1785.95</v>
      </c>
      <c r="AN55" s="15">
        <f>AM55</f>
        <v>1785.95</v>
      </c>
      <c r="AO55" s="15">
        <f t="shared" si="1"/>
        <v>0</v>
      </c>
      <c r="AQ55" s="15">
        <f t="shared" si="2"/>
        <v>0</v>
      </c>
    </row>
    <row r="56" spans="1:43" x14ac:dyDescent="0.25">
      <c r="A56">
        <v>49</v>
      </c>
      <c r="B56" s="10" t="s">
        <v>256</v>
      </c>
      <c r="C56" s="10" t="s">
        <v>1029</v>
      </c>
      <c r="D56" s="3" t="s">
        <v>257</v>
      </c>
      <c r="E56" s="3" t="s">
        <v>258</v>
      </c>
      <c r="F56" s="3" t="s">
        <v>259</v>
      </c>
      <c r="G56" s="3" t="s">
        <v>260</v>
      </c>
      <c r="H56" s="3" t="s">
        <v>14</v>
      </c>
      <c r="I56" s="3" t="s">
        <v>6</v>
      </c>
      <c r="J56" s="3"/>
      <c r="K56" s="3" t="s">
        <v>261</v>
      </c>
      <c r="L56" s="3"/>
      <c r="M56" s="3"/>
      <c r="N56" s="3"/>
      <c r="O56" s="3">
        <v>1630</v>
      </c>
      <c r="P56" s="3"/>
      <c r="Q56" s="4">
        <v>46064</v>
      </c>
      <c r="R56" s="5">
        <v>1320.2</v>
      </c>
      <c r="S56" s="3">
        <v>818</v>
      </c>
      <c r="T56" s="3"/>
      <c r="U56" s="3">
        <v>0</v>
      </c>
      <c r="V56" s="3" t="s">
        <v>8</v>
      </c>
      <c r="W56" s="5">
        <v>182005.46</v>
      </c>
      <c r="X56" s="5">
        <v>168267.56</v>
      </c>
      <c r="Y56" s="3">
        <v>0</v>
      </c>
      <c r="Z56" s="3">
        <v>0</v>
      </c>
      <c r="AA56" s="3">
        <v>0</v>
      </c>
      <c r="AB56" s="5">
        <v>350273.02</v>
      </c>
      <c r="AD56" s="25" t="s">
        <v>1154</v>
      </c>
      <c r="AE56" s="25" t="s">
        <v>1195</v>
      </c>
      <c r="AF56" s="58">
        <v>168267.56</v>
      </c>
      <c r="AH56" s="26">
        <f>AF56</f>
        <v>168267.56</v>
      </c>
      <c r="AI56" s="3"/>
      <c r="AJ56" s="3"/>
      <c r="AK56" s="3"/>
      <c r="AL56" s="15">
        <f t="shared" si="0"/>
        <v>168267.56</v>
      </c>
      <c r="AM56" s="15">
        <f t="shared" si="3"/>
        <v>182005.46000000002</v>
      </c>
      <c r="AN56">
        <v>182005.46</v>
      </c>
      <c r="AO56" s="15">
        <f t="shared" si="1"/>
        <v>0</v>
      </c>
      <c r="AQ56" s="15">
        <f t="shared" si="2"/>
        <v>0</v>
      </c>
    </row>
    <row r="57" spans="1:43" x14ac:dyDescent="0.25">
      <c r="A57">
        <v>50</v>
      </c>
      <c r="B57" s="10" t="s">
        <v>262</v>
      </c>
      <c r="C57" s="10" t="s">
        <v>1030</v>
      </c>
      <c r="D57" s="3" t="s">
        <v>263</v>
      </c>
      <c r="E57" s="3" t="s">
        <v>264</v>
      </c>
      <c r="F57" s="3" t="s">
        <v>265</v>
      </c>
      <c r="G57" s="3" t="s">
        <v>266</v>
      </c>
      <c r="H57" s="3" t="s">
        <v>14</v>
      </c>
      <c r="I57" s="3" t="s">
        <v>6</v>
      </c>
      <c r="J57" s="3" t="s">
        <v>15</v>
      </c>
      <c r="K57" s="3" t="s">
        <v>267</v>
      </c>
      <c r="L57" s="3"/>
      <c r="M57" s="3"/>
      <c r="N57" s="3" t="s">
        <v>22</v>
      </c>
      <c r="O57" s="3"/>
      <c r="P57" s="3"/>
      <c r="Q57" s="4">
        <v>46081</v>
      </c>
      <c r="R57" s="5">
        <v>10832.23</v>
      </c>
      <c r="S57" s="3">
        <v>202</v>
      </c>
      <c r="T57" s="3"/>
      <c r="U57" s="3">
        <v>0</v>
      </c>
      <c r="V57" s="3" t="s">
        <v>8</v>
      </c>
      <c r="W57" s="5">
        <v>10832.23</v>
      </c>
      <c r="X57" s="3">
        <v>0</v>
      </c>
      <c r="Y57" s="3">
        <v>0</v>
      </c>
      <c r="Z57" s="3">
        <v>0</v>
      </c>
      <c r="AA57" s="3">
        <v>0</v>
      </c>
      <c r="AB57" s="5">
        <v>10832.23</v>
      </c>
      <c r="AD57" s="25" t="s">
        <v>1201</v>
      </c>
      <c r="AE57" s="25" t="s">
        <v>263</v>
      </c>
      <c r="AF57" s="26">
        <v>10832.23</v>
      </c>
      <c r="AG57" s="33">
        <f>AF57</f>
        <v>10832.23</v>
      </c>
      <c r="AH57" s="18"/>
      <c r="AI57" s="3"/>
      <c r="AJ57" s="3"/>
      <c r="AK57" s="3"/>
      <c r="AL57" s="15">
        <f t="shared" si="0"/>
        <v>10832.23</v>
      </c>
      <c r="AM57" s="15">
        <f t="shared" si="3"/>
        <v>0</v>
      </c>
      <c r="AN57" s="15">
        <f>AM57</f>
        <v>0</v>
      </c>
      <c r="AO57" s="15">
        <f t="shared" si="1"/>
        <v>0</v>
      </c>
      <c r="AQ57" s="15">
        <f t="shared" si="2"/>
        <v>0</v>
      </c>
    </row>
    <row r="58" spans="1:43" x14ac:dyDescent="0.25">
      <c r="A58">
        <v>51</v>
      </c>
      <c r="B58" s="10" t="s">
        <v>268</v>
      </c>
      <c r="C58" s="10" t="s">
        <v>1272</v>
      </c>
      <c r="D58" s="3" t="s">
        <v>269</v>
      </c>
      <c r="E58" s="3" t="s">
        <v>270</v>
      </c>
      <c r="F58" s="3" t="s">
        <v>271</v>
      </c>
      <c r="G58" s="3" t="s">
        <v>272</v>
      </c>
      <c r="H58" s="3" t="s">
        <v>14</v>
      </c>
      <c r="I58" s="3" t="s">
        <v>6</v>
      </c>
      <c r="J58" s="3"/>
      <c r="K58" s="3" t="s">
        <v>273</v>
      </c>
      <c r="L58" s="3"/>
      <c r="M58" s="3" t="s">
        <v>69</v>
      </c>
      <c r="N58" s="3" t="s">
        <v>22</v>
      </c>
      <c r="O58" s="3"/>
      <c r="P58" s="3"/>
      <c r="Q58" s="4">
        <v>46053</v>
      </c>
      <c r="R58" s="5">
        <v>484.15</v>
      </c>
      <c r="S58" s="3">
        <v>62</v>
      </c>
      <c r="T58" s="3"/>
      <c r="U58" s="3">
        <v>0</v>
      </c>
      <c r="V58" s="3" t="s">
        <v>8</v>
      </c>
      <c r="W58" s="3">
        <v>0</v>
      </c>
      <c r="X58" s="5">
        <v>-279.45</v>
      </c>
      <c r="Y58" s="3">
        <v>0</v>
      </c>
      <c r="Z58" s="3">
        <v>0</v>
      </c>
      <c r="AA58" s="3">
        <v>0</v>
      </c>
      <c r="AB58" s="5">
        <v>-279.45</v>
      </c>
      <c r="AD58" s="25"/>
      <c r="AE58" s="25"/>
      <c r="AF58" s="25"/>
      <c r="AG58" s="32"/>
      <c r="AH58" s="19"/>
      <c r="AI58" s="3"/>
      <c r="AJ58" s="3"/>
      <c r="AK58" s="3"/>
      <c r="AL58" s="15">
        <f t="shared" si="0"/>
        <v>0</v>
      </c>
      <c r="AM58" s="15">
        <f t="shared" si="3"/>
        <v>-279.45</v>
      </c>
      <c r="AN58">
        <v>-279.45</v>
      </c>
      <c r="AO58" s="15">
        <f t="shared" si="1"/>
        <v>0</v>
      </c>
      <c r="AQ58" s="15">
        <f t="shared" si="2"/>
        <v>0</v>
      </c>
    </row>
    <row r="59" spans="1:43" x14ac:dyDescent="0.25">
      <c r="A59">
        <v>52</v>
      </c>
      <c r="B59" s="10" t="s">
        <v>274</v>
      </c>
      <c r="C59" s="10" t="s">
        <v>1031</v>
      </c>
      <c r="D59" s="3" t="s">
        <v>275</v>
      </c>
      <c r="E59" s="3" t="s">
        <v>276</v>
      </c>
      <c r="F59" s="3" t="s">
        <v>277</v>
      </c>
      <c r="G59" s="3" t="s">
        <v>278</v>
      </c>
      <c r="H59" s="3" t="s">
        <v>14</v>
      </c>
      <c r="I59" s="3" t="s">
        <v>6</v>
      </c>
      <c r="J59" s="3" t="s">
        <v>15</v>
      </c>
      <c r="K59" s="3" t="s">
        <v>279</v>
      </c>
      <c r="L59" s="3" t="s">
        <v>76</v>
      </c>
      <c r="M59" s="3" t="s">
        <v>69</v>
      </c>
      <c r="N59" s="3" t="s">
        <v>22</v>
      </c>
      <c r="O59" s="3">
        <v>2123</v>
      </c>
      <c r="P59" s="3"/>
      <c r="Q59" s="4">
        <v>46081</v>
      </c>
      <c r="R59" s="5">
        <v>126.17</v>
      </c>
      <c r="S59" s="3">
        <v>108</v>
      </c>
      <c r="T59" s="3"/>
      <c r="U59" s="3">
        <v>0</v>
      </c>
      <c r="V59" s="3" t="s">
        <v>8</v>
      </c>
      <c r="W59" s="5">
        <v>126.17</v>
      </c>
      <c r="X59" s="3">
        <v>0</v>
      </c>
      <c r="Y59" s="3">
        <v>0</v>
      </c>
      <c r="Z59" s="3">
        <v>0</v>
      </c>
      <c r="AA59" s="3">
        <v>0</v>
      </c>
      <c r="AB59" s="5">
        <v>126.17</v>
      </c>
      <c r="AD59" s="25"/>
      <c r="AE59" s="25"/>
      <c r="AF59" s="25"/>
      <c r="AG59" s="32"/>
      <c r="AH59" s="18"/>
      <c r="AI59" s="3"/>
      <c r="AJ59" s="3"/>
      <c r="AK59" s="3"/>
      <c r="AL59" s="15">
        <f t="shared" si="0"/>
        <v>0</v>
      </c>
      <c r="AM59" s="15">
        <f t="shared" si="3"/>
        <v>126.17</v>
      </c>
      <c r="AN59" s="15">
        <f>AM59</f>
        <v>126.17</v>
      </c>
      <c r="AO59" s="15">
        <f t="shared" si="1"/>
        <v>0</v>
      </c>
      <c r="AQ59" s="15">
        <f t="shared" si="2"/>
        <v>0</v>
      </c>
    </row>
    <row r="60" spans="1:43" x14ac:dyDescent="0.25">
      <c r="A60">
        <v>53</v>
      </c>
      <c r="B60" s="10" t="s">
        <v>280</v>
      </c>
      <c r="C60" s="10" t="s">
        <v>1032</v>
      </c>
      <c r="D60" s="3" t="s">
        <v>281</v>
      </c>
      <c r="E60" s="3" t="s">
        <v>282</v>
      </c>
      <c r="F60" s="3" t="s">
        <v>283</v>
      </c>
      <c r="G60" s="3" t="s">
        <v>284</v>
      </c>
      <c r="H60" s="3" t="s">
        <v>14</v>
      </c>
      <c r="I60" s="3" t="s">
        <v>6</v>
      </c>
      <c r="J60" s="3" t="s">
        <v>15</v>
      </c>
      <c r="K60" s="3" t="s">
        <v>285</v>
      </c>
      <c r="L60" s="3"/>
      <c r="M60" s="3"/>
      <c r="N60" s="3"/>
      <c r="O60" s="3">
        <v>2192</v>
      </c>
      <c r="P60" s="3"/>
      <c r="Q60" s="4">
        <v>46081</v>
      </c>
      <c r="R60" s="5">
        <v>358.11</v>
      </c>
      <c r="S60" s="3">
        <v>108</v>
      </c>
      <c r="T60" s="3"/>
      <c r="U60" s="3">
        <v>0</v>
      </c>
      <c r="V60" s="3" t="s">
        <v>8</v>
      </c>
      <c r="W60" s="5">
        <v>358.11</v>
      </c>
      <c r="X60" s="3">
        <v>0</v>
      </c>
      <c r="Y60" s="3">
        <v>0</v>
      </c>
      <c r="Z60" s="3">
        <v>0</v>
      </c>
      <c r="AA60" s="3">
        <v>0</v>
      </c>
      <c r="AB60" s="5">
        <v>358.11</v>
      </c>
      <c r="AD60" s="25" t="s">
        <v>1201</v>
      </c>
      <c r="AE60" s="25" t="s">
        <v>281</v>
      </c>
      <c r="AF60" s="26">
        <v>358.11</v>
      </c>
      <c r="AG60" s="33">
        <f>W60</f>
        <v>358.11</v>
      </c>
      <c r="AH60" s="18"/>
      <c r="AI60" s="3"/>
      <c r="AJ60" s="3"/>
      <c r="AK60" s="3"/>
      <c r="AL60" s="15">
        <f t="shared" si="0"/>
        <v>358.11</v>
      </c>
      <c r="AM60" s="15">
        <f t="shared" si="3"/>
        <v>0</v>
      </c>
      <c r="AN60" s="15">
        <f>AM60</f>
        <v>0</v>
      </c>
      <c r="AO60" s="15">
        <f t="shared" si="1"/>
        <v>0</v>
      </c>
      <c r="AQ60" s="15">
        <f t="shared" si="2"/>
        <v>0</v>
      </c>
    </row>
    <row r="61" spans="1:43" s="43" customFormat="1" x14ac:dyDescent="0.25">
      <c r="A61" s="43">
        <v>54</v>
      </c>
      <c r="B61" s="41" t="s">
        <v>286</v>
      </c>
      <c r="C61" s="41" t="s">
        <v>1034</v>
      </c>
      <c r="D61" s="40" t="s">
        <v>287</v>
      </c>
      <c r="E61" s="40" t="s">
        <v>288</v>
      </c>
      <c r="F61" s="40" t="s">
        <v>289</v>
      </c>
      <c r="G61" s="40" t="s">
        <v>290</v>
      </c>
      <c r="H61" s="40" t="s">
        <v>14</v>
      </c>
      <c r="I61" s="40" t="s">
        <v>6</v>
      </c>
      <c r="J61" s="40" t="s">
        <v>15</v>
      </c>
      <c r="K61" s="40" t="s">
        <v>291</v>
      </c>
      <c r="L61" s="40"/>
      <c r="M61" s="40"/>
      <c r="N61" s="40"/>
      <c r="O61" s="40">
        <v>1504</v>
      </c>
      <c r="P61" s="40"/>
      <c r="Q61" s="42">
        <v>46081</v>
      </c>
      <c r="R61" s="16">
        <v>70687.3</v>
      </c>
      <c r="S61" s="40">
        <v>429</v>
      </c>
      <c r="T61" s="40" t="s">
        <v>292</v>
      </c>
      <c r="U61" s="40">
        <v>0</v>
      </c>
      <c r="V61" s="40" t="s">
        <v>8</v>
      </c>
      <c r="W61" s="16">
        <v>1610</v>
      </c>
      <c r="X61" s="40">
        <v>0</v>
      </c>
      <c r="Y61" s="40">
        <v>0</v>
      </c>
      <c r="Z61" s="40">
        <v>0</v>
      </c>
      <c r="AA61" s="40">
        <v>0</v>
      </c>
      <c r="AB61" s="16">
        <v>1610</v>
      </c>
      <c r="AD61" s="44" t="s">
        <v>1154</v>
      </c>
      <c r="AE61" s="44" t="s">
        <v>1159</v>
      </c>
      <c r="AF61" s="27">
        <v>1207.5</v>
      </c>
      <c r="AG61" s="48"/>
      <c r="AH61" s="20">
        <f>AF61</f>
        <v>1207.5</v>
      </c>
      <c r="AI61" s="40"/>
      <c r="AJ61" s="40"/>
      <c r="AK61" s="40"/>
      <c r="AL61" s="17">
        <f t="shared" si="0"/>
        <v>1207.5</v>
      </c>
      <c r="AM61" s="17">
        <f t="shared" si="3"/>
        <v>402.5</v>
      </c>
      <c r="AN61" s="17">
        <v>402.5</v>
      </c>
      <c r="AO61" s="17">
        <f t="shared" si="1"/>
        <v>0</v>
      </c>
      <c r="AQ61" s="17">
        <f t="shared" si="2"/>
        <v>0</v>
      </c>
    </row>
    <row r="62" spans="1:43" x14ac:dyDescent="0.25">
      <c r="A62">
        <v>55</v>
      </c>
      <c r="B62" s="10" t="s">
        <v>293</v>
      </c>
      <c r="C62" s="10" t="s">
        <v>1033</v>
      </c>
      <c r="D62" s="3" t="s">
        <v>294</v>
      </c>
      <c r="E62" s="3" t="s">
        <v>295</v>
      </c>
      <c r="F62" s="6" t="s">
        <v>296</v>
      </c>
      <c r="G62" s="3" t="s">
        <v>297</v>
      </c>
      <c r="H62" s="3" t="s">
        <v>14</v>
      </c>
      <c r="I62" s="3" t="s">
        <v>6</v>
      </c>
      <c r="J62" s="3" t="s">
        <v>15</v>
      </c>
      <c r="K62" s="3" t="s">
        <v>298</v>
      </c>
      <c r="L62" s="3"/>
      <c r="M62" s="3"/>
      <c r="N62" s="3" t="s">
        <v>22</v>
      </c>
      <c r="O62" s="3"/>
      <c r="P62" s="3"/>
      <c r="Q62" s="4">
        <v>46052</v>
      </c>
      <c r="R62" s="5">
        <v>2012.5</v>
      </c>
      <c r="S62" s="3">
        <v>32</v>
      </c>
      <c r="T62" s="3"/>
      <c r="U62" s="3">
        <v>0</v>
      </c>
      <c r="V62" s="3" t="s">
        <v>8</v>
      </c>
      <c r="W62" s="5">
        <v>2012.5</v>
      </c>
      <c r="X62" s="3">
        <v>0</v>
      </c>
      <c r="Y62" s="3">
        <v>0</v>
      </c>
      <c r="Z62" s="3">
        <v>0</v>
      </c>
      <c r="AA62" s="3">
        <v>0</v>
      </c>
      <c r="AB62" s="5">
        <v>2012.5</v>
      </c>
      <c r="AD62" s="25"/>
      <c r="AE62" s="25"/>
      <c r="AF62" s="25"/>
      <c r="AG62" s="32"/>
      <c r="AH62" s="18"/>
      <c r="AI62" s="3"/>
      <c r="AJ62" s="3"/>
      <c r="AK62" s="3"/>
      <c r="AL62" s="15">
        <f t="shared" si="0"/>
        <v>0</v>
      </c>
      <c r="AM62" s="15">
        <f t="shared" si="3"/>
        <v>2012.5</v>
      </c>
      <c r="AN62" s="15">
        <f>AM62</f>
        <v>2012.5</v>
      </c>
      <c r="AO62" s="15">
        <f t="shared" si="1"/>
        <v>0</v>
      </c>
      <c r="AQ62" s="15">
        <f t="shared" si="2"/>
        <v>0</v>
      </c>
    </row>
    <row r="63" spans="1:43" x14ac:dyDescent="0.25">
      <c r="A63">
        <v>56</v>
      </c>
      <c r="B63" s="10" t="s">
        <v>299</v>
      </c>
      <c r="C63" s="10" t="s">
        <v>1035</v>
      </c>
      <c r="D63" s="3" t="s">
        <v>300</v>
      </c>
      <c r="E63" s="3" t="s">
        <v>301</v>
      </c>
      <c r="F63" s="3" t="s">
        <v>302</v>
      </c>
      <c r="G63" s="3" t="s">
        <v>303</v>
      </c>
      <c r="H63" s="3" t="s">
        <v>14</v>
      </c>
      <c r="I63" s="3" t="s">
        <v>6</v>
      </c>
      <c r="J63" s="3" t="s">
        <v>15</v>
      </c>
      <c r="K63" s="3" t="s">
        <v>304</v>
      </c>
      <c r="L63" s="3"/>
      <c r="M63" s="3"/>
      <c r="N63" s="3"/>
      <c r="O63" s="6" t="s">
        <v>305</v>
      </c>
      <c r="P63" s="3"/>
      <c r="Q63" s="4">
        <v>46081</v>
      </c>
      <c r="R63" s="5">
        <v>230.15</v>
      </c>
      <c r="S63" s="3">
        <v>40</v>
      </c>
      <c r="T63" s="3"/>
      <c r="U63" s="3">
        <v>0</v>
      </c>
      <c r="V63" s="3" t="s">
        <v>8</v>
      </c>
      <c r="W63" s="5">
        <v>230.35</v>
      </c>
      <c r="X63" s="3">
        <v>0</v>
      </c>
      <c r="Y63" s="3">
        <v>0</v>
      </c>
      <c r="Z63" s="3">
        <v>0</v>
      </c>
      <c r="AA63" s="3">
        <v>0</v>
      </c>
      <c r="AB63" s="5">
        <v>230.35</v>
      </c>
      <c r="AD63" s="25"/>
      <c r="AE63" s="25"/>
      <c r="AF63" s="25"/>
      <c r="AG63" s="32"/>
      <c r="AH63" s="18"/>
      <c r="AI63" s="3"/>
      <c r="AJ63" s="3"/>
      <c r="AK63" s="3"/>
      <c r="AL63" s="15">
        <f t="shared" si="0"/>
        <v>0</v>
      </c>
      <c r="AM63" s="15">
        <f t="shared" si="3"/>
        <v>230.35</v>
      </c>
      <c r="AN63" s="15">
        <f t="shared" ref="AN63:AN65" si="7">AM63</f>
        <v>230.35</v>
      </c>
      <c r="AO63" s="15">
        <f t="shared" si="1"/>
        <v>0</v>
      </c>
      <c r="AQ63" s="15">
        <f t="shared" si="2"/>
        <v>0</v>
      </c>
    </row>
    <row r="64" spans="1:43" x14ac:dyDescent="0.25">
      <c r="A64">
        <v>57</v>
      </c>
      <c r="B64" s="10" t="s">
        <v>306</v>
      </c>
      <c r="C64" s="10" t="s">
        <v>1036</v>
      </c>
      <c r="D64" s="3" t="s">
        <v>307</v>
      </c>
      <c r="E64" s="3" t="s">
        <v>308</v>
      </c>
      <c r="F64" s="3" t="s">
        <v>309</v>
      </c>
      <c r="G64" s="3" t="s">
        <v>310</v>
      </c>
      <c r="H64" s="3" t="s">
        <v>14</v>
      </c>
      <c r="I64" s="3" t="s">
        <v>6</v>
      </c>
      <c r="J64" s="3"/>
      <c r="K64" s="3" t="s">
        <v>311</v>
      </c>
      <c r="L64" s="3"/>
      <c r="M64" s="3"/>
      <c r="N64" s="3" t="s">
        <v>22</v>
      </c>
      <c r="O64" s="3"/>
      <c r="P64" s="3"/>
      <c r="Q64" s="4">
        <v>46081</v>
      </c>
      <c r="R64" s="5">
        <v>94.48</v>
      </c>
      <c r="S64" s="3">
        <v>43</v>
      </c>
      <c r="T64" s="3"/>
      <c r="U64" s="3">
        <v>0</v>
      </c>
      <c r="V64" s="3" t="s">
        <v>8</v>
      </c>
      <c r="W64" s="5">
        <v>94.48</v>
      </c>
      <c r="X64" s="3">
        <v>0</v>
      </c>
      <c r="Y64" s="3">
        <v>0</v>
      </c>
      <c r="Z64" s="3">
        <v>0</v>
      </c>
      <c r="AA64" s="3">
        <v>0</v>
      </c>
      <c r="AB64" s="5">
        <v>94.48</v>
      </c>
      <c r="AD64" s="25"/>
      <c r="AE64" s="25"/>
      <c r="AF64" s="25"/>
      <c r="AG64" s="32"/>
      <c r="AH64" s="18"/>
      <c r="AI64" s="3"/>
      <c r="AJ64" s="3"/>
      <c r="AK64" s="3"/>
      <c r="AL64" s="15">
        <f t="shared" si="0"/>
        <v>0</v>
      </c>
      <c r="AM64" s="15">
        <f t="shared" si="3"/>
        <v>94.48</v>
      </c>
      <c r="AN64" s="15">
        <f t="shared" si="7"/>
        <v>94.48</v>
      </c>
      <c r="AO64" s="15">
        <f t="shared" si="1"/>
        <v>0</v>
      </c>
      <c r="AQ64" s="15">
        <f t="shared" si="2"/>
        <v>0</v>
      </c>
    </row>
    <row r="65" spans="1:43" x14ac:dyDescent="0.25">
      <c r="A65">
        <v>58</v>
      </c>
      <c r="B65" s="10" t="s">
        <v>312</v>
      </c>
      <c r="C65" s="10" t="s">
        <v>1037</v>
      </c>
      <c r="D65" s="3" t="s">
        <v>313</v>
      </c>
      <c r="E65" s="3" t="s">
        <v>314</v>
      </c>
      <c r="F65" s="3" t="s">
        <v>315</v>
      </c>
      <c r="G65" s="3" t="s">
        <v>316</v>
      </c>
      <c r="H65" s="3" t="s">
        <v>14</v>
      </c>
      <c r="I65" s="3" t="s">
        <v>6</v>
      </c>
      <c r="J65" s="3"/>
      <c r="K65" s="3" t="s">
        <v>317</v>
      </c>
      <c r="L65" s="3"/>
      <c r="M65" s="3"/>
      <c r="N65" s="3"/>
      <c r="O65" s="3">
        <v>1540</v>
      </c>
      <c r="P65" s="3"/>
      <c r="Q65" s="4">
        <v>46081</v>
      </c>
      <c r="R65" s="5">
        <v>2493.9699999999998</v>
      </c>
      <c r="S65" s="3">
        <v>128</v>
      </c>
      <c r="T65" s="3" t="s">
        <v>318</v>
      </c>
      <c r="U65" s="3">
        <v>0</v>
      </c>
      <c r="V65" s="3" t="s">
        <v>8</v>
      </c>
      <c r="W65" s="5">
        <v>2493.9699999999998</v>
      </c>
      <c r="X65" s="3">
        <v>0</v>
      </c>
      <c r="Y65" s="3">
        <v>0</v>
      </c>
      <c r="Z65" s="3">
        <v>0</v>
      </c>
      <c r="AA65" s="3">
        <v>0</v>
      </c>
      <c r="AB65" s="5">
        <v>2493.9699999999998</v>
      </c>
      <c r="AD65" s="25"/>
      <c r="AE65" s="25"/>
      <c r="AF65" s="25"/>
      <c r="AG65" s="32"/>
      <c r="AH65" s="18"/>
      <c r="AI65" s="3"/>
      <c r="AJ65" s="3"/>
      <c r="AK65" s="3"/>
      <c r="AL65" s="15">
        <f t="shared" si="0"/>
        <v>0</v>
      </c>
      <c r="AM65" s="15">
        <f t="shared" si="3"/>
        <v>2493.9699999999998</v>
      </c>
      <c r="AN65" s="15">
        <f t="shared" si="7"/>
        <v>2493.9699999999998</v>
      </c>
      <c r="AO65" s="15">
        <f t="shared" si="1"/>
        <v>0</v>
      </c>
      <c r="AQ65" s="15">
        <f t="shared" si="2"/>
        <v>0</v>
      </c>
    </row>
    <row r="66" spans="1:43" x14ac:dyDescent="0.25">
      <c r="A66">
        <v>59</v>
      </c>
      <c r="B66" s="10">
        <v>1091</v>
      </c>
      <c r="C66" s="10" t="s">
        <v>1272</v>
      </c>
      <c r="D66" s="3" t="s">
        <v>319</v>
      </c>
      <c r="E66" s="3" t="s">
        <v>319</v>
      </c>
      <c r="F66" s="3" t="s">
        <v>320</v>
      </c>
      <c r="G66" s="3" t="s">
        <v>321</v>
      </c>
      <c r="H66" s="3" t="s">
        <v>14</v>
      </c>
      <c r="I66" s="3" t="s">
        <v>6</v>
      </c>
      <c r="J66" s="3"/>
      <c r="K66" s="3" t="s">
        <v>322</v>
      </c>
      <c r="L66" s="3"/>
      <c r="M66" s="3"/>
      <c r="N66" s="3" t="s">
        <v>22</v>
      </c>
      <c r="O66" s="3"/>
      <c r="P66" s="3"/>
      <c r="Q66" s="4">
        <v>46081</v>
      </c>
      <c r="R66" s="5">
        <v>126.72</v>
      </c>
      <c r="S66" s="3">
        <v>42</v>
      </c>
      <c r="T66" s="3"/>
      <c r="U66" s="3">
        <v>0</v>
      </c>
      <c r="V66" s="3" t="s">
        <v>8</v>
      </c>
      <c r="W66" s="5">
        <v>126.72</v>
      </c>
      <c r="X66" s="3">
        <v>0</v>
      </c>
      <c r="Y66" s="3">
        <v>0</v>
      </c>
      <c r="Z66" s="3">
        <v>0</v>
      </c>
      <c r="AA66" s="3">
        <v>0</v>
      </c>
      <c r="AB66" s="5">
        <v>126.72</v>
      </c>
      <c r="AD66" s="25"/>
      <c r="AE66" s="25"/>
      <c r="AF66" s="25"/>
      <c r="AG66" s="32"/>
      <c r="AH66" s="18"/>
      <c r="AI66" s="3"/>
      <c r="AJ66" s="3"/>
      <c r="AK66" s="3"/>
      <c r="AL66" s="15">
        <f t="shared" si="0"/>
        <v>0</v>
      </c>
      <c r="AM66" s="15">
        <f t="shared" si="3"/>
        <v>126.72</v>
      </c>
      <c r="AN66" s="15">
        <f>AM66</f>
        <v>126.72</v>
      </c>
      <c r="AO66" s="15">
        <f t="shared" si="1"/>
        <v>0</v>
      </c>
      <c r="AQ66" s="15">
        <f t="shared" si="2"/>
        <v>0</v>
      </c>
    </row>
    <row r="67" spans="1:43" x14ac:dyDescent="0.25">
      <c r="A67">
        <v>60</v>
      </c>
      <c r="B67" s="10" t="s">
        <v>323</v>
      </c>
      <c r="C67" s="10" t="s">
        <v>1272</v>
      </c>
      <c r="D67" s="3" t="s">
        <v>324</v>
      </c>
      <c r="E67" s="3" t="s">
        <v>325</v>
      </c>
      <c r="F67" s="3" t="s">
        <v>326</v>
      </c>
      <c r="G67" s="3" t="s">
        <v>327</v>
      </c>
      <c r="H67" s="3" t="s">
        <v>328</v>
      </c>
      <c r="I67" s="3" t="s">
        <v>6</v>
      </c>
      <c r="J67" s="3" t="s">
        <v>33</v>
      </c>
      <c r="K67" s="3" t="s">
        <v>329</v>
      </c>
      <c r="L67" s="3"/>
      <c r="M67" s="3"/>
      <c r="N67" s="3"/>
      <c r="O67" s="3">
        <v>8300</v>
      </c>
      <c r="P67" s="3"/>
      <c r="Q67" s="4">
        <v>43364</v>
      </c>
      <c r="R67" s="5">
        <v>40097.620000000003</v>
      </c>
      <c r="S67" s="3">
        <v>1635</v>
      </c>
      <c r="T67" s="3"/>
      <c r="U67" s="3">
        <v>0</v>
      </c>
      <c r="V67" s="3" t="s">
        <v>8</v>
      </c>
      <c r="W67" s="3">
        <v>0</v>
      </c>
      <c r="X67" s="3">
        <v>0</v>
      </c>
      <c r="Y67" s="3">
        <v>0</v>
      </c>
      <c r="Z67" s="3">
        <v>0</v>
      </c>
      <c r="AA67" s="3">
        <v>0.02</v>
      </c>
      <c r="AB67" s="3">
        <v>0.02</v>
      </c>
      <c r="AD67" s="25"/>
      <c r="AE67" s="25"/>
      <c r="AF67" s="25"/>
      <c r="AG67" s="32"/>
      <c r="AH67" s="18"/>
      <c r="AI67" s="3"/>
      <c r="AJ67" s="3"/>
      <c r="AK67" s="3"/>
      <c r="AL67" s="15">
        <f t="shared" si="0"/>
        <v>0</v>
      </c>
      <c r="AM67" s="15">
        <f t="shared" si="3"/>
        <v>0.02</v>
      </c>
      <c r="AN67">
        <v>0</v>
      </c>
      <c r="AO67" s="15">
        <f t="shared" si="1"/>
        <v>0.02</v>
      </c>
      <c r="AQ67" s="15">
        <f t="shared" si="2"/>
        <v>0</v>
      </c>
    </row>
    <row r="68" spans="1:43" x14ac:dyDescent="0.25">
      <c r="A68">
        <v>61</v>
      </c>
      <c r="B68" s="10" t="s">
        <v>330</v>
      </c>
      <c r="C68" s="10" t="s">
        <v>1038</v>
      </c>
      <c r="D68" s="3" t="s">
        <v>331</v>
      </c>
      <c r="E68" s="3" t="s">
        <v>332</v>
      </c>
      <c r="F68" s="3" t="s">
        <v>333</v>
      </c>
      <c r="G68" s="3" t="s">
        <v>334</v>
      </c>
      <c r="H68" s="3" t="s">
        <v>14</v>
      </c>
      <c r="I68" s="3" t="s">
        <v>6</v>
      </c>
      <c r="J68" s="3" t="s">
        <v>15</v>
      </c>
      <c r="K68" s="3" t="s">
        <v>335</v>
      </c>
      <c r="L68" s="3"/>
      <c r="M68" s="3"/>
      <c r="N68" s="3"/>
      <c r="O68" s="3">
        <v>2041</v>
      </c>
      <c r="P68" s="3"/>
      <c r="Q68" s="4">
        <v>46081</v>
      </c>
      <c r="R68" s="5">
        <v>139.1</v>
      </c>
      <c r="S68" s="3">
        <v>148</v>
      </c>
      <c r="T68" s="3"/>
      <c r="U68" s="3">
        <v>0</v>
      </c>
      <c r="V68" s="3" t="s">
        <v>8</v>
      </c>
      <c r="W68" s="5">
        <v>139.1</v>
      </c>
      <c r="X68" s="3">
        <v>0</v>
      </c>
      <c r="Y68" s="3">
        <v>0</v>
      </c>
      <c r="Z68" s="3">
        <v>0</v>
      </c>
      <c r="AA68" s="3">
        <v>0</v>
      </c>
      <c r="AB68" s="5">
        <v>139.1</v>
      </c>
      <c r="AD68" s="25"/>
      <c r="AE68" s="25"/>
      <c r="AF68" s="25"/>
      <c r="AG68" s="32"/>
      <c r="AH68" s="18"/>
      <c r="AI68" s="3"/>
      <c r="AJ68" s="3"/>
      <c r="AK68" s="3"/>
      <c r="AL68" s="15">
        <f t="shared" si="0"/>
        <v>0</v>
      </c>
      <c r="AM68" s="15">
        <f t="shared" si="3"/>
        <v>139.1</v>
      </c>
      <c r="AN68" s="15">
        <f>AM68</f>
        <v>139.1</v>
      </c>
      <c r="AO68" s="15">
        <f t="shared" si="1"/>
        <v>0</v>
      </c>
      <c r="AQ68" s="15">
        <f t="shared" si="2"/>
        <v>0</v>
      </c>
    </row>
    <row r="69" spans="1:43" x14ac:dyDescent="0.25">
      <c r="A69">
        <v>62</v>
      </c>
      <c r="B69" s="10" t="s">
        <v>336</v>
      </c>
      <c r="C69" s="10" t="s">
        <v>1039</v>
      </c>
      <c r="D69" s="3" t="s">
        <v>337</v>
      </c>
      <c r="E69" s="3" t="s">
        <v>338</v>
      </c>
      <c r="F69" s="3" t="s">
        <v>339</v>
      </c>
      <c r="G69" s="3"/>
      <c r="H69" s="3" t="s">
        <v>14</v>
      </c>
      <c r="I69" s="3" t="s">
        <v>6</v>
      </c>
      <c r="J69" s="3" t="s">
        <v>33</v>
      </c>
      <c r="K69" s="3" t="s">
        <v>340</v>
      </c>
      <c r="L69" s="3"/>
      <c r="M69" s="3"/>
      <c r="N69" s="3"/>
      <c r="O69" s="3">
        <v>1508</v>
      </c>
      <c r="P69" s="3"/>
      <c r="Q69" s="4">
        <v>46059</v>
      </c>
      <c r="R69" s="5">
        <v>411032.32000000001</v>
      </c>
      <c r="S69" s="3">
        <v>547</v>
      </c>
      <c r="T69" s="3"/>
      <c r="U69" s="3">
        <v>0</v>
      </c>
      <c r="V69" s="3" t="s">
        <v>8</v>
      </c>
      <c r="W69" s="5">
        <v>414083.61</v>
      </c>
      <c r="X69" s="3">
        <v>0</v>
      </c>
      <c r="Y69" s="3">
        <v>0</v>
      </c>
      <c r="Z69" s="3">
        <v>0.02</v>
      </c>
      <c r="AA69" s="5">
        <v>19676.48</v>
      </c>
      <c r="AB69" s="5">
        <v>433760.11</v>
      </c>
      <c r="AD69" s="25" t="s">
        <v>1167</v>
      </c>
      <c r="AE69" s="25" t="s">
        <v>1196</v>
      </c>
      <c r="AF69" s="58">
        <v>210027.61</v>
      </c>
      <c r="AG69" s="33">
        <f>AF69</f>
        <v>210027.61</v>
      </c>
      <c r="AH69" s="18"/>
      <c r="AI69" s="3"/>
      <c r="AJ69" s="3"/>
      <c r="AK69" s="5"/>
      <c r="AL69" s="15">
        <f t="shared" si="0"/>
        <v>210027.61</v>
      </c>
      <c r="AM69" s="15">
        <f t="shared" si="3"/>
        <v>223732.5</v>
      </c>
      <c r="AN69">
        <v>223732.5</v>
      </c>
      <c r="AO69" s="15">
        <f t="shared" si="1"/>
        <v>0</v>
      </c>
      <c r="AQ69" s="15">
        <f t="shared" si="2"/>
        <v>0</v>
      </c>
    </row>
    <row r="70" spans="1:43" x14ac:dyDescent="0.25">
      <c r="A70">
        <v>63</v>
      </c>
      <c r="B70" s="10" t="s">
        <v>341</v>
      </c>
      <c r="C70" s="10" t="s">
        <v>1040</v>
      </c>
      <c r="D70" s="3" t="s">
        <v>342</v>
      </c>
      <c r="E70" s="3" t="s">
        <v>343</v>
      </c>
      <c r="F70" s="6" t="s">
        <v>344</v>
      </c>
      <c r="G70" s="3" t="s">
        <v>345</v>
      </c>
      <c r="H70" s="3" t="s">
        <v>14</v>
      </c>
      <c r="I70" s="3" t="s">
        <v>6</v>
      </c>
      <c r="J70" s="3" t="s">
        <v>33</v>
      </c>
      <c r="K70" s="3" t="s">
        <v>346</v>
      </c>
      <c r="L70" s="3"/>
      <c r="M70" s="3"/>
      <c r="N70" s="3" t="s">
        <v>22</v>
      </c>
      <c r="O70" s="3"/>
      <c r="P70" s="3"/>
      <c r="Q70" s="4">
        <v>46015</v>
      </c>
      <c r="R70" s="5">
        <v>9136.5499999999993</v>
      </c>
      <c r="S70" s="3">
        <v>376</v>
      </c>
      <c r="T70" s="3"/>
      <c r="U70" s="3">
        <v>0</v>
      </c>
      <c r="V70" s="3" t="s">
        <v>8</v>
      </c>
      <c r="W70" s="5">
        <v>17275.78</v>
      </c>
      <c r="X70" s="5">
        <v>17460.96</v>
      </c>
      <c r="Y70" s="5">
        <v>16472.599999999999</v>
      </c>
      <c r="Z70" s="5">
        <v>16472.599999999999</v>
      </c>
      <c r="AA70" s="5">
        <v>45682.8</v>
      </c>
      <c r="AB70" s="5">
        <v>113364.74</v>
      </c>
      <c r="AD70" s="25" t="s">
        <v>1177</v>
      </c>
      <c r="AE70" s="25" t="s">
        <v>1178</v>
      </c>
      <c r="AF70" s="26">
        <v>15000</v>
      </c>
      <c r="AG70" s="32"/>
      <c r="AH70" s="19"/>
      <c r="AI70" s="5"/>
      <c r="AJ70" s="5"/>
      <c r="AK70" s="5">
        <f>AF70</f>
        <v>15000</v>
      </c>
      <c r="AL70" s="15">
        <f t="shared" si="0"/>
        <v>15000</v>
      </c>
      <c r="AM70" s="15">
        <f t="shared" si="3"/>
        <v>98364.74</v>
      </c>
      <c r="AN70">
        <v>98364.74</v>
      </c>
      <c r="AO70" s="15">
        <f t="shared" si="1"/>
        <v>0</v>
      </c>
      <c r="AQ70" s="15">
        <f t="shared" si="2"/>
        <v>0</v>
      </c>
    </row>
    <row r="71" spans="1:43" x14ac:dyDescent="0.25">
      <c r="A71">
        <v>64</v>
      </c>
      <c r="B71" s="10" t="s">
        <v>347</v>
      </c>
      <c r="C71" s="10" t="s">
        <v>1041</v>
      </c>
      <c r="D71" s="3" t="s">
        <v>348</v>
      </c>
      <c r="E71" s="3" t="s">
        <v>349</v>
      </c>
      <c r="F71" s="3" t="s">
        <v>350</v>
      </c>
      <c r="G71" s="3" t="s">
        <v>351</v>
      </c>
      <c r="H71" s="3" t="s">
        <v>14</v>
      </c>
      <c r="I71" s="3" t="s">
        <v>6</v>
      </c>
      <c r="J71" s="3"/>
      <c r="K71" s="3" t="s">
        <v>352</v>
      </c>
      <c r="L71" s="3"/>
      <c r="M71" s="3"/>
      <c r="N71" s="3" t="s">
        <v>22</v>
      </c>
      <c r="O71" s="3"/>
      <c r="P71" s="3"/>
      <c r="Q71" s="4">
        <v>46081</v>
      </c>
      <c r="R71" s="5">
        <v>2697.9</v>
      </c>
      <c r="S71" s="3">
        <v>30</v>
      </c>
      <c r="T71" s="3"/>
      <c r="U71" s="3">
        <v>0</v>
      </c>
      <c r="V71" s="3" t="s">
        <v>8</v>
      </c>
      <c r="W71" s="5">
        <v>-172.12</v>
      </c>
      <c r="X71" s="3">
        <v>0</v>
      </c>
      <c r="Y71" s="3">
        <v>0</v>
      </c>
      <c r="Z71" s="3">
        <v>0</v>
      </c>
      <c r="AA71" s="3">
        <v>0</v>
      </c>
      <c r="AB71" s="5">
        <v>-172.12</v>
      </c>
      <c r="AD71" s="25"/>
      <c r="AE71" s="25"/>
      <c r="AF71" s="25"/>
      <c r="AG71" s="32"/>
      <c r="AH71" s="18"/>
      <c r="AI71" s="3"/>
      <c r="AJ71" s="3"/>
      <c r="AK71" s="3"/>
      <c r="AL71" s="15">
        <f t="shared" si="0"/>
        <v>0</v>
      </c>
      <c r="AM71" s="15">
        <f t="shared" si="3"/>
        <v>-172.12</v>
      </c>
      <c r="AN71">
        <v>-172.12</v>
      </c>
      <c r="AO71" s="15">
        <f t="shared" si="1"/>
        <v>0</v>
      </c>
      <c r="AQ71" s="15">
        <f t="shared" si="2"/>
        <v>0</v>
      </c>
    </row>
    <row r="72" spans="1:43" x14ac:dyDescent="0.25">
      <c r="A72">
        <v>65</v>
      </c>
      <c r="B72" s="10" t="s">
        <v>353</v>
      </c>
      <c r="C72" s="10" t="s">
        <v>1042</v>
      </c>
      <c r="D72" s="3" t="s">
        <v>354</v>
      </c>
      <c r="E72" s="3" t="s">
        <v>355</v>
      </c>
      <c r="F72" s="3" t="s">
        <v>356</v>
      </c>
      <c r="G72" s="3" t="s">
        <v>357</v>
      </c>
      <c r="H72" s="3" t="s">
        <v>14</v>
      </c>
      <c r="I72" s="3" t="s">
        <v>6</v>
      </c>
      <c r="J72" s="3" t="s">
        <v>15</v>
      </c>
      <c r="K72" s="3" t="s">
        <v>358</v>
      </c>
      <c r="L72" s="3"/>
      <c r="M72" s="3"/>
      <c r="N72" s="3" t="s">
        <v>22</v>
      </c>
      <c r="O72" s="3"/>
      <c r="P72" s="3"/>
      <c r="Q72" s="4">
        <v>46003</v>
      </c>
      <c r="R72" s="5">
        <v>-4524.28</v>
      </c>
      <c r="S72" s="3">
        <v>93</v>
      </c>
      <c r="T72" s="3"/>
      <c r="U72" s="3">
        <v>0</v>
      </c>
      <c r="V72" s="3" t="s">
        <v>8</v>
      </c>
      <c r="W72" s="5">
        <v>4795.7299999999996</v>
      </c>
      <c r="X72" s="5">
        <v>4795.7299999999996</v>
      </c>
      <c r="Y72" s="5">
        <v>4524.28</v>
      </c>
      <c r="Z72" s="5">
        <v>4524.28</v>
      </c>
      <c r="AA72" s="5">
        <v>4524.28</v>
      </c>
      <c r="AB72" s="5">
        <v>23164.3</v>
      </c>
      <c r="AD72" s="25"/>
      <c r="AE72" s="25"/>
      <c r="AF72" s="25"/>
      <c r="AG72" s="32"/>
      <c r="AH72" s="19"/>
      <c r="AI72" s="5"/>
      <c r="AJ72" s="5"/>
      <c r="AK72" s="5"/>
      <c r="AL72" s="15">
        <f t="shared" ref="AL72:AL135" si="8">AH72+AI72+AJ72+AK72+AG72</f>
        <v>0</v>
      </c>
      <c r="AM72" s="15">
        <f t="shared" si="3"/>
        <v>23164.3</v>
      </c>
      <c r="AN72" s="15">
        <f>AM72</f>
        <v>23164.3</v>
      </c>
      <c r="AO72" s="15">
        <f t="shared" ref="AO72:AO86" si="9">AM72-AN72</f>
        <v>0</v>
      </c>
      <c r="AQ72" s="15">
        <f t="shared" ref="AQ72:AQ135" si="10">AL72-AF72</f>
        <v>0</v>
      </c>
    </row>
    <row r="73" spans="1:43" x14ac:dyDescent="0.25">
      <c r="A73">
        <v>66</v>
      </c>
      <c r="B73" s="10" t="s">
        <v>359</v>
      </c>
      <c r="C73" s="10" t="s">
        <v>1272</v>
      </c>
      <c r="D73" s="3" t="s">
        <v>360</v>
      </c>
      <c r="E73" s="3" t="s">
        <v>361</v>
      </c>
      <c r="F73" s="3" t="s">
        <v>362</v>
      </c>
      <c r="G73" s="3" t="s">
        <v>363</v>
      </c>
      <c r="H73" s="3" t="s">
        <v>14</v>
      </c>
      <c r="I73" s="3" t="s">
        <v>6</v>
      </c>
      <c r="J73" s="3" t="s">
        <v>15</v>
      </c>
      <c r="K73" s="3" t="s">
        <v>364</v>
      </c>
      <c r="L73" s="3"/>
      <c r="M73" s="3"/>
      <c r="N73" s="3"/>
      <c r="O73" s="3">
        <v>1641</v>
      </c>
      <c r="P73" s="3"/>
      <c r="Q73" s="4">
        <v>45230</v>
      </c>
      <c r="R73" s="5">
        <v>759.1</v>
      </c>
      <c r="S73" s="3">
        <v>232</v>
      </c>
      <c r="T73" s="3"/>
      <c r="U73" s="3">
        <v>0</v>
      </c>
      <c r="V73" s="3" t="s">
        <v>8</v>
      </c>
      <c r="W73" s="3">
        <v>0</v>
      </c>
      <c r="X73" s="3">
        <v>0</v>
      </c>
      <c r="Y73" s="3">
        <v>0</v>
      </c>
      <c r="Z73" s="3">
        <v>0</v>
      </c>
      <c r="AA73" s="5">
        <v>-0.01</v>
      </c>
      <c r="AB73" s="5">
        <v>-0.01</v>
      </c>
      <c r="AD73" s="25"/>
      <c r="AE73" s="25"/>
      <c r="AF73" s="25"/>
      <c r="AG73" s="32"/>
      <c r="AH73" s="18"/>
      <c r="AI73" s="3"/>
      <c r="AJ73" s="3"/>
      <c r="AK73" s="5"/>
      <c r="AL73" s="15">
        <f t="shared" si="8"/>
        <v>0</v>
      </c>
      <c r="AM73" s="15">
        <f t="shared" ref="AM73:AM136" si="11">AB73-AL73</f>
        <v>-0.01</v>
      </c>
      <c r="AO73" s="15">
        <f t="shared" si="9"/>
        <v>-0.01</v>
      </c>
      <c r="AQ73" s="15">
        <f t="shared" si="10"/>
        <v>0</v>
      </c>
    </row>
    <row r="74" spans="1:43" x14ac:dyDescent="0.25">
      <c r="A74">
        <v>67</v>
      </c>
      <c r="B74" s="10" t="s">
        <v>365</v>
      </c>
      <c r="C74" s="10" t="s">
        <v>1043</v>
      </c>
      <c r="D74" s="3" t="s">
        <v>366</v>
      </c>
      <c r="E74" s="3" t="s">
        <v>367</v>
      </c>
      <c r="F74" s="3" t="s">
        <v>368</v>
      </c>
      <c r="G74" s="3" t="s">
        <v>369</v>
      </c>
      <c r="H74" s="3" t="s">
        <v>14</v>
      </c>
      <c r="I74" s="3" t="s">
        <v>6</v>
      </c>
      <c r="J74" s="3" t="s">
        <v>15</v>
      </c>
      <c r="K74" s="3" t="s">
        <v>370</v>
      </c>
      <c r="L74" s="3"/>
      <c r="M74" s="3"/>
      <c r="N74" s="3" t="s">
        <v>22</v>
      </c>
      <c r="O74" s="3">
        <v>2000</v>
      </c>
      <c r="P74" s="3"/>
      <c r="Q74" s="4">
        <v>46081</v>
      </c>
      <c r="R74" s="5">
        <v>8083.26</v>
      </c>
      <c r="S74" s="3">
        <v>191</v>
      </c>
      <c r="T74" s="3"/>
      <c r="U74" s="3">
        <v>0</v>
      </c>
      <c r="V74" s="3" t="s">
        <v>8</v>
      </c>
      <c r="W74" s="5">
        <v>8083.26</v>
      </c>
      <c r="X74" s="3">
        <v>0</v>
      </c>
      <c r="Y74" s="3">
        <v>0</v>
      </c>
      <c r="Z74" s="3">
        <v>0</v>
      </c>
      <c r="AA74" s="3">
        <v>0</v>
      </c>
      <c r="AB74" s="5">
        <v>8083.26</v>
      </c>
      <c r="AD74" s="25" t="s">
        <v>1201</v>
      </c>
      <c r="AE74" s="25" t="s">
        <v>1265</v>
      </c>
      <c r="AF74" s="26">
        <v>8083.26</v>
      </c>
      <c r="AG74" s="33">
        <f>AF74</f>
        <v>8083.26</v>
      </c>
      <c r="AH74" s="18"/>
      <c r="AI74" s="3"/>
      <c r="AJ74" s="3"/>
      <c r="AK74" s="3"/>
      <c r="AL74" s="15">
        <f t="shared" si="8"/>
        <v>8083.26</v>
      </c>
      <c r="AM74" s="15">
        <f t="shared" si="11"/>
        <v>0</v>
      </c>
      <c r="AN74" s="15">
        <f>AM74</f>
        <v>0</v>
      </c>
      <c r="AO74" s="15">
        <f t="shared" si="9"/>
        <v>0</v>
      </c>
      <c r="AQ74" s="15">
        <f t="shared" si="10"/>
        <v>0</v>
      </c>
    </row>
    <row r="75" spans="1:43" x14ac:dyDescent="0.25">
      <c r="A75">
        <v>68</v>
      </c>
      <c r="B75" s="10" t="s">
        <v>371</v>
      </c>
      <c r="C75" s="10" t="s">
        <v>1044</v>
      </c>
      <c r="D75" s="3" t="s">
        <v>372</v>
      </c>
      <c r="E75" s="3" t="s">
        <v>373</v>
      </c>
      <c r="F75" s="3" t="s">
        <v>374</v>
      </c>
      <c r="G75" s="3" t="s">
        <v>375</v>
      </c>
      <c r="H75" s="3" t="s">
        <v>14</v>
      </c>
      <c r="I75" s="3" t="s">
        <v>6</v>
      </c>
      <c r="J75" s="3" t="s">
        <v>15</v>
      </c>
      <c r="K75" s="3" t="s">
        <v>376</v>
      </c>
      <c r="L75" s="3"/>
      <c r="M75" s="3"/>
      <c r="N75" s="3"/>
      <c r="O75" s="3"/>
      <c r="P75" s="3"/>
      <c r="Q75" s="4">
        <v>46081</v>
      </c>
      <c r="R75" s="5">
        <v>142.54</v>
      </c>
      <c r="S75" s="3">
        <v>40</v>
      </c>
      <c r="T75" s="3"/>
      <c r="U75" s="3">
        <v>0</v>
      </c>
      <c r="V75" s="3" t="s">
        <v>8</v>
      </c>
      <c r="W75" s="5">
        <v>142.54</v>
      </c>
      <c r="X75" s="3">
        <v>0</v>
      </c>
      <c r="Y75" s="3">
        <v>0</v>
      </c>
      <c r="Z75" s="3">
        <v>0</v>
      </c>
      <c r="AA75" s="3">
        <v>0</v>
      </c>
      <c r="AB75" s="5">
        <v>142.54</v>
      </c>
      <c r="AD75" s="25"/>
      <c r="AE75" s="25"/>
      <c r="AF75" s="25"/>
      <c r="AG75" s="32"/>
      <c r="AH75" s="18"/>
      <c r="AI75" s="3"/>
      <c r="AJ75" s="3"/>
      <c r="AK75" s="3"/>
      <c r="AL75" s="15">
        <f t="shared" si="8"/>
        <v>0</v>
      </c>
      <c r="AM75" s="15">
        <f t="shared" si="11"/>
        <v>142.54</v>
      </c>
      <c r="AN75" s="15">
        <f>AM75</f>
        <v>142.54</v>
      </c>
      <c r="AO75" s="15">
        <f t="shared" si="9"/>
        <v>0</v>
      </c>
      <c r="AQ75" s="15">
        <f t="shared" si="10"/>
        <v>0</v>
      </c>
    </row>
    <row r="76" spans="1:43" x14ac:dyDescent="0.25">
      <c r="A76">
        <v>69</v>
      </c>
      <c r="B76" s="10" t="s">
        <v>377</v>
      </c>
      <c r="C76" s="10" t="s">
        <v>1045</v>
      </c>
      <c r="D76" s="3" t="s">
        <v>378</v>
      </c>
      <c r="E76" s="3" t="s">
        <v>379</v>
      </c>
      <c r="F76" s="3" t="s">
        <v>380</v>
      </c>
      <c r="G76" s="3" t="s">
        <v>381</v>
      </c>
      <c r="H76" s="3" t="s">
        <v>14</v>
      </c>
      <c r="I76" s="3" t="s">
        <v>6</v>
      </c>
      <c r="J76" s="3" t="s">
        <v>15</v>
      </c>
      <c r="K76" s="3" t="s">
        <v>382</v>
      </c>
      <c r="L76" s="3"/>
      <c r="M76" s="3" t="s">
        <v>69</v>
      </c>
      <c r="N76" s="3" t="s">
        <v>22</v>
      </c>
      <c r="O76" s="3"/>
      <c r="P76" s="3"/>
      <c r="Q76" s="4">
        <v>46053</v>
      </c>
      <c r="R76" s="5">
        <v>4635.0600000000004</v>
      </c>
      <c r="S76" s="3">
        <v>124</v>
      </c>
      <c r="T76" s="3"/>
      <c r="U76" s="3">
        <v>0</v>
      </c>
      <c r="V76" s="3" t="s">
        <v>8</v>
      </c>
      <c r="W76" s="5">
        <v>4635.0600000000004</v>
      </c>
      <c r="X76" s="5">
        <v>4635.0600000000004</v>
      </c>
      <c r="Y76" s="3">
        <v>0</v>
      </c>
      <c r="Z76" s="3">
        <v>0</v>
      </c>
      <c r="AA76" s="3">
        <v>0</v>
      </c>
      <c r="AB76" s="5">
        <v>9270.1200000000008</v>
      </c>
      <c r="AD76" s="25" t="s">
        <v>1165</v>
      </c>
      <c r="AE76" s="25" t="s">
        <v>1166</v>
      </c>
      <c r="AF76" s="26">
        <v>4635.0600000000004</v>
      </c>
      <c r="AG76" s="32"/>
      <c r="AH76" s="19">
        <f>AF76</f>
        <v>4635.0600000000004</v>
      </c>
      <c r="AI76" s="3"/>
      <c r="AJ76" s="3"/>
      <c r="AK76" s="3"/>
      <c r="AL76" s="15">
        <f t="shared" si="8"/>
        <v>4635.0600000000004</v>
      </c>
      <c r="AM76" s="15">
        <f t="shared" si="11"/>
        <v>4635.0600000000004</v>
      </c>
      <c r="AN76">
        <v>4635.0600000000004</v>
      </c>
      <c r="AO76" s="15">
        <f t="shared" si="9"/>
        <v>0</v>
      </c>
      <c r="AQ76" s="15">
        <f t="shared" si="10"/>
        <v>0</v>
      </c>
    </row>
    <row r="77" spans="1:43" x14ac:dyDescent="0.25">
      <c r="A77">
        <v>70</v>
      </c>
      <c r="B77" s="10" t="s">
        <v>383</v>
      </c>
      <c r="C77" s="10" t="s">
        <v>1046</v>
      </c>
      <c r="D77" s="3" t="s">
        <v>384</v>
      </c>
      <c r="E77" s="3" t="s">
        <v>385</v>
      </c>
      <c r="F77" s="3"/>
      <c r="G77" s="3" t="s">
        <v>386</v>
      </c>
      <c r="H77" s="3" t="s">
        <v>14</v>
      </c>
      <c r="I77" s="3" t="s">
        <v>6</v>
      </c>
      <c r="J77" s="3"/>
      <c r="K77" s="3" t="s">
        <v>387</v>
      </c>
      <c r="L77" s="3"/>
      <c r="M77" s="3"/>
      <c r="N77" s="3" t="s">
        <v>22</v>
      </c>
      <c r="O77" s="3"/>
      <c r="P77" s="3"/>
      <c r="Q77" s="4">
        <v>46081</v>
      </c>
      <c r="R77" s="5">
        <v>1730.75</v>
      </c>
      <c r="S77" s="3">
        <v>121</v>
      </c>
      <c r="T77" s="3"/>
      <c r="U77" s="3">
        <v>0</v>
      </c>
      <c r="V77" s="3" t="s">
        <v>8</v>
      </c>
      <c r="W77" s="5">
        <v>1730.75</v>
      </c>
      <c r="X77" s="3">
        <v>0</v>
      </c>
      <c r="Y77" s="3">
        <v>0</v>
      </c>
      <c r="Z77" s="3">
        <v>0</v>
      </c>
      <c r="AA77" s="3">
        <v>0</v>
      </c>
      <c r="AB77" s="5">
        <v>1730.75</v>
      </c>
      <c r="AD77" s="25" t="s">
        <v>1201</v>
      </c>
      <c r="AE77" s="25" t="s">
        <v>1254</v>
      </c>
      <c r="AF77" s="26">
        <v>1730.75</v>
      </c>
      <c r="AG77" s="33">
        <f>AF77</f>
        <v>1730.75</v>
      </c>
      <c r="AH77" s="18"/>
      <c r="AI77" s="3"/>
      <c r="AJ77" s="3"/>
      <c r="AK77" s="3"/>
      <c r="AL77" s="15">
        <f t="shared" si="8"/>
        <v>1730.75</v>
      </c>
      <c r="AM77" s="15">
        <f t="shared" si="11"/>
        <v>0</v>
      </c>
      <c r="AN77" s="15">
        <f>AM77</f>
        <v>0</v>
      </c>
      <c r="AO77" s="15">
        <f t="shared" si="9"/>
        <v>0</v>
      </c>
      <c r="AQ77" s="15">
        <f t="shared" si="10"/>
        <v>0</v>
      </c>
    </row>
    <row r="78" spans="1:43" x14ac:dyDescent="0.25">
      <c r="A78">
        <v>71</v>
      </c>
      <c r="B78" s="10">
        <v>1122</v>
      </c>
      <c r="C78" s="10" t="s">
        <v>1047</v>
      </c>
      <c r="D78" s="3" t="s">
        <v>388</v>
      </c>
      <c r="E78" s="3" t="s">
        <v>389</v>
      </c>
      <c r="F78" s="3" t="s">
        <v>390</v>
      </c>
      <c r="G78" s="3" t="s">
        <v>391</v>
      </c>
      <c r="H78" s="3" t="s">
        <v>14</v>
      </c>
      <c r="I78" s="3" t="s">
        <v>6</v>
      </c>
      <c r="J78" s="3" t="s">
        <v>15</v>
      </c>
      <c r="K78" s="3" t="s">
        <v>392</v>
      </c>
      <c r="L78" s="3"/>
      <c r="M78" s="3"/>
      <c r="N78" s="3" t="s">
        <v>22</v>
      </c>
      <c r="O78" s="3">
        <v>2710</v>
      </c>
      <c r="P78" s="3"/>
      <c r="Q78" s="4">
        <v>46052</v>
      </c>
      <c r="R78" s="5">
        <v>19251.919999999998</v>
      </c>
      <c r="S78" s="3">
        <v>217</v>
      </c>
      <c r="T78" s="3"/>
      <c r="U78" s="3">
        <v>0</v>
      </c>
      <c r="V78" s="3" t="s">
        <v>8</v>
      </c>
      <c r="W78" s="5">
        <v>19251.919999999998</v>
      </c>
      <c r="X78" s="5">
        <v>19251.919999999998</v>
      </c>
      <c r="Y78" s="3">
        <v>0</v>
      </c>
      <c r="Z78" s="3">
        <v>0</v>
      </c>
      <c r="AA78" s="3">
        <v>0</v>
      </c>
      <c r="AB78" s="5">
        <v>38503.839999999997</v>
      </c>
      <c r="AD78" s="25" t="s">
        <v>1165</v>
      </c>
      <c r="AE78" s="25" t="e">
        <v>#VALUE!</v>
      </c>
      <c r="AF78" s="26">
        <v>19251.919999999998</v>
      </c>
      <c r="AG78" s="32"/>
      <c r="AH78" s="19">
        <f>X78</f>
        <v>19251.919999999998</v>
      </c>
      <c r="AI78" s="3"/>
      <c r="AJ78" s="3"/>
      <c r="AK78" s="3"/>
      <c r="AL78" s="15">
        <f t="shared" si="8"/>
        <v>19251.919999999998</v>
      </c>
      <c r="AM78" s="15">
        <f t="shared" si="11"/>
        <v>19251.919999999998</v>
      </c>
      <c r="AN78">
        <v>19251.919999999998</v>
      </c>
      <c r="AO78" s="15">
        <f t="shared" si="9"/>
        <v>0</v>
      </c>
      <c r="AQ78" s="15">
        <f t="shared" si="10"/>
        <v>0</v>
      </c>
    </row>
    <row r="79" spans="1:43" x14ac:dyDescent="0.25">
      <c r="A79">
        <v>72</v>
      </c>
      <c r="B79" s="10" t="s">
        <v>393</v>
      </c>
      <c r="C79" s="10" t="s">
        <v>1048</v>
      </c>
      <c r="D79" s="3" t="s">
        <v>394</v>
      </c>
      <c r="E79" s="3" t="s">
        <v>395</v>
      </c>
      <c r="F79" s="6" t="s">
        <v>396</v>
      </c>
      <c r="G79" s="3" t="s">
        <v>397</v>
      </c>
      <c r="H79" s="3" t="s">
        <v>14</v>
      </c>
      <c r="I79" s="3" t="s">
        <v>6</v>
      </c>
      <c r="J79" s="3" t="s">
        <v>15</v>
      </c>
      <c r="K79" s="3" t="s">
        <v>398</v>
      </c>
      <c r="L79" s="3"/>
      <c r="M79" s="3"/>
      <c r="N79" s="3"/>
      <c r="O79" s="6" t="s">
        <v>399</v>
      </c>
      <c r="P79" s="3"/>
      <c r="Q79" s="4">
        <v>46081</v>
      </c>
      <c r="R79" s="5">
        <v>476.54</v>
      </c>
      <c r="S79" s="3">
        <v>82</v>
      </c>
      <c r="T79" s="3"/>
      <c r="U79" s="3">
        <v>0</v>
      </c>
      <c r="V79" s="3" t="s">
        <v>8</v>
      </c>
      <c r="W79" s="5">
        <v>1467.84</v>
      </c>
      <c r="X79" s="3">
        <v>0</v>
      </c>
      <c r="Y79" s="3">
        <v>0</v>
      </c>
      <c r="Z79" s="3">
        <v>0</v>
      </c>
      <c r="AA79" s="3">
        <v>0</v>
      </c>
      <c r="AB79" s="5">
        <v>1467.84</v>
      </c>
      <c r="AD79" s="25"/>
      <c r="AE79" s="25"/>
      <c r="AF79" s="25"/>
      <c r="AG79" s="32"/>
      <c r="AH79" s="18"/>
      <c r="AI79" s="3"/>
      <c r="AJ79" s="3"/>
      <c r="AK79" s="3"/>
      <c r="AL79" s="15">
        <f t="shared" si="8"/>
        <v>0</v>
      </c>
      <c r="AM79" s="15">
        <f t="shared" si="11"/>
        <v>1467.84</v>
      </c>
      <c r="AN79" s="15">
        <f>AM79</f>
        <v>1467.84</v>
      </c>
      <c r="AO79" s="15">
        <f t="shared" si="9"/>
        <v>0</v>
      </c>
      <c r="AQ79" s="15">
        <f t="shared" si="10"/>
        <v>0</v>
      </c>
    </row>
    <row r="80" spans="1:43" x14ac:dyDescent="0.25">
      <c r="A80">
        <v>73</v>
      </c>
      <c r="B80" s="10" t="s">
        <v>400</v>
      </c>
      <c r="C80" s="10" t="s">
        <v>1049</v>
      </c>
      <c r="D80" s="3" t="s">
        <v>401</v>
      </c>
      <c r="E80" s="3" t="s">
        <v>402</v>
      </c>
      <c r="F80" s="6" t="s">
        <v>403</v>
      </c>
      <c r="G80" s="3" t="s">
        <v>404</v>
      </c>
      <c r="H80" s="3" t="s">
        <v>14</v>
      </c>
      <c r="I80" s="3" t="s">
        <v>6</v>
      </c>
      <c r="J80" s="3"/>
      <c r="K80" s="3" t="s">
        <v>405</v>
      </c>
      <c r="L80" s="3"/>
      <c r="M80" s="3"/>
      <c r="N80" s="3" t="s">
        <v>22</v>
      </c>
      <c r="O80" s="3"/>
      <c r="P80" s="3"/>
      <c r="Q80" s="4">
        <v>46081</v>
      </c>
      <c r="R80" s="5">
        <v>244.78</v>
      </c>
      <c r="S80" s="3">
        <v>49</v>
      </c>
      <c r="T80" s="3"/>
      <c r="U80" s="3">
        <v>0</v>
      </c>
      <c r="V80" s="3" t="s">
        <v>8</v>
      </c>
      <c r="W80" s="5">
        <v>244.78</v>
      </c>
      <c r="X80" s="3">
        <v>0</v>
      </c>
      <c r="Y80" s="3">
        <v>0</v>
      </c>
      <c r="Z80" s="3">
        <v>0</v>
      </c>
      <c r="AA80" s="3">
        <v>0</v>
      </c>
      <c r="AB80" s="5">
        <v>244.78</v>
      </c>
      <c r="AD80" s="25"/>
      <c r="AE80" s="25"/>
      <c r="AF80" s="25"/>
      <c r="AG80" s="32"/>
      <c r="AH80" s="18"/>
      <c r="AI80" s="3"/>
      <c r="AJ80" s="3"/>
      <c r="AK80" s="3"/>
      <c r="AL80" s="15">
        <f t="shared" si="8"/>
        <v>0</v>
      </c>
      <c r="AM80" s="15">
        <f t="shared" si="11"/>
        <v>244.78</v>
      </c>
      <c r="AN80" s="15">
        <f>AM80</f>
        <v>244.78</v>
      </c>
      <c r="AO80" s="15">
        <f t="shared" si="9"/>
        <v>0</v>
      </c>
      <c r="AQ80" s="15">
        <f t="shared" si="10"/>
        <v>0</v>
      </c>
    </row>
    <row r="81" spans="1:43" x14ac:dyDescent="0.25">
      <c r="A81">
        <v>74</v>
      </c>
      <c r="B81" s="10" t="s">
        <v>406</v>
      </c>
      <c r="C81" s="10" t="s">
        <v>1272</v>
      </c>
      <c r="D81" s="3" t="s">
        <v>407</v>
      </c>
      <c r="E81" s="3" t="s">
        <v>408</v>
      </c>
      <c r="F81" s="3" t="s">
        <v>409</v>
      </c>
      <c r="G81" s="3" t="s">
        <v>410</v>
      </c>
      <c r="H81" s="3" t="s">
        <v>236</v>
      </c>
      <c r="I81" s="3" t="s">
        <v>6</v>
      </c>
      <c r="J81" s="3"/>
      <c r="K81" s="3" t="s">
        <v>411</v>
      </c>
      <c r="L81" s="3"/>
      <c r="M81" s="3"/>
      <c r="N81" s="3" t="s">
        <v>22</v>
      </c>
      <c r="O81" s="3"/>
      <c r="P81" s="3"/>
      <c r="Q81" s="4">
        <v>45925</v>
      </c>
      <c r="R81" s="5">
        <v>1000</v>
      </c>
      <c r="S81" s="3">
        <v>473</v>
      </c>
      <c r="T81" s="3"/>
      <c r="U81" s="3">
        <v>0</v>
      </c>
      <c r="V81" s="3" t="s">
        <v>8</v>
      </c>
      <c r="W81" s="3">
        <v>0</v>
      </c>
      <c r="X81" s="3">
        <v>0</v>
      </c>
      <c r="Y81" s="3">
        <v>0</v>
      </c>
      <c r="Z81" s="3">
        <v>0</v>
      </c>
      <c r="AA81" s="5">
        <v>57222.48</v>
      </c>
      <c r="AB81" s="5">
        <v>57222.48</v>
      </c>
      <c r="AD81" s="25"/>
      <c r="AE81" s="25"/>
      <c r="AF81" s="25"/>
      <c r="AG81" s="32"/>
      <c r="AH81" s="18"/>
      <c r="AI81" s="3"/>
      <c r="AJ81" s="3"/>
      <c r="AK81" s="5"/>
      <c r="AL81" s="15">
        <f t="shared" si="8"/>
        <v>0</v>
      </c>
      <c r="AM81" s="15">
        <f t="shared" si="11"/>
        <v>57222.48</v>
      </c>
      <c r="AN81" s="15">
        <f>AM81</f>
        <v>57222.48</v>
      </c>
      <c r="AO81" s="15">
        <f t="shared" si="9"/>
        <v>0</v>
      </c>
      <c r="AQ81" s="15">
        <f t="shared" si="10"/>
        <v>0</v>
      </c>
    </row>
    <row r="82" spans="1:43" x14ac:dyDescent="0.25">
      <c r="A82">
        <v>75</v>
      </c>
      <c r="B82" s="10" t="s">
        <v>412</v>
      </c>
      <c r="C82" s="10" t="s">
        <v>1050</v>
      </c>
      <c r="D82" s="3" t="s">
        <v>413</v>
      </c>
      <c r="E82" s="3" t="s">
        <v>414</v>
      </c>
      <c r="F82" s="6" t="s">
        <v>415</v>
      </c>
      <c r="G82" s="3" t="s">
        <v>416</v>
      </c>
      <c r="H82" s="3" t="s">
        <v>14</v>
      </c>
      <c r="I82" s="3" t="s">
        <v>6</v>
      </c>
      <c r="J82" s="3" t="s">
        <v>33</v>
      </c>
      <c r="K82" s="3" t="s">
        <v>417</v>
      </c>
      <c r="L82" s="3"/>
      <c r="M82" s="3"/>
      <c r="N82" s="3"/>
      <c r="O82" s="3">
        <v>2047</v>
      </c>
      <c r="P82" s="3"/>
      <c r="Q82" s="4">
        <v>46057</v>
      </c>
      <c r="R82" s="5">
        <v>11427.55</v>
      </c>
      <c r="S82" s="3">
        <v>476</v>
      </c>
      <c r="T82" s="3"/>
      <c r="U82" s="3">
        <v>0</v>
      </c>
      <c r="V82" s="3" t="s">
        <v>8</v>
      </c>
      <c r="W82" s="5">
        <v>11486.2</v>
      </c>
      <c r="X82" s="5">
        <v>11083.7</v>
      </c>
      <c r="Y82" s="3">
        <v>0</v>
      </c>
      <c r="Z82" s="3">
        <v>0</v>
      </c>
      <c r="AA82" s="3">
        <v>0</v>
      </c>
      <c r="AB82" s="5">
        <v>22569.9</v>
      </c>
      <c r="AD82" s="25" t="s">
        <v>1149</v>
      </c>
      <c r="AE82" s="25" t="s">
        <v>1172</v>
      </c>
      <c r="AF82" s="26">
        <v>11083.7</v>
      </c>
      <c r="AG82" s="32"/>
      <c r="AH82" s="19">
        <f>X82</f>
        <v>11083.7</v>
      </c>
      <c r="AI82" s="3"/>
      <c r="AJ82" s="3"/>
      <c r="AK82" s="3"/>
      <c r="AL82" s="15">
        <f t="shared" si="8"/>
        <v>11083.7</v>
      </c>
      <c r="AM82" s="15">
        <f t="shared" si="11"/>
        <v>11486.2</v>
      </c>
      <c r="AN82">
        <v>11486.2</v>
      </c>
      <c r="AO82" s="15">
        <f t="shared" si="9"/>
        <v>0</v>
      </c>
      <c r="AQ82" s="15">
        <f t="shared" si="10"/>
        <v>0</v>
      </c>
    </row>
    <row r="83" spans="1:43" x14ac:dyDescent="0.25">
      <c r="A83">
        <v>76</v>
      </c>
      <c r="B83" s="10" t="s">
        <v>418</v>
      </c>
      <c r="C83" s="10" t="s">
        <v>1051</v>
      </c>
      <c r="D83" s="3" t="s">
        <v>419</v>
      </c>
      <c r="E83" s="3" t="s">
        <v>420</v>
      </c>
      <c r="F83" s="3" t="s">
        <v>421</v>
      </c>
      <c r="G83" s="3" t="s">
        <v>422</v>
      </c>
      <c r="H83" s="3" t="s">
        <v>14</v>
      </c>
      <c r="I83" s="3" t="s">
        <v>6</v>
      </c>
      <c r="J83" s="3" t="s">
        <v>33</v>
      </c>
      <c r="K83" s="3" t="s">
        <v>417</v>
      </c>
      <c r="L83" s="3"/>
      <c r="M83" s="3"/>
      <c r="N83" s="3"/>
      <c r="O83" s="3">
        <v>2047</v>
      </c>
      <c r="P83" s="3"/>
      <c r="Q83" s="4">
        <v>46057</v>
      </c>
      <c r="R83" s="5">
        <v>26781.200000000001</v>
      </c>
      <c r="S83" s="3">
        <v>398</v>
      </c>
      <c r="T83" s="3"/>
      <c r="U83" s="3">
        <v>0</v>
      </c>
      <c r="V83" s="3" t="s">
        <v>8</v>
      </c>
      <c r="W83" s="5">
        <v>21683.25</v>
      </c>
      <c r="X83" s="5">
        <f>19520.1+1207.5</f>
        <v>20727.599999999999</v>
      </c>
      <c r="Y83" s="3">
        <v>0</v>
      </c>
      <c r="Z83" s="3">
        <v>0</v>
      </c>
      <c r="AA83" s="5">
        <v>-0.01</v>
      </c>
      <c r="AB83" s="5">
        <f>SUM(W83:AA83)</f>
        <v>42410.84</v>
      </c>
      <c r="AD83" s="25" t="s">
        <v>1149</v>
      </c>
      <c r="AE83" s="25" t="s">
        <v>1181</v>
      </c>
      <c r="AF83" s="26">
        <v>18247.05</v>
      </c>
      <c r="AG83" s="32"/>
      <c r="AH83" s="19">
        <v>18247.05</v>
      </c>
      <c r="AI83" s="3"/>
      <c r="AJ83" s="3"/>
      <c r="AK83" s="5"/>
      <c r="AL83" s="15">
        <f t="shared" si="8"/>
        <v>18247.05</v>
      </c>
      <c r="AM83" s="15">
        <f t="shared" si="11"/>
        <v>24163.789999999997</v>
      </c>
      <c r="AN83">
        <v>24163.79</v>
      </c>
      <c r="AO83" s="15">
        <f t="shared" si="9"/>
        <v>0</v>
      </c>
      <c r="AQ83" s="15">
        <f t="shared" si="10"/>
        <v>0</v>
      </c>
    </row>
    <row r="84" spans="1:43" x14ac:dyDescent="0.25">
      <c r="A84">
        <v>77</v>
      </c>
      <c r="B84" s="10" t="s">
        <v>423</v>
      </c>
      <c r="C84" s="10" t="s">
        <v>1052</v>
      </c>
      <c r="D84" s="3" t="s">
        <v>424</v>
      </c>
      <c r="E84" s="3" t="s">
        <v>425</v>
      </c>
      <c r="F84" s="6" t="s">
        <v>415</v>
      </c>
      <c r="G84" s="3" t="s">
        <v>426</v>
      </c>
      <c r="H84" s="3" t="s">
        <v>14</v>
      </c>
      <c r="I84" s="3" t="s">
        <v>6</v>
      </c>
      <c r="J84" s="3" t="s">
        <v>33</v>
      </c>
      <c r="K84" s="3" t="s">
        <v>417</v>
      </c>
      <c r="L84" s="3"/>
      <c r="M84" s="3"/>
      <c r="N84" s="3"/>
      <c r="O84" s="3">
        <v>2047</v>
      </c>
      <c r="P84" s="3"/>
      <c r="Q84" s="4">
        <v>46057</v>
      </c>
      <c r="R84" s="5">
        <v>34861.97</v>
      </c>
      <c r="S84" s="3">
        <v>1067</v>
      </c>
      <c r="T84" s="3"/>
      <c r="U84" s="3">
        <v>0</v>
      </c>
      <c r="V84" s="3" t="s">
        <v>8</v>
      </c>
      <c r="W84" s="5">
        <v>46503.96</v>
      </c>
      <c r="X84" s="5">
        <v>36516.94</v>
      </c>
      <c r="Y84" s="5">
        <v>5738.17</v>
      </c>
      <c r="Z84" s="3">
        <v>0</v>
      </c>
      <c r="AA84" s="5">
        <v>-1.38</v>
      </c>
      <c r="AB84" s="5">
        <v>88757.69</v>
      </c>
      <c r="AD84" s="25" t="s">
        <v>1149</v>
      </c>
      <c r="AE84" s="25" t="s">
        <v>1169</v>
      </c>
      <c r="AF84" s="26">
        <v>6082.02</v>
      </c>
      <c r="AG84" s="32"/>
      <c r="AH84" s="19">
        <f>AF84+AF85-AI84</f>
        <v>36860.790000000008</v>
      </c>
      <c r="AI84" s="5">
        <f>Y84</f>
        <v>5738.17</v>
      </c>
      <c r="AJ84" s="3"/>
      <c r="AK84" s="5"/>
      <c r="AL84" s="15">
        <f t="shared" si="8"/>
        <v>42598.960000000006</v>
      </c>
      <c r="AM84" s="15">
        <f t="shared" si="11"/>
        <v>46158.729999999996</v>
      </c>
      <c r="AN84">
        <v>46158.73</v>
      </c>
      <c r="AO84" s="15">
        <f t="shared" si="9"/>
        <v>0</v>
      </c>
      <c r="AQ84" s="15">
        <f t="shared" si="10"/>
        <v>36516.94</v>
      </c>
    </row>
    <row r="85" spans="1:43" s="43" customFormat="1" x14ac:dyDescent="0.25">
      <c r="A85">
        <v>78</v>
      </c>
      <c r="B85" s="41"/>
      <c r="C85" s="41"/>
      <c r="D85" s="40"/>
      <c r="E85" s="40"/>
      <c r="F85" s="47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2"/>
      <c r="R85" s="16"/>
      <c r="S85" s="40"/>
      <c r="T85" s="40"/>
      <c r="U85" s="40"/>
      <c r="V85" s="40"/>
      <c r="W85" s="16"/>
      <c r="X85" s="16"/>
      <c r="Y85" s="16"/>
      <c r="Z85" s="40"/>
      <c r="AA85" s="16"/>
      <c r="AB85" s="16"/>
      <c r="AD85" s="44" t="s">
        <v>1149</v>
      </c>
      <c r="AE85" s="44" t="s">
        <v>1189</v>
      </c>
      <c r="AF85" s="27">
        <v>36516.94</v>
      </c>
      <c r="AG85" s="48"/>
      <c r="AH85" s="20"/>
      <c r="AI85" s="16"/>
      <c r="AJ85" s="40"/>
      <c r="AK85" s="16"/>
      <c r="AL85" s="17"/>
      <c r="AM85" s="17"/>
      <c r="AO85" s="17"/>
      <c r="AP85" s="13"/>
      <c r="AQ85" s="15">
        <f t="shared" si="10"/>
        <v>-36516.94</v>
      </c>
    </row>
    <row r="86" spans="1:43" x14ac:dyDescent="0.25">
      <c r="A86">
        <v>79</v>
      </c>
      <c r="B86" s="10" t="s">
        <v>427</v>
      </c>
      <c r="C86" s="10" t="s">
        <v>1053</v>
      </c>
      <c r="D86" s="3" t="s">
        <v>428</v>
      </c>
      <c r="E86" s="3" t="s">
        <v>429</v>
      </c>
      <c r="F86" s="3" t="s">
        <v>430</v>
      </c>
      <c r="G86" s="3" t="s">
        <v>431</v>
      </c>
      <c r="H86" s="3" t="s">
        <v>14</v>
      </c>
      <c r="I86" s="3"/>
      <c r="J86" s="3" t="s">
        <v>33</v>
      </c>
      <c r="K86" s="3" t="s">
        <v>432</v>
      </c>
      <c r="L86" s="3"/>
      <c r="M86" s="3"/>
      <c r="N86" s="3"/>
      <c r="O86" s="3"/>
      <c r="P86" s="3"/>
      <c r="Q86" s="4">
        <v>46046</v>
      </c>
      <c r="R86" s="5">
        <v>637.30999999999995</v>
      </c>
      <c r="S86" s="3">
        <v>102</v>
      </c>
      <c r="T86" s="3"/>
      <c r="U86" s="3">
        <v>0</v>
      </c>
      <c r="V86" s="3" t="s">
        <v>8</v>
      </c>
      <c r="W86" s="16">
        <v>637.30999999999995</v>
      </c>
      <c r="X86" s="3">
        <v>0</v>
      </c>
      <c r="Y86" s="3">
        <v>0</v>
      </c>
      <c r="Z86" s="3">
        <v>0</v>
      </c>
      <c r="AA86" s="3">
        <v>0.31</v>
      </c>
      <c r="AB86" s="5">
        <v>637.62</v>
      </c>
      <c r="AD86" s="25" t="s">
        <v>1152</v>
      </c>
      <c r="AE86" s="25" t="s">
        <v>1153</v>
      </c>
      <c r="AF86" s="26">
        <v>637.30999999999995</v>
      </c>
      <c r="AG86" s="33">
        <f>AF86</f>
        <v>637.30999999999995</v>
      </c>
      <c r="AH86" s="18"/>
      <c r="AI86" s="3"/>
      <c r="AJ86" s="3"/>
      <c r="AK86" s="3"/>
      <c r="AL86" s="15">
        <f t="shared" si="8"/>
        <v>637.30999999999995</v>
      </c>
      <c r="AM86" s="15">
        <f t="shared" si="11"/>
        <v>0.31000000000005912</v>
      </c>
      <c r="AN86">
        <v>0.31</v>
      </c>
      <c r="AO86" s="15">
        <f t="shared" si="9"/>
        <v>5.9119376061289586E-14</v>
      </c>
      <c r="AQ86" s="15">
        <f t="shared" si="10"/>
        <v>0</v>
      </c>
    </row>
    <row r="87" spans="1:43" x14ac:dyDescent="0.25">
      <c r="A87">
        <v>80</v>
      </c>
      <c r="B87" s="10" t="s">
        <v>433</v>
      </c>
      <c r="C87" s="10" t="s">
        <v>1054</v>
      </c>
      <c r="D87" s="3" t="s">
        <v>434</v>
      </c>
      <c r="E87" s="3" t="s">
        <v>435</v>
      </c>
      <c r="F87" s="3" t="s">
        <v>436</v>
      </c>
      <c r="G87" s="3" t="s">
        <v>437</v>
      </c>
      <c r="H87" s="3" t="s">
        <v>14</v>
      </c>
      <c r="I87" s="3"/>
      <c r="J87" s="3" t="s">
        <v>15</v>
      </c>
      <c r="K87" s="3" t="s">
        <v>438</v>
      </c>
      <c r="L87" s="3"/>
      <c r="M87" s="3"/>
      <c r="N87" s="3"/>
      <c r="O87" s="3">
        <v>1402</v>
      </c>
      <c r="P87" s="3"/>
      <c r="Q87" s="4">
        <v>46060</v>
      </c>
      <c r="R87" s="5">
        <v>2725.96</v>
      </c>
      <c r="S87" s="3">
        <v>154</v>
      </c>
      <c r="T87" s="3"/>
      <c r="U87" s="3">
        <v>0</v>
      </c>
      <c r="V87" s="3" t="s">
        <v>8</v>
      </c>
      <c r="W87" s="5">
        <v>2725.96</v>
      </c>
      <c r="X87" s="16">
        <v>2725.96</v>
      </c>
      <c r="Y87" s="3">
        <v>0</v>
      </c>
      <c r="Z87" s="3">
        <v>0</v>
      </c>
      <c r="AA87" s="3">
        <v>0</v>
      </c>
      <c r="AB87" s="5">
        <v>5451.92</v>
      </c>
      <c r="AD87" s="25" t="s">
        <v>1151</v>
      </c>
      <c r="AE87" s="25" t="s">
        <v>433</v>
      </c>
      <c r="AF87" s="26">
        <v>2725.96</v>
      </c>
      <c r="AG87" s="32"/>
      <c r="AH87" s="19">
        <f>AF87</f>
        <v>2725.96</v>
      </c>
      <c r="AI87" s="3"/>
      <c r="AJ87" s="3"/>
      <c r="AK87" s="3"/>
      <c r="AL87" s="15">
        <f t="shared" si="8"/>
        <v>2725.96</v>
      </c>
      <c r="AM87" s="15">
        <f t="shared" si="11"/>
        <v>2725.96</v>
      </c>
      <c r="AN87">
        <v>2725.96</v>
      </c>
      <c r="AO87" s="15">
        <f>AM87-AN87</f>
        <v>0</v>
      </c>
      <c r="AQ87" s="15">
        <f t="shared" si="10"/>
        <v>0</v>
      </c>
    </row>
    <row r="88" spans="1:43" x14ac:dyDescent="0.25">
      <c r="A88">
        <v>81</v>
      </c>
      <c r="B88" s="10">
        <v>1134</v>
      </c>
      <c r="C88" s="10" t="s">
        <v>1055</v>
      </c>
      <c r="D88" s="3" t="s">
        <v>439</v>
      </c>
      <c r="E88" s="3"/>
      <c r="F88" s="3" t="s">
        <v>440</v>
      </c>
      <c r="G88" s="3" t="s">
        <v>441</v>
      </c>
      <c r="H88" s="3" t="s">
        <v>14</v>
      </c>
      <c r="I88" s="3" t="s">
        <v>6</v>
      </c>
      <c r="J88" s="3" t="s">
        <v>15</v>
      </c>
      <c r="K88" s="3" t="s">
        <v>442</v>
      </c>
      <c r="L88" s="3"/>
      <c r="M88" s="3"/>
      <c r="N88" s="3" t="s">
        <v>22</v>
      </c>
      <c r="O88" s="3"/>
      <c r="P88" s="3"/>
      <c r="Q88" s="4">
        <v>46053</v>
      </c>
      <c r="R88" s="5">
        <v>28723.53</v>
      </c>
      <c r="S88" s="3">
        <v>110</v>
      </c>
      <c r="T88" s="3"/>
      <c r="U88" s="3">
        <v>0</v>
      </c>
      <c r="V88" s="3" t="s">
        <v>8</v>
      </c>
      <c r="W88" s="5">
        <v>28838.53</v>
      </c>
      <c r="X88" s="5">
        <v>28723.53</v>
      </c>
      <c r="Y88" s="3">
        <v>0</v>
      </c>
      <c r="Z88" s="3">
        <v>0</v>
      </c>
      <c r="AA88" s="3">
        <v>0</v>
      </c>
      <c r="AB88" s="5">
        <v>57562.06</v>
      </c>
      <c r="AD88" s="25" t="s">
        <v>1165</v>
      </c>
      <c r="AE88" s="25" t="s">
        <v>1187</v>
      </c>
      <c r="AF88" s="26">
        <v>28723.53</v>
      </c>
      <c r="AG88" s="32"/>
      <c r="AH88" s="19">
        <f>AF88</f>
        <v>28723.53</v>
      </c>
      <c r="AI88" s="3"/>
      <c r="AJ88" s="3"/>
      <c r="AK88" s="3"/>
      <c r="AL88" s="15">
        <f t="shared" si="8"/>
        <v>28723.53</v>
      </c>
      <c r="AM88" s="15">
        <f t="shared" si="11"/>
        <v>28838.53</v>
      </c>
      <c r="AN88">
        <v>28838.53</v>
      </c>
      <c r="AO88" s="15">
        <f t="shared" ref="AO88:AO151" si="12">AM88-AN88</f>
        <v>0</v>
      </c>
      <c r="AQ88" s="15">
        <f t="shared" si="10"/>
        <v>0</v>
      </c>
    </row>
    <row r="89" spans="1:43" x14ac:dyDescent="0.25">
      <c r="A89">
        <v>82</v>
      </c>
      <c r="B89" s="10" t="s">
        <v>443</v>
      </c>
      <c r="C89" s="10" t="s">
        <v>1056</v>
      </c>
      <c r="D89" s="3" t="s">
        <v>444</v>
      </c>
      <c r="E89" s="3" t="s">
        <v>445</v>
      </c>
      <c r="F89" s="3"/>
      <c r="G89" s="3" t="s">
        <v>446</v>
      </c>
      <c r="H89" s="3" t="s">
        <v>14</v>
      </c>
      <c r="I89" s="3" t="s">
        <v>6</v>
      </c>
      <c r="J89" s="3"/>
      <c r="K89" s="3" t="s">
        <v>447</v>
      </c>
      <c r="L89" s="3"/>
      <c r="M89" s="3"/>
      <c r="N89" s="3" t="s">
        <v>22</v>
      </c>
      <c r="O89" s="3"/>
      <c r="P89" s="3"/>
      <c r="Q89" s="4">
        <v>45663</v>
      </c>
      <c r="R89" s="5">
        <v>4600</v>
      </c>
      <c r="S89" s="3">
        <v>95</v>
      </c>
      <c r="T89" s="3"/>
      <c r="U89" s="3">
        <v>0</v>
      </c>
      <c r="V89" s="3" t="s">
        <v>8</v>
      </c>
      <c r="W89" s="5">
        <v>7337</v>
      </c>
      <c r="X89" s="3">
        <v>0</v>
      </c>
      <c r="Y89" s="3">
        <v>0</v>
      </c>
      <c r="Z89" s="3">
        <v>0</v>
      </c>
      <c r="AA89" s="3">
        <v>0</v>
      </c>
      <c r="AB89" s="5">
        <v>7337</v>
      </c>
      <c r="AD89" s="25"/>
      <c r="AE89" s="25"/>
      <c r="AF89" s="25"/>
      <c r="AG89" s="32"/>
      <c r="AH89" s="18"/>
      <c r="AI89" s="3"/>
      <c r="AJ89" s="3"/>
      <c r="AK89" s="3"/>
      <c r="AL89" s="15">
        <f t="shared" si="8"/>
        <v>0</v>
      </c>
      <c r="AM89" s="15">
        <f t="shared" si="11"/>
        <v>7337</v>
      </c>
      <c r="AN89" s="15">
        <f>AM89</f>
        <v>7337</v>
      </c>
      <c r="AO89" s="15">
        <f t="shared" si="12"/>
        <v>0</v>
      </c>
      <c r="AQ89" s="15">
        <f t="shared" si="10"/>
        <v>0</v>
      </c>
    </row>
    <row r="90" spans="1:43" x14ac:dyDescent="0.25">
      <c r="A90">
        <v>83</v>
      </c>
      <c r="B90" s="10" t="s">
        <v>448</v>
      </c>
      <c r="C90" s="10" t="s">
        <v>1057</v>
      </c>
      <c r="D90" s="3" t="s">
        <v>449</v>
      </c>
      <c r="E90" s="3" t="s">
        <v>450</v>
      </c>
      <c r="F90" s="6" t="s">
        <v>451</v>
      </c>
      <c r="G90" s="3" t="s">
        <v>452</v>
      </c>
      <c r="H90" s="3" t="s">
        <v>14</v>
      </c>
      <c r="I90" s="3" t="s">
        <v>6</v>
      </c>
      <c r="J90" s="3" t="s">
        <v>15</v>
      </c>
      <c r="K90" s="3" t="s">
        <v>453</v>
      </c>
      <c r="L90" s="3"/>
      <c r="M90" s="3"/>
      <c r="N90" s="3" t="s">
        <v>22</v>
      </c>
      <c r="O90" s="3"/>
      <c r="P90" s="3"/>
      <c r="Q90" s="4">
        <v>46060</v>
      </c>
      <c r="R90" s="5">
        <v>2561.11</v>
      </c>
      <c r="S90" s="3">
        <v>230</v>
      </c>
      <c r="T90" s="3"/>
      <c r="U90" s="3">
        <v>0</v>
      </c>
      <c r="V90" s="3" t="s">
        <v>8</v>
      </c>
      <c r="W90" s="5">
        <v>2714.77</v>
      </c>
      <c r="X90" s="5">
        <v>2714.77</v>
      </c>
      <c r="Y90" s="16">
        <v>2561.11</v>
      </c>
      <c r="Z90" s="3">
        <v>0</v>
      </c>
      <c r="AA90" s="3">
        <v>0</v>
      </c>
      <c r="AB90" s="5">
        <v>7990.65</v>
      </c>
      <c r="AD90" s="25" t="s">
        <v>1151</v>
      </c>
      <c r="AE90" s="25" t="s">
        <v>1162</v>
      </c>
      <c r="AF90" s="26">
        <v>2561.11</v>
      </c>
      <c r="AG90" s="32"/>
      <c r="AH90" s="19"/>
      <c r="AI90" s="5">
        <f>AF90</f>
        <v>2561.11</v>
      </c>
      <c r="AJ90" s="3"/>
      <c r="AK90" s="3"/>
      <c r="AL90" s="15">
        <f t="shared" si="8"/>
        <v>2561.11</v>
      </c>
      <c r="AM90" s="15">
        <f t="shared" si="11"/>
        <v>5429.5399999999991</v>
      </c>
      <c r="AN90" s="15">
        <f>AM90</f>
        <v>5429.5399999999991</v>
      </c>
      <c r="AO90" s="15">
        <f t="shared" si="12"/>
        <v>0</v>
      </c>
      <c r="AQ90" s="15">
        <f t="shared" si="10"/>
        <v>0</v>
      </c>
    </row>
    <row r="91" spans="1:43" x14ac:dyDescent="0.25">
      <c r="A91">
        <v>84</v>
      </c>
      <c r="B91" s="10" t="s">
        <v>454</v>
      </c>
      <c r="C91" s="10" t="s">
        <v>1271</v>
      </c>
      <c r="D91" s="3" t="s">
        <v>455</v>
      </c>
      <c r="E91" s="3" t="s">
        <v>456</v>
      </c>
      <c r="F91" s="3" t="s">
        <v>457</v>
      </c>
      <c r="G91" s="3" t="s">
        <v>458</v>
      </c>
      <c r="H91" s="3" t="s">
        <v>249</v>
      </c>
      <c r="I91" s="3" t="s">
        <v>6</v>
      </c>
      <c r="J91" s="3"/>
      <c r="K91" s="3" t="s">
        <v>459</v>
      </c>
      <c r="L91" s="3"/>
      <c r="M91" s="3"/>
      <c r="N91" s="3"/>
      <c r="O91" s="6" t="s">
        <v>460</v>
      </c>
      <c r="P91" s="3"/>
      <c r="Q91" s="4">
        <v>45811</v>
      </c>
      <c r="R91" s="5">
        <v>758.65</v>
      </c>
      <c r="S91" s="3">
        <v>17</v>
      </c>
      <c r="T91" s="3"/>
      <c r="U91" s="3">
        <v>0</v>
      </c>
      <c r="V91" s="3" t="s">
        <v>8</v>
      </c>
      <c r="W91" s="3">
        <v>0</v>
      </c>
      <c r="X91" s="3">
        <v>0</v>
      </c>
      <c r="Y91" s="3">
        <v>0</v>
      </c>
      <c r="Z91" s="3">
        <v>0</v>
      </c>
      <c r="AA91" s="5">
        <v>0</v>
      </c>
      <c r="AB91" s="5">
        <v>0</v>
      </c>
      <c r="AD91" s="25"/>
      <c r="AE91" s="25"/>
      <c r="AF91" s="25"/>
      <c r="AG91" s="32"/>
      <c r="AH91" s="18"/>
      <c r="AI91" s="3"/>
      <c r="AJ91" s="3"/>
      <c r="AK91" s="5"/>
      <c r="AL91" s="15">
        <f t="shared" si="8"/>
        <v>0</v>
      </c>
      <c r="AM91" s="15">
        <f t="shared" si="11"/>
        <v>0</v>
      </c>
      <c r="AO91" s="15">
        <f t="shared" si="12"/>
        <v>0</v>
      </c>
      <c r="AQ91" s="15">
        <f t="shared" si="10"/>
        <v>0</v>
      </c>
    </row>
    <row r="92" spans="1:43" x14ac:dyDescent="0.25">
      <c r="A92">
        <v>85</v>
      </c>
      <c r="B92" s="10">
        <v>1133</v>
      </c>
      <c r="C92" s="10" t="s">
        <v>1058</v>
      </c>
      <c r="D92" s="3" t="s">
        <v>461</v>
      </c>
      <c r="E92" s="3" t="s">
        <v>462</v>
      </c>
      <c r="F92" s="6" t="s">
        <v>463</v>
      </c>
      <c r="G92" s="3" t="s">
        <v>464</v>
      </c>
      <c r="H92" s="3" t="s">
        <v>14</v>
      </c>
      <c r="I92" s="3" t="s">
        <v>6</v>
      </c>
      <c r="J92" s="3" t="s">
        <v>15</v>
      </c>
      <c r="K92" s="3" t="s">
        <v>465</v>
      </c>
      <c r="L92" s="3"/>
      <c r="M92" s="3"/>
      <c r="N92" s="3" t="s">
        <v>22</v>
      </c>
      <c r="O92" s="3"/>
      <c r="P92" s="3"/>
      <c r="Q92" s="4">
        <v>46052</v>
      </c>
      <c r="R92" s="5">
        <v>10102.219999999999</v>
      </c>
      <c r="S92" s="3">
        <v>129</v>
      </c>
      <c r="T92" s="3"/>
      <c r="U92" s="3">
        <v>0</v>
      </c>
      <c r="V92" s="3" t="s">
        <v>8</v>
      </c>
      <c r="W92" s="5">
        <v>10102.219999999999</v>
      </c>
      <c r="X92" s="3">
        <v>0</v>
      </c>
      <c r="Y92" s="3">
        <v>0</v>
      </c>
      <c r="Z92" s="3">
        <v>0</v>
      </c>
      <c r="AA92" s="3">
        <v>0</v>
      </c>
      <c r="AB92" s="5">
        <v>10102.219999999999</v>
      </c>
      <c r="AD92" s="25" t="s">
        <v>1165</v>
      </c>
      <c r="AE92" s="25" t="s">
        <v>1170</v>
      </c>
      <c r="AF92" s="26">
        <v>10102.219999999999</v>
      </c>
      <c r="AG92" s="33">
        <f>W92</f>
        <v>10102.219999999999</v>
      </c>
      <c r="AH92" s="18"/>
      <c r="AI92" s="3"/>
      <c r="AJ92" s="3"/>
      <c r="AK92" s="3"/>
      <c r="AL92" s="15">
        <f t="shared" si="8"/>
        <v>10102.219999999999</v>
      </c>
      <c r="AM92" s="15">
        <f t="shared" si="11"/>
        <v>0</v>
      </c>
      <c r="AN92">
        <v>0</v>
      </c>
      <c r="AO92" s="15">
        <f t="shared" si="12"/>
        <v>0</v>
      </c>
      <c r="AQ92" s="15">
        <f t="shared" si="10"/>
        <v>0</v>
      </c>
    </row>
    <row r="93" spans="1:43" x14ac:dyDescent="0.25">
      <c r="A93">
        <v>86</v>
      </c>
      <c r="B93" s="10" t="s">
        <v>466</v>
      </c>
      <c r="C93" s="10" t="s">
        <v>1059</v>
      </c>
      <c r="D93" s="3" t="s">
        <v>467</v>
      </c>
      <c r="E93" s="3" t="s">
        <v>468</v>
      </c>
      <c r="F93" s="3" t="s">
        <v>469</v>
      </c>
      <c r="G93" s="3" t="s">
        <v>470</v>
      </c>
      <c r="H93" s="3" t="s">
        <v>14</v>
      </c>
      <c r="I93" s="3" t="s">
        <v>6</v>
      </c>
      <c r="J93" s="3"/>
      <c r="K93" s="3" t="s">
        <v>471</v>
      </c>
      <c r="L93" s="3"/>
      <c r="M93" s="3"/>
      <c r="N93" s="3" t="s">
        <v>22</v>
      </c>
      <c r="O93" s="3"/>
      <c r="P93" s="3"/>
      <c r="Q93" s="4">
        <v>46081</v>
      </c>
      <c r="R93" s="5">
        <v>1025.06</v>
      </c>
      <c r="S93" s="3">
        <v>51</v>
      </c>
      <c r="T93" s="3"/>
      <c r="U93" s="3">
        <v>0</v>
      </c>
      <c r="V93" s="3" t="s">
        <v>8</v>
      </c>
      <c r="W93" s="5">
        <v>646.30999999999995</v>
      </c>
      <c r="X93" s="3">
        <v>0</v>
      </c>
      <c r="Y93" s="3">
        <v>0</v>
      </c>
      <c r="Z93" s="3">
        <v>0</v>
      </c>
      <c r="AA93" s="3">
        <v>0</v>
      </c>
      <c r="AB93" s="5">
        <v>646.30999999999995</v>
      </c>
      <c r="AD93" s="25" t="s">
        <v>1201</v>
      </c>
      <c r="AE93" s="25" t="s">
        <v>1248</v>
      </c>
      <c r="AF93" s="26">
        <v>646.30999999999995</v>
      </c>
      <c r="AG93" s="33">
        <f>AF93</f>
        <v>646.30999999999995</v>
      </c>
      <c r="AH93" s="18"/>
      <c r="AI93" s="3"/>
      <c r="AJ93" s="3"/>
      <c r="AK93" s="3"/>
      <c r="AL93" s="15">
        <f t="shared" si="8"/>
        <v>646.30999999999995</v>
      </c>
      <c r="AM93" s="15">
        <f t="shared" si="11"/>
        <v>0</v>
      </c>
      <c r="AN93" s="15">
        <f>AM93</f>
        <v>0</v>
      </c>
      <c r="AO93" s="15">
        <f t="shared" si="12"/>
        <v>0</v>
      </c>
      <c r="AQ93" s="15">
        <f t="shared" si="10"/>
        <v>0</v>
      </c>
    </row>
    <row r="94" spans="1:43" x14ac:dyDescent="0.25">
      <c r="A94">
        <v>87</v>
      </c>
      <c r="B94" s="10" t="s">
        <v>472</v>
      </c>
      <c r="C94" s="10" t="s">
        <v>1060</v>
      </c>
      <c r="D94" s="3" t="s">
        <v>473</v>
      </c>
      <c r="E94" s="3" t="s">
        <v>474</v>
      </c>
      <c r="F94" s="3" t="s">
        <v>475</v>
      </c>
      <c r="G94" s="3" t="s">
        <v>476</v>
      </c>
      <c r="H94" s="3" t="s">
        <v>14</v>
      </c>
      <c r="I94" s="3" t="s">
        <v>6</v>
      </c>
      <c r="J94" s="3" t="s">
        <v>15</v>
      </c>
      <c r="K94" s="3" t="s">
        <v>477</v>
      </c>
      <c r="L94" s="3"/>
      <c r="M94" s="3"/>
      <c r="N94" s="3"/>
      <c r="O94" s="3"/>
      <c r="P94" s="3"/>
      <c r="Q94" s="4">
        <v>46081</v>
      </c>
      <c r="R94" s="5">
        <v>358.59</v>
      </c>
      <c r="S94" s="3">
        <v>40</v>
      </c>
      <c r="T94" s="3"/>
      <c r="U94" s="3">
        <v>0</v>
      </c>
      <c r="V94" s="3" t="s">
        <v>8</v>
      </c>
      <c r="W94" s="5">
        <v>358.59</v>
      </c>
      <c r="X94" s="3">
        <v>0</v>
      </c>
      <c r="Y94" s="3">
        <v>0</v>
      </c>
      <c r="Z94" s="3">
        <v>0</v>
      </c>
      <c r="AA94" s="3">
        <v>0</v>
      </c>
      <c r="AB94" s="5">
        <v>358.59</v>
      </c>
      <c r="AD94" s="25" t="s">
        <v>1201</v>
      </c>
      <c r="AE94" s="25" t="s">
        <v>1247</v>
      </c>
      <c r="AF94" s="26">
        <v>358.59</v>
      </c>
      <c r="AG94" s="33">
        <f>AF94</f>
        <v>358.59</v>
      </c>
      <c r="AH94" s="18"/>
      <c r="AI94" s="3"/>
      <c r="AJ94" s="3"/>
      <c r="AK94" s="3"/>
      <c r="AL94" s="15">
        <f t="shared" si="8"/>
        <v>358.59</v>
      </c>
      <c r="AM94" s="15">
        <f t="shared" si="11"/>
        <v>0</v>
      </c>
      <c r="AN94" s="15">
        <f>AM94</f>
        <v>0</v>
      </c>
      <c r="AO94" s="15">
        <f t="shared" si="12"/>
        <v>0</v>
      </c>
      <c r="AQ94" s="15">
        <f t="shared" si="10"/>
        <v>0</v>
      </c>
    </row>
    <row r="95" spans="1:43" s="43" customFormat="1" x14ac:dyDescent="0.25">
      <c r="A95">
        <v>88</v>
      </c>
      <c r="B95" s="41" t="s">
        <v>478</v>
      </c>
      <c r="C95" s="41" t="s">
        <v>1061</v>
      </c>
      <c r="D95" s="40" t="s">
        <v>479</v>
      </c>
      <c r="E95" s="40" t="s">
        <v>480</v>
      </c>
      <c r="F95" s="40" t="s">
        <v>481</v>
      </c>
      <c r="G95" s="40" t="s">
        <v>482</v>
      </c>
      <c r="H95" s="40" t="s">
        <v>14</v>
      </c>
      <c r="I95" s="40" t="s">
        <v>6</v>
      </c>
      <c r="J95" s="40" t="s">
        <v>33</v>
      </c>
      <c r="K95" s="40" t="s">
        <v>483</v>
      </c>
      <c r="L95" s="40"/>
      <c r="M95" s="40"/>
      <c r="N95" s="40"/>
      <c r="O95" s="40">
        <v>1600</v>
      </c>
      <c r="P95" s="40"/>
      <c r="Q95" s="42">
        <v>46080</v>
      </c>
      <c r="R95" s="16">
        <v>17493.34</v>
      </c>
      <c r="S95" s="40">
        <v>555</v>
      </c>
      <c r="T95" s="40"/>
      <c r="U95" s="40">
        <v>0</v>
      </c>
      <c r="V95" s="40" t="s">
        <v>8</v>
      </c>
      <c r="W95" s="16">
        <v>17493.34</v>
      </c>
      <c r="X95" s="40">
        <v>0</v>
      </c>
      <c r="Y95" s="40">
        <v>0</v>
      </c>
      <c r="Z95" s="40">
        <v>0</v>
      </c>
      <c r="AA95" s="40">
        <v>0</v>
      </c>
      <c r="AB95" s="16">
        <v>17493.34</v>
      </c>
      <c r="AD95" s="44" t="s">
        <v>1179</v>
      </c>
      <c r="AE95" s="44" t="s">
        <v>1180</v>
      </c>
      <c r="AF95" s="27">
        <v>17493.34</v>
      </c>
      <c r="AG95" s="34">
        <f>AF95</f>
        <v>17493.34</v>
      </c>
      <c r="AH95" s="45"/>
      <c r="AI95" s="40"/>
      <c r="AJ95" s="40"/>
      <c r="AK95" s="40"/>
      <c r="AL95" s="17">
        <f t="shared" si="8"/>
        <v>17493.34</v>
      </c>
      <c r="AM95" s="17">
        <f t="shared" si="11"/>
        <v>0</v>
      </c>
      <c r="AN95" s="43">
        <v>0</v>
      </c>
      <c r="AO95" s="17">
        <f t="shared" si="12"/>
        <v>0</v>
      </c>
      <c r="AP95" s="13"/>
      <c r="AQ95" s="15">
        <f t="shared" si="10"/>
        <v>0</v>
      </c>
    </row>
    <row r="96" spans="1:43" x14ac:dyDescent="0.25">
      <c r="A96">
        <v>89</v>
      </c>
      <c r="B96" s="10" t="s">
        <v>484</v>
      </c>
      <c r="C96" s="10" t="s">
        <v>1062</v>
      </c>
      <c r="D96" s="3" t="s">
        <v>485</v>
      </c>
      <c r="E96" s="3" t="s">
        <v>486</v>
      </c>
      <c r="F96" s="3" t="s">
        <v>487</v>
      </c>
      <c r="G96" s="3" t="s">
        <v>488</v>
      </c>
      <c r="H96" s="3" t="s">
        <v>14</v>
      </c>
      <c r="I96" s="3" t="s">
        <v>6</v>
      </c>
      <c r="J96" s="3" t="s">
        <v>15</v>
      </c>
      <c r="K96" s="3" t="s">
        <v>489</v>
      </c>
      <c r="L96" s="3"/>
      <c r="M96" s="3"/>
      <c r="N96" s="3"/>
      <c r="O96" s="3">
        <v>8570</v>
      </c>
      <c r="P96" s="3"/>
      <c r="Q96" s="4">
        <v>46022</v>
      </c>
      <c r="R96" s="5">
        <v>1687.29</v>
      </c>
      <c r="S96" s="3">
        <v>204</v>
      </c>
      <c r="T96" s="3"/>
      <c r="U96" s="3">
        <v>0</v>
      </c>
      <c r="V96" s="3" t="s">
        <v>8</v>
      </c>
      <c r="W96" s="3">
        <v>0</v>
      </c>
      <c r="X96" s="3">
        <v>0</v>
      </c>
      <c r="Y96" s="5">
        <v>-0.01</v>
      </c>
      <c r="Z96" s="5">
        <v>-0.01</v>
      </c>
      <c r="AA96" s="3">
        <v>0.01</v>
      </c>
      <c r="AB96" s="5">
        <v>-0.01</v>
      </c>
      <c r="AD96" s="25"/>
      <c r="AE96" s="25"/>
      <c r="AF96" s="25"/>
      <c r="AG96" s="32"/>
      <c r="AH96" s="18"/>
      <c r="AI96" s="5"/>
      <c r="AJ96" s="5"/>
      <c r="AK96" s="3"/>
      <c r="AL96" s="15">
        <f t="shared" si="8"/>
        <v>0</v>
      </c>
      <c r="AM96" s="15">
        <f t="shared" si="11"/>
        <v>-0.01</v>
      </c>
      <c r="AO96" s="15">
        <f t="shared" si="12"/>
        <v>-0.01</v>
      </c>
      <c r="AQ96" s="15">
        <f t="shared" si="10"/>
        <v>0</v>
      </c>
    </row>
    <row r="97" spans="1:43" x14ac:dyDescent="0.25">
      <c r="A97">
        <v>90</v>
      </c>
      <c r="B97" s="10" t="s">
        <v>490</v>
      </c>
      <c r="C97" s="10" t="s">
        <v>1272</v>
      </c>
      <c r="D97" s="3" t="s">
        <v>491</v>
      </c>
      <c r="E97" s="3" t="s">
        <v>492</v>
      </c>
      <c r="F97" s="3"/>
      <c r="G97" s="3" t="s">
        <v>493</v>
      </c>
      <c r="H97" s="3" t="s">
        <v>328</v>
      </c>
      <c r="I97" s="3" t="s">
        <v>6</v>
      </c>
      <c r="J97" s="3"/>
      <c r="K97" s="3" t="s">
        <v>494</v>
      </c>
      <c r="L97" s="3"/>
      <c r="M97" s="3"/>
      <c r="N97" s="3" t="s">
        <v>22</v>
      </c>
      <c r="O97" s="3"/>
      <c r="P97" s="3"/>
      <c r="Q97" s="4">
        <v>45841</v>
      </c>
      <c r="R97" s="5">
        <v>-12749.13</v>
      </c>
      <c r="S97" s="3">
        <v>167</v>
      </c>
      <c r="T97" s="3"/>
      <c r="U97" s="3">
        <v>0</v>
      </c>
      <c r="V97" s="3" t="s">
        <v>8</v>
      </c>
      <c r="W97" s="3">
        <v>0</v>
      </c>
      <c r="X97" s="3">
        <v>0</v>
      </c>
      <c r="Y97" s="3">
        <v>0</v>
      </c>
      <c r="Z97" s="3">
        <v>0</v>
      </c>
      <c r="AA97" s="5">
        <v>50996.52</v>
      </c>
      <c r="AB97" s="5">
        <v>50996.52</v>
      </c>
      <c r="AD97" s="25"/>
      <c r="AE97" s="25"/>
      <c r="AF97" s="25"/>
      <c r="AG97" s="32"/>
      <c r="AH97" s="18"/>
      <c r="AI97" s="3"/>
      <c r="AJ97" s="3"/>
      <c r="AK97" s="5"/>
      <c r="AL97" s="15">
        <f t="shared" si="8"/>
        <v>0</v>
      </c>
      <c r="AM97" s="15">
        <f t="shared" si="11"/>
        <v>50996.52</v>
      </c>
      <c r="AN97" s="15">
        <v>50996.52</v>
      </c>
      <c r="AO97" s="15">
        <f t="shared" si="12"/>
        <v>0</v>
      </c>
      <c r="AQ97" s="15">
        <f t="shared" si="10"/>
        <v>0</v>
      </c>
    </row>
    <row r="98" spans="1:43" x14ac:dyDescent="0.25">
      <c r="A98">
        <v>91</v>
      </c>
      <c r="B98" s="10" t="s">
        <v>495</v>
      </c>
      <c r="C98" s="10" t="s">
        <v>1063</v>
      </c>
      <c r="D98" s="3" t="s">
        <v>496</v>
      </c>
      <c r="E98" s="3" t="s">
        <v>314</v>
      </c>
      <c r="F98" s="3" t="s">
        <v>497</v>
      </c>
      <c r="G98" s="3" t="s">
        <v>316</v>
      </c>
      <c r="H98" s="3" t="s">
        <v>14</v>
      </c>
      <c r="I98" s="3" t="s">
        <v>6</v>
      </c>
      <c r="J98" s="3" t="s">
        <v>33</v>
      </c>
      <c r="K98" s="3" t="s">
        <v>498</v>
      </c>
      <c r="L98" s="3"/>
      <c r="M98" s="3"/>
      <c r="N98" s="3"/>
      <c r="O98" s="3">
        <v>2000</v>
      </c>
      <c r="P98" s="3"/>
      <c r="Q98" s="4">
        <v>46081</v>
      </c>
      <c r="R98" s="5">
        <v>2748.44</v>
      </c>
      <c r="S98" s="3">
        <v>359</v>
      </c>
      <c r="T98" s="3"/>
      <c r="U98" s="3">
        <v>0</v>
      </c>
      <c r="V98" s="3" t="s">
        <v>8</v>
      </c>
      <c r="W98" s="5">
        <v>19440.68</v>
      </c>
      <c r="X98" s="3">
        <v>0</v>
      </c>
      <c r="Y98" s="3">
        <v>0</v>
      </c>
      <c r="Z98" s="3">
        <v>0</v>
      </c>
      <c r="AA98" s="5">
        <v>-3.78</v>
      </c>
      <c r="AB98" s="5">
        <v>19436.900000000001</v>
      </c>
      <c r="AD98" s="25"/>
      <c r="AE98" s="25"/>
      <c r="AF98" s="25"/>
      <c r="AG98" s="32"/>
      <c r="AH98" s="18"/>
      <c r="AI98" s="3"/>
      <c r="AJ98" s="3"/>
      <c r="AK98" s="5"/>
      <c r="AL98" s="15">
        <f t="shared" si="8"/>
        <v>0</v>
      </c>
      <c r="AM98" s="15">
        <f t="shared" si="11"/>
        <v>19436.900000000001</v>
      </c>
      <c r="AN98" s="15">
        <f>AM98</f>
        <v>19436.900000000001</v>
      </c>
      <c r="AO98" s="15">
        <f t="shared" si="12"/>
        <v>0</v>
      </c>
      <c r="AQ98" s="15">
        <f t="shared" si="10"/>
        <v>0</v>
      </c>
    </row>
    <row r="99" spans="1:43" x14ac:dyDescent="0.25">
      <c r="A99">
        <v>92</v>
      </c>
      <c r="B99" s="10" t="s">
        <v>499</v>
      </c>
      <c r="C99" s="10" t="s">
        <v>1064</v>
      </c>
      <c r="D99" s="3" t="s">
        <v>500</v>
      </c>
      <c r="E99" s="3" t="s">
        <v>314</v>
      </c>
      <c r="F99" s="3" t="s">
        <v>501</v>
      </c>
      <c r="G99" s="3" t="s">
        <v>316</v>
      </c>
      <c r="H99" s="3" t="s">
        <v>14</v>
      </c>
      <c r="I99" s="3" t="s">
        <v>6</v>
      </c>
      <c r="J99" s="3" t="s">
        <v>33</v>
      </c>
      <c r="K99" s="3" t="s">
        <v>502</v>
      </c>
      <c r="L99" s="3"/>
      <c r="M99" s="3"/>
      <c r="N99" s="3"/>
      <c r="O99" s="3">
        <v>2000</v>
      </c>
      <c r="P99" s="3"/>
      <c r="Q99" s="4">
        <v>46081</v>
      </c>
      <c r="R99" s="5">
        <v>1212.6400000000001</v>
      </c>
      <c r="S99" s="3">
        <v>71</v>
      </c>
      <c r="T99" s="3" t="s">
        <v>503</v>
      </c>
      <c r="U99" s="3">
        <v>0</v>
      </c>
      <c r="V99" s="3" t="s">
        <v>8</v>
      </c>
      <c r="W99" s="5">
        <v>1212.6400000000001</v>
      </c>
      <c r="X99" s="3">
        <v>0</v>
      </c>
      <c r="Y99" s="3">
        <v>0</v>
      </c>
      <c r="Z99" s="3">
        <v>0</v>
      </c>
      <c r="AA99" s="3">
        <v>0</v>
      </c>
      <c r="AB99" s="5">
        <v>1212.6400000000001</v>
      </c>
      <c r="AD99" s="25"/>
      <c r="AE99" s="25"/>
      <c r="AF99" s="25"/>
      <c r="AG99" s="32"/>
      <c r="AH99" s="18"/>
      <c r="AI99" s="3"/>
      <c r="AJ99" s="3"/>
      <c r="AK99" s="3"/>
      <c r="AL99" s="15">
        <f t="shared" si="8"/>
        <v>0</v>
      </c>
      <c r="AM99" s="15">
        <f t="shared" si="11"/>
        <v>1212.6400000000001</v>
      </c>
      <c r="AN99" s="15">
        <f>AM99</f>
        <v>1212.6400000000001</v>
      </c>
      <c r="AO99" s="15">
        <f t="shared" si="12"/>
        <v>0</v>
      </c>
      <c r="AQ99" s="15">
        <f t="shared" si="10"/>
        <v>0</v>
      </c>
    </row>
    <row r="100" spans="1:43" x14ac:dyDescent="0.25">
      <c r="A100">
        <v>93</v>
      </c>
      <c r="B100" s="10" t="s">
        <v>504</v>
      </c>
      <c r="C100" s="10" t="s">
        <v>1272</v>
      </c>
      <c r="D100" s="3" t="s">
        <v>505</v>
      </c>
      <c r="E100" s="3" t="s">
        <v>506</v>
      </c>
      <c r="F100" s="3"/>
      <c r="G100" s="3" t="s">
        <v>507</v>
      </c>
      <c r="H100" s="3" t="s">
        <v>14</v>
      </c>
      <c r="I100" s="3" t="s">
        <v>6</v>
      </c>
      <c r="J100" s="3"/>
      <c r="K100" s="3" t="s">
        <v>508</v>
      </c>
      <c r="L100" s="3"/>
      <c r="M100" s="3"/>
      <c r="N100" s="3" t="s">
        <v>22</v>
      </c>
      <c r="O100" s="3"/>
      <c r="P100" s="3"/>
      <c r="Q100" s="4">
        <v>46081</v>
      </c>
      <c r="R100" s="5">
        <v>3908.2</v>
      </c>
      <c r="S100" s="3">
        <v>227</v>
      </c>
      <c r="T100" s="3"/>
      <c r="U100" s="3">
        <v>0</v>
      </c>
      <c r="V100" s="3" t="s">
        <v>8</v>
      </c>
      <c r="W100" s="5">
        <v>3908.2</v>
      </c>
      <c r="X100" s="3">
        <v>0</v>
      </c>
      <c r="Y100" s="3">
        <v>0</v>
      </c>
      <c r="Z100" s="3">
        <v>0</v>
      </c>
      <c r="AA100" s="3">
        <v>0</v>
      </c>
      <c r="AB100" s="5">
        <v>3908.2</v>
      </c>
      <c r="AD100" s="25" t="s">
        <v>1201</v>
      </c>
      <c r="AE100" s="25" t="s">
        <v>1261</v>
      </c>
      <c r="AF100" s="26">
        <v>3908.2</v>
      </c>
      <c r="AG100" s="33">
        <f>AF100</f>
        <v>3908.2</v>
      </c>
      <c r="AH100" s="18"/>
      <c r="AI100" s="3"/>
      <c r="AJ100" s="3"/>
      <c r="AK100" s="3"/>
      <c r="AL100" s="15">
        <f t="shared" si="8"/>
        <v>3908.2</v>
      </c>
      <c r="AM100" s="15">
        <f>AB100-AL100</f>
        <v>0</v>
      </c>
      <c r="AN100" s="15">
        <f>AM100</f>
        <v>0</v>
      </c>
      <c r="AO100" s="15">
        <f t="shared" si="12"/>
        <v>0</v>
      </c>
      <c r="AQ100" s="15">
        <f t="shared" si="10"/>
        <v>0</v>
      </c>
    </row>
    <row r="101" spans="1:43" x14ac:dyDescent="0.25">
      <c r="A101">
        <v>94</v>
      </c>
      <c r="B101" s="10" t="s">
        <v>509</v>
      </c>
      <c r="C101" s="10" t="s">
        <v>1065</v>
      </c>
      <c r="D101" s="3" t="s">
        <v>510</v>
      </c>
      <c r="E101" s="3" t="s">
        <v>30</v>
      </c>
      <c r="F101" s="3" t="s">
        <v>511</v>
      </c>
      <c r="G101" s="3" t="s">
        <v>512</v>
      </c>
      <c r="H101" s="3" t="s">
        <v>14</v>
      </c>
      <c r="I101" s="3" t="s">
        <v>6</v>
      </c>
      <c r="J101" s="3"/>
      <c r="K101" s="3" t="s">
        <v>513</v>
      </c>
      <c r="L101" s="3"/>
      <c r="M101" s="3"/>
      <c r="N101" s="3"/>
      <c r="O101" s="3"/>
      <c r="P101" s="3"/>
      <c r="Q101" s="4">
        <v>46053</v>
      </c>
      <c r="R101" s="5">
        <v>2870.02</v>
      </c>
      <c r="S101" s="3">
        <v>39</v>
      </c>
      <c r="T101" s="3"/>
      <c r="U101" s="3">
        <v>0</v>
      </c>
      <c r="V101" s="3" t="s">
        <v>8</v>
      </c>
      <c r="W101" s="5">
        <v>2870.02</v>
      </c>
      <c r="X101" s="3">
        <v>0</v>
      </c>
      <c r="Y101" s="3">
        <v>0</v>
      </c>
      <c r="Z101" s="3">
        <v>0</v>
      </c>
      <c r="AA101" s="3">
        <v>0</v>
      </c>
      <c r="AB101" s="5">
        <v>2870.02</v>
      </c>
      <c r="AD101" s="25" t="s">
        <v>1201</v>
      </c>
      <c r="AE101" s="25" t="s">
        <v>1259</v>
      </c>
      <c r="AF101" s="26">
        <v>2870.02</v>
      </c>
      <c r="AG101" s="33">
        <f>W101</f>
        <v>2870.02</v>
      </c>
      <c r="AH101" s="18"/>
      <c r="AI101" s="3"/>
      <c r="AJ101" s="3"/>
      <c r="AK101" s="3"/>
      <c r="AL101" s="15">
        <f t="shared" si="8"/>
        <v>2870.02</v>
      </c>
      <c r="AM101" s="15">
        <f>AB101-AL101</f>
        <v>0</v>
      </c>
      <c r="AN101" s="15">
        <f t="shared" ref="AN101:AN122" si="13">AM101</f>
        <v>0</v>
      </c>
      <c r="AO101" s="15">
        <f t="shared" si="12"/>
        <v>0</v>
      </c>
      <c r="AQ101" s="15">
        <f t="shared" si="10"/>
        <v>0</v>
      </c>
    </row>
    <row r="102" spans="1:43" x14ac:dyDescent="0.25">
      <c r="A102">
        <v>95</v>
      </c>
      <c r="B102" s="10">
        <v>1151</v>
      </c>
      <c r="C102" s="10" t="s">
        <v>1066</v>
      </c>
      <c r="D102" s="3" t="s">
        <v>514</v>
      </c>
      <c r="E102" s="3" t="s">
        <v>515</v>
      </c>
      <c r="F102" s="3" t="s">
        <v>516</v>
      </c>
      <c r="G102" s="3" t="s">
        <v>517</v>
      </c>
      <c r="H102" s="3" t="s">
        <v>14</v>
      </c>
      <c r="I102" s="3" t="s">
        <v>6</v>
      </c>
      <c r="J102" s="3"/>
      <c r="K102" s="3" t="s">
        <v>518</v>
      </c>
      <c r="L102" s="3"/>
      <c r="M102" s="3"/>
      <c r="N102" s="3" t="s">
        <v>22</v>
      </c>
      <c r="O102" s="3"/>
      <c r="P102" s="3"/>
      <c r="Q102" s="4">
        <v>46079</v>
      </c>
      <c r="R102" s="5">
        <v>2250.8200000000002</v>
      </c>
      <c r="S102" s="6" t="s">
        <v>519</v>
      </c>
      <c r="T102" s="3"/>
      <c r="U102" s="3">
        <v>0</v>
      </c>
      <c r="V102" s="3" t="s">
        <v>8</v>
      </c>
      <c r="W102" s="5">
        <v>10646.61</v>
      </c>
      <c r="X102" s="3">
        <v>0</v>
      </c>
      <c r="Y102" s="3">
        <v>0</v>
      </c>
      <c r="Z102" s="3">
        <v>0</v>
      </c>
      <c r="AA102" s="3">
        <v>0</v>
      </c>
      <c r="AB102" s="5">
        <v>10646.61</v>
      </c>
      <c r="AD102" s="25" t="s">
        <v>1201</v>
      </c>
      <c r="AE102" s="25" t="s">
        <v>1260</v>
      </c>
      <c r="AF102" s="26">
        <v>10682.05</v>
      </c>
      <c r="AG102" s="33">
        <f>AF102</f>
        <v>10682.05</v>
      </c>
      <c r="AH102" s="18"/>
      <c r="AI102" s="3"/>
      <c r="AJ102" s="3"/>
      <c r="AK102" s="3"/>
      <c r="AL102" s="15">
        <f t="shared" si="8"/>
        <v>10682.05</v>
      </c>
      <c r="AM102" s="15">
        <f t="shared" si="11"/>
        <v>-35.43999999999869</v>
      </c>
      <c r="AN102" s="15">
        <f t="shared" si="13"/>
        <v>-35.43999999999869</v>
      </c>
      <c r="AO102" s="15">
        <f t="shared" si="12"/>
        <v>0</v>
      </c>
      <c r="AQ102" s="15">
        <f t="shared" si="10"/>
        <v>0</v>
      </c>
    </row>
    <row r="103" spans="1:43" x14ac:dyDescent="0.25">
      <c r="A103">
        <v>96</v>
      </c>
      <c r="B103" s="10" t="s">
        <v>520</v>
      </c>
      <c r="C103" s="10" t="s">
        <v>1067</v>
      </c>
      <c r="D103" s="3" t="s">
        <v>521</v>
      </c>
      <c r="E103" s="3" t="s">
        <v>522</v>
      </c>
      <c r="F103" s="3" t="s">
        <v>523</v>
      </c>
      <c r="G103" s="3" t="s">
        <v>524</v>
      </c>
      <c r="H103" s="3" t="s">
        <v>14</v>
      </c>
      <c r="I103" s="3" t="s">
        <v>6</v>
      </c>
      <c r="J103" s="3"/>
      <c r="K103" s="3" t="s">
        <v>525</v>
      </c>
      <c r="L103" s="3"/>
      <c r="M103" s="3"/>
      <c r="N103" s="3" t="s">
        <v>22</v>
      </c>
      <c r="O103" s="3"/>
      <c r="P103" s="3"/>
      <c r="Q103" s="4">
        <v>46078</v>
      </c>
      <c r="R103" s="5">
        <v>4897.21</v>
      </c>
      <c r="S103" s="3">
        <v>179</v>
      </c>
      <c r="T103" s="3"/>
      <c r="U103" s="3">
        <v>0</v>
      </c>
      <c r="V103" s="3" t="s">
        <v>8</v>
      </c>
      <c r="W103" s="5">
        <v>4012.77</v>
      </c>
      <c r="X103" s="3">
        <v>0</v>
      </c>
      <c r="Y103" s="3">
        <v>0</v>
      </c>
      <c r="Z103" s="3">
        <v>0</v>
      </c>
      <c r="AA103" s="3">
        <v>0</v>
      </c>
      <c r="AB103" s="5">
        <v>4012.77</v>
      </c>
      <c r="AD103" s="25" t="s">
        <v>1201</v>
      </c>
      <c r="AE103" s="25" t="s">
        <v>1262</v>
      </c>
      <c r="AF103" s="26">
        <v>4012.77</v>
      </c>
      <c r="AG103" s="33">
        <f>AF103</f>
        <v>4012.77</v>
      </c>
      <c r="AH103" s="18"/>
      <c r="AI103" s="3"/>
      <c r="AJ103" s="3"/>
      <c r="AK103" s="3"/>
      <c r="AL103" s="15">
        <f t="shared" si="8"/>
        <v>4012.77</v>
      </c>
      <c r="AM103" s="15">
        <f t="shared" si="11"/>
        <v>0</v>
      </c>
      <c r="AN103" s="15">
        <f t="shared" si="13"/>
        <v>0</v>
      </c>
      <c r="AO103" s="15">
        <f t="shared" si="12"/>
        <v>0</v>
      </c>
      <c r="AQ103" s="15">
        <f t="shared" si="10"/>
        <v>0</v>
      </c>
    </row>
    <row r="104" spans="1:43" x14ac:dyDescent="0.25">
      <c r="A104">
        <v>97</v>
      </c>
      <c r="B104" s="10" t="s">
        <v>526</v>
      </c>
      <c r="C104" s="10" t="s">
        <v>1068</v>
      </c>
      <c r="D104" s="3" t="s">
        <v>527</v>
      </c>
      <c r="E104" s="3" t="s">
        <v>314</v>
      </c>
      <c r="F104" s="3" t="s">
        <v>528</v>
      </c>
      <c r="G104" s="3" t="s">
        <v>316</v>
      </c>
      <c r="H104" s="3" t="s">
        <v>14</v>
      </c>
      <c r="I104" s="3" t="s">
        <v>6</v>
      </c>
      <c r="J104" s="3" t="s">
        <v>33</v>
      </c>
      <c r="K104" s="3" t="s">
        <v>529</v>
      </c>
      <c r="L104" s="3"/>
      <c r="M104" s="3"/>
      <c r="N104" s="3"/>
      <c r="O104" s="3">
        <v>1422</v>
      </c>
      <c r="P104" s="3"/>
      <c r="Q104" s="4">
        <v>45930</v>
      </c>
      <c r="R104" s="5">
        <v>1207.5</v>
      </c>
      <c r="S104" s="3">
        <v>1339</v>
      </c>
      <c r="T104" s="3" t="s">
        <v>530</v>
      </c>
      <c r="U104" s="3">
        <v>0</v>
      </c>
      <c r="V104" s="3" t="s">
        <v>8</v>
      </c>
      <c r="W104" s="5">
        <v>28245.61</v>
      </c>
      <c r="X104" s="3">
        <v>0</v>
      </c>
      <c r="Y104" s="3">
        <v>0</v>
      </c>
      <c r="Z104" s="3">
        <v>0</v>
      </c>
      <c r="AA104" s="5">
        <v>-0.1</v>
      </c>
      <c r="AB104" s="5">
        <v>28245.51</v>
      </c>
      <c r="AD104" s="25"/>
      <c r="AE104" s="25"/>
      <c r="AF104" s="25"/>
      <c r="AG104" s="32"/>
      <c r="AH104" s="18"/>
      <c r="AI104" s="3"/>
      <c r="AJ104" s="3"/>
      <c r="AK104" s="5"/>
      <c r="AL104" s="15">
        <f t="shared" si="8"/>
        <v>0</v>
      </c>
      <c r="AM104" s="15">
        <f t="shared" si="11"/>
        <v>28245.51</v>
      </c>
      <c r="AN104" s="15">
        <f t="shared" si="13"/>
        <v>28245.51</v>
      </c>
      <c r="AO104" s="15">
        <f t="shared" si="12"/>
        <v>0</v>
      </c>
      <c r="AQ104" s="15">
        <f t="shared" si="10"/>
        <v>0</v>
      </c>
    </row>
    <row r="105" spans="1:43" x14ac:dyDescent="0.25">
      <c r="A105">
        <v>98</v>
      </c>
      <c r="B105" s="10" t="s">
        <v>531</v>
      </c>
      <c r="C105" s="10" t="s">
        <v>1069</v>
      </c>
      <c r="D105" s="3" t="s">
        <v>532</v>
      </c>
      <c r="E105" s="3" t="s">
        <v>314</v>
      </c>
      <c r="F105" s="3" t="s">
        <v>533</v>
      </c>
      <c r="G105" s="3" t="s">
        <v>316</v>
      </c>
      <c r="H105" s="3"/>
      <c r="I105" s="3" t="s">
        <v>6</v>
      </c>
      <c r="J105" s="3" t="s">
        <v>33</v>
      </c>
      <c r="K105" s="3" t="s">
        <v>534</v>
      </c>
      <c r="L105" s="3"/>
      <c r="M105" s="3"/>
      <c r="N105" s="3" t="s">
        <v>22</v>
      </c>
      <c r="O105" s="3"/>
      <c r="P105" s="3"/>
      <c r="Q105" s="4">
        <v>46081</v>
      </c>
      <c r="R105" s="5">
        <v>1212.6400000000001</v>
      </c>
      <c r="S105" s="3">
        <v>61</v>
      </c>
      <c r="T105" s="3"/>
      <c r="U105" s="3">
        <v>0</v>
      </c>
      <c r="V105" s="3" t="s">
        <v>8</v>
      </c>
      <c r="W105" s="5">
        <v>1212.6400000000001</v>
      </c>
      <c r="X105" s="3">
        <v>0</v>
      </c>
      <c r="Y105" s="3">
        <v>0</v>
      </c>
      <c r="Z105" s="3">
        <v>0</v>
      </c>
      <c r="AA105" s="3">
        <v>0</v>
      </c>
      <c r="AB105" s="5">
        <v>1212.6400000000001</v>
      </c>
      <c r="AD105" s="25"/>
      <c r="AE105" s="25"/>
      <c r="AF105" s="25"/>
      <c r="AG105" s="32"/>
      <c r="AH105" s="18"/>
      <c r="AI105" s="3"/>
      <c r="AJ105" s="3"/>
      <c r="AK105" s="3"/>
      <c r="AL105" s="15">
        <f t="shared" si="8"/>
        <v>0</v>
      </c>
      <c r="AM105" s="15">
        <f t="shared" si="11"/>
        <v>1212.6400000000001</v>
      </c>
      <c r="AN105" s="15">
        <f t="shared" si="13"/>
        <v>1212.6400000000001</v>
      </c>
      <c r="AO105" s="15">
        <f t="shared" si="12"/>
        <v>0</v>
      </c>
      <c r="AQ105" s="15">
        <f t="shared" si="10"/>
        <v>0</v>
      </c>
    </row>
    <row r="106" spans="1:43" x14ac:dyDescent="0.25">
      <c r="A106">
        <v>99</v>
      </c>
      <c r="B106" s="10" t="s">
        <v>535</v>
      </c>
      <c r="C106" s="10" t="s">
        <v>1070</v>
      </c>
      <c r="D106" s="3" t="s">
        <v>536</v>
      </c>
      <c r="E106" s="3" t="s">
        <v>314</v>
      </c>
      <c r="F106" s="3" t="s">
        <v>537</v>
      </c>
      <c r="G106" s="3" t="s">
        <v>316</v>
      </c>
      <c r="H106" s="3" t="s">
        <v>14</v>
      </c>
      <c r="I106" s="3" t="s">
        <v>6</v>
      </c>
      <c r="J106" s="3" t="s">
        <v>33</v>
      </c>
      <c r="K106" s="3" t="s">
        <v>538</v>
      </c>
      <c r="L106" s="3"/>
      <c r="M106" s="3"/>
      <c r="N106" s="3"/>
      <c r="O106" s="3">
        <v>2000</v>
      </c>
      <c r="P106" s="3"/>
      <c r="Q106" s="4">
        <v>46081</v>
      </c>
      <c r="R106" s="5">
        <v>6669.39</v>
      </c>
      <c r="S106" s="3">
        <v>127</v>
      </c>
      <c r="T106" s="3"/>
      <c r="U106" s="3">
        <v>0</v>
      </c>
      <c r="V106" s="3" t="s">
        <v>8</v>
      </c>
      <c r="W106" s="5">
        <v>7558.87</v>
      </c>
      <c r="X106" s="3">
        <v>0</v>
      </c>
      <c r="Y106" s="3">
        <v>0</v>
      </c>
      <c r="Z106" s="3">
        <v>0</v>
      </c>
      <c r="AA106" s="3">
        <v>0</v>
      </c>
      <c r="AB106" s="5">
        <v>7558.87</v>
      </c>
      <c r="AD106" s="25"/>
      <c r="AE106" s="25"/>
      <c r="AF106" s="25"/>
      <c r="AG106" s="32"/>
      <c r="AH106" s="18"/>
      <c r="AI106" s="3"/>
      <c r="AJ106" s="3"/>
      <c r="AK106" s="3"/>
      <c r="AL106" s="15">
        <f t="shared" si="8"/>
        <v>0</v>
      </c>
      <c r="AM106" s="15">
        <f t="shared" si="11"/>
        <v>7558.87</v>
      </c>
      <c r="AN106" s="15">
        <f t="shared" si="13"/>
        <v>7558.87</v>
      </c>
      <c r="AO106" s="15">
        <f t="shared" si="12"/>
        <v>0</v>
      </c>
      <c r="AQ106" s="15">
        <f t="shared" si="10"/>
        <v>0</v>
      </c>
    </row>
    <row r="107" spans="1:43" x14ac:dyDescent="0.25">
      <c r="A107">
        <v>100</v>
      </c>
      <c r="B107" s="10" t="s">
        <v>539</v>
      </c>
      <c r="C107" s="10" t="s">
        <v>1071</v>
      </c>
      <c r="D107" s="3" t="s">
        <v>540</v>
      </c>
      <c r="E107" s="3" t="s">
        <v>314</v>
      </c>
      <c r="F107" s="3" t="s">
        <v>541</v>
      </c>
      <c r="G107" s="3" t="s">
        <v>316</v>
      </c>
      <c r="H107" s="3" t="s">
        <v>14</v>
      </c>
      <c r="I107" s="3" t="s">
        <v>6</v>
      </c>
      <c r="J107" s="3" t="s">
        <v>33</v>
      </c>
      <c r="K107" s="3" t="s">
        <v>542</v>
      </c>
      <c r="L107" s="3"/>
      <c r="M107" s="3"/>
      <c r="N107" s="3"/>
      <c r="O107" s="3">
        <v>1508</v>
      </c>
      <c r="P107" s="3"/>
      <c r="Q107" s="4">
        <v>46081</v>
      </c>
      <c r="R107" s="5">
        <v>13064.4</v>
      </c>
      <c r="S107" s="3">
        <v>273</v>
      </c>
      <c r="T107" s="3" t="s">
        <v>543</v>
      </c>
      <c r="U107" s="3">
        <v>0</v>
      </c>
      <c r="V107" s="3" t="s">
        <v>8</v>
      </c>
      <c r="W107" s="5">
        <v>13064.4</v>
      </c>
      <c r="X107" s="3">
        <v>0</v>
      </c>
      <c r="Y107" s="3">
        <v>0</v>
      </c>
      <c r="Z107" s="3">
        <v>0</v>
      </c>
      <c r="AA107" s="5">
        <v>-0.06</v>
      </c>
      <c r="AB107" s="5">
        <v>13064.34</v>
      </c>
      <c r="AD107" s="25"/>
      <c r="AE107" s="25"/>
      <c r="AF107" s="25"/>
      <c r="AG107" s="32"/>
      <c r="AH107" s="18"/>
      <c r="AI107" s="3"/>
      <c r="AJ107" s="3"/>
      <c r="AK107" s="5"/>
      <c r="AL107" s="15">
        <f t="shared" si="8"/>
        <v>0</v>
      </c>
      <c r="AM107" s="15">
        <f t="shared" si="11"/>
        <v>13064.34</v>
      </c>
      <c r="AN107" s="15">
        <f t="shared" si="13"/>
        <v>13064.34</v>
      </c>
      <c r="AO107" s="15">
        <f t="shared" si="12"/>
        <v>0</v>
      </c>
      <c r="AQ107" s="15">
        <f t="shared" si="10"/>
        <v>0</v>
      </c>
    </row>
    <row r="108" spans="1:43" x14ac:dyDescent="0.25">
      <c r="A108">
        <v>101</v>
      </c>
      <c r="B108" s="10" t="s">
        <v>544</v>
      </c>
      <c r="C108" s="10" t="s">
        <v>1072</v>
      </c>
      <c r="D108" s="3" t="s">
        <v>545</v>
      </c>
      <c r="E108" s="3" t="s">
        <v>314</v>
      </c>
      <c r="F108" s="3" t="s">
        <v>533</v>
      </c>
      <c r="G108" s="3" t="s">
        <v>316</v>
      </c>
      <c r="H108" s="3" t="s">
        <v>14</v>
      </c>
      <c r="I108" s="3" t="s">
        <v>6</v>
      </c>
      <c r="J108" s="3" t="s">
        <v>33</v>
      </c>
      <c r="K108" s="3" t="s">
        <v>546</v>
      </c>
      <c r="L108" s="3"/>
      <c r="M108" s="3"/>
      <c r="N108" s="3"/>
      <c r="O108" s="3">
        <v>4110</v>
      </c>
      <c r="P108" s="3"/>
      <c r="Q108" s="4">
        <v>46081</v>
      </c>
      <c r="R108" s="5">
        <v>4495.95</v>
      </c>
      <c r="S108" s="3">
        <v>62</v>
      </c>
      <c r="T108" s="3"/>
      <c r="U108" s="3">
        <v>0</v>
      </c>
      <c r="V108" s="3" t="s">
        <v>8</v>
      </c>
      <c r="W108" s="5">
        <v>4495.91</v>
      </c>
      <c r="X108" s="3">
        <v>0</v>
      </c>
      <c r="Y108" s="3">
        <v>0</v>
      </c>
      <c r="Z108" s="3">
        <v>0</v>
      </c>
      <c r="AA108" s="3">
        <v>0</v>
      </c>
      <c r="AB108" s="5">
        <v>4495.91</v>
      </c>
      <c r="AD108" s="25"/>
      <c r="AE108" s="25"/>
      <c r="AF108" s="25"/>
      <c r="AG108" s="32"/>
      <c r="AH108" s="18"/>
      <c r="AI108" s="3"/>
      <c r="AJ108" s="3"/>
      <c r="AK108" s="3"/>
      <c r="AL108" s="15">
        <f t="shared" si="8"/>
        <v>0</v>
      </c>
      <c r="AM108" s="15">
        <f t="shared" si="11"/>
        <v>4495.91</v>
      </c>
      <c r="AN108" s="15">
        <f t="shared" si="13"/>
        <v>4495.91</v>
      </c>
      <c r="AO108" s="15">
        <f t="shared" si="12"/>
        <v>0</v>
      </c>
      <c r="AQ108" s="15">
        <f t="shared" si="10"/>
        <v>0</v>
      </c>
    </row>
    <row r="109" spans="1:43" x14ac:dyDescent="0.25">
      <c r="A109">
        <v>102</v>
      </c>
      <c r="B109" s="10" t="s">
        <v>547</v>
      </c>
      <c r="C109" s="10" t="s">
        <v>1073</v>
      </c>
      <c r="D109" s="3" t="s">
        <v>548</v>
      </c>
      <c r="E109" s="3" t="s">
        <v>314</v>
      </c>
      <c r="F109" s="3" t="s">
        <v>549</v>
      </c>
      <c r="G109" s="3" t="s">
        <v>316</v>
      </c>
      <c r="H109" s="3" t="s">
        <v>14</v>
      </c>
      <c r="I109" s="3" t="s">
        <v>6</v>
      </c>
      <c r="J109" s="3" t="s">
        <v>33</v>
      </c>
      <c r="K109" s="3" t="s">
        <v>550</v>
      </c>
      <c r="L109" s="3"/>
      <c r="M109" s="3"/>
      <c r="N109" s="3"/>
      <c r="O109" s="3">
        <v>9300</v>
      </c>
      <c r="P109" s="3"/>
      <c r="Q109" s="4">
        <v>46081</v>
      </c>
      <c r="R109" s="5">
        <v>15462.71</v>
      </c>
      <c r="S109" s="3">
        <v>284</v>
      </c>
      <c r="T109" s="3"/>
      <c r="U109" s="3">
        <v>0</v>
      </c>
      <c r="V109" s="3" t="s">
        <v>8</v>
      </c>
      <c r="W109" s="5">
        <v>15462.71</v>
      </c>
      <c r="X109" s="3">
        <v>0</v>
      </c>
      <c r="Y109" s="3">
        <v>0.01</v>
      </c>
      <c r="Z109" s="3">
        <v>0</v>
      </c>
      <c r="AA109" s="5">
        <v>-0.08</v>
      </c>
      <c r="AB109" s="5">
        <v>15462.64</v>
      </c>
      <c r="AD109" s="25"/>
      <c r="AE109" s="25"/>
      <c r="AF109" s="25"/>
      <c r="AG109" s="32"/>
      <c r="AH109" s="18"/>
      <c r="AI109" s="3"/>
      <c r="AJ109" s="3"/>
      <c r="AK109" s="5"/>
      <c r="AL109" s="15">
        <f t="shared" si="8"/>
        <v>0</v>
      </c>
      <c r="AM109" s="15">
        <f t="shared" si="11"/>
        <v>15462.64</v>
      </c>
      <c r="AN109" s="15">
        <f t="shared" si="13"/>
        <v>15462.64</v>
      </c>
      <c r="AO109" s="15">
        <f t="shared" si="12"/>
        <v>0</v>
      </c>
      <c r="AQ109" s="15">
        <f t="shared" si="10"/>
        <v>0</v>
      </c>
    </row>
    <row r="110" spans="1:43" x14ac:dyDescent="0.25">
      <c r="A110">
        <v>103</v>
      </c>
      <c r="B110" s="10" t="s">
        <v>551</v>
      </c>
      <c r="C110" s="10" t="s">
        <v>1272</v>
      </c>
      <c r="D110" s="3" t="s">
        <v>552</v>
      </c>
      <c r="E110" s="3" t="s">
        <v>314</v>
      </c>
      <c r="F110" s="3" t="s">
        <v>553</v>
      </c>
      <c r="G110" s="3" t="s">
        <v>316</v>
      </c>
      <c r="H110" s="3" t="s">
        <v>14</v>
      </c>
      <c r="I110" s="3" t="s">
        <v>6</v>
      </c>
      <c r="J110" s="3" t="s">
        <v>33</v>
      </c>
      <c r="K110" s="3" t="s">
        <v>554</v>
      </c>
      <c r="L110" s="3"/>
      <c r="M110" s="3"/>
      <c r="N110" s="3"/>
      <c r="O110" s="3">
        <v>1960</v>
      </c>
      <c r="P110" s="3"/>
      <c r="Q110" s="4">
        <v>46081</v>
      </c>
      <c r="R110" s="5">
        <v>6778.22</v>
      </c>
      <c r="S110" s="3">
        <v>183</v>
      </c>
      <c r="T110" s="3"/>
      <c r="U110" s="3">
        <v>0</v>
      </c>
      <c r="V110" s="3" t="s">
        <v>8</v>
      </c>
      <c r="W110" s="5">
        <v>14691.38</v>
      </c>
      <c r="X110" s="3">
        <v>0</v>
      </c>
      <c r="Y110" s="3">
        <v>0</v>
      </c>
      <c r="Z110" s="3">
        <v>0</v>
      </c>
      <c r="AA110" s="3">
        <v>0</v>
      </c>
      <c r="AB110" s="5">
        <v>14691.38</v>
      </c>
      <c r="AD110" s="25"/>
      <c r="AE110" s="25"/>
      <c r="AF110" s="25"/>
      <c r="AG110" s="32"/>
      <c r="AH110" s="18"/>
      <c r="AI110" s="3"/>
      <c r="AJ110" s="3"/>
      <c r="AK110" s="3"/>
      <c r="AL110" s="15">
        <f t="shared" si="8"/>
        <v>0</v>
      </c>
      <c r="AM110" s="15">
        <f t="shared" si="11"/>
        <v>14691.38</v>
      </c>
      <c r="AN110" s="15">
        <f t="shared" si="13"/>
        <v>14691.38</v>
      </c>
      <c r="AO110" s="15">
        <f t="shared" si="12"/>
        <v>0</v>
      </c>
      <c r="AQ110" s="15">
        <f t="shared" si="10"/>
        <v>0</v>
      </c>
    </row>
    <row r="111" spans="1:43" x14ac:dyDescent="0.25">
      <c r="A111">
        <v>104</v>
      </c>
      <c r="B111" s="10" t="s">
        <v>555</v>
      </c>
      <c r="C111" s="10" t="s">
        <v>1074</v>
      </c>
      <c r="D111" s="3" t="s">
        <v>556</v>
      </c>
      <c r="E111" s="3" t="s">
        <v>314</v>
      </c>
      <c r="F111" s="3" t="s">
        <v>557</v>
      </c>
      <c r="G111" s="3" t="s">
        <v>316</v>
      </c>
      <c r="H111" s="3" t="s">
        <v>14</v>
      </c>
      <c r="I111" s="3" t="s">
        <v>6</v>
      </c>
      <c r="J111" s="3" t="s">
        <v>33</v>
      </c>
      <c r="K111" s="3" t="s">
        <v>558</v>
      </c>
      <c r="L111" s="3"/>
      <c r="M111" s="3"/>
      <c r="N111" s="3"/>
      <c r="O111" s="3">
        <v>7535</v>
      </c>
      <c r="P111" s="3"/>
      <c r="Q111" s="4">
        <v>46081</v>
      </c>
      <c r="R111" s="5">
        <v>23815.02</v>
      </c>
      <c r="S111" s="3">
        <v>290</v>
      </c>
      <c r="T111" s="3" t="s">
        <v>559</v>
      </c>
      <c r="U111" s="3">
        <v>0</v>
      </c>
      <c r="V111" s="3" t="s">
        <v>8</v>
      </c>
      <c r="W111" s="5">
        <v>23815.02</v>
      </c>
      <c r="X111" s="3">
        <v>0</v>
      </c>
      <c r="Y111" s="3">
        <v>0</v>
      </c>
      <c r="Z111" s="3">
        <v>0</v>
      </c>
      <c r="AA111" s="3">
        <v>0</v>
      </c>
      <c r="AB111" s="5">
        <v>23815.02</v>
      </c>
      <c r="AD111" s="25"/>
      <c r="AE111" s="25"/>
      <c r="AF111" s="25"/>
      <c r="AG111" s="32"/>
      <c r="AH111" s="18"/>
      <c r="AI111" s="3"/>
      <c r="AJ111" s="3"/>
      <c r="AK111" s="3"/>
      <c r="AL111" s="15">
        <f t="shared" si="8"/>
        <v>0</v>
      </c>
      <c r="AM111" s="15">
        <f t="shared" si="11"/>
        <v>23815.02</v>
      </c>
      <c r="AN111" s="15">
        <f>AM111</f>
        <v>23815.02</v>
      </c>
      <c r="AO111" s="15">
        <f t="shared" si="12"/>
        <v>0</v>
      </c>
      <c r="AQ111" s="15">
        <f t="shared" si="10"/>
        <v>0</v>
      </c>
    </row>
    <row r="112" spans="1:43" x14ac:dyDescent="0.25">
      <c r="A112">
        <v>105</v>
      </c>
      <c r="B112" s="10" t="s">
        <v>560</v>
      </c>
      <c r="C112" s="10" t="s">
        <v>1075</v>
      </c>
      <c r="D112" s="3" t="s">
        <v>561</v>
      </c>
      <c r="E112" s="3" t="s">
        <v>314</v>
      </c>
      <c r="F112" s="3" t="s">
        <v>533</v>
      </c>
      <c r="G112" s="3" t="s">
        <v>316</v>
      </c>
      <c r="H112" s="3" t="s">
        <v>14</v>
      </c>
      <c r="I112" s="3" t="s">
        <v>6</v>
      </c>
      <c r="J112" s="3" t="s">
        <v>33</v>
      </c>
      <c r="K112" s="3" t="s">
        <v>546</v>
      </c>
      <c r="L112" s="3"/>
      <c r="M112" s="3"/>
      <c r="N112" s="3"/>
      <c r="O112" s="3">
        <v>4000</v>
      </c>
      <c r="P112" s="3"/>
      <c r="Q112" s="4">
        <v>46081</v>
      </c>
      <c r="R112" s="5">
        <v>3314.76</v>
      </c>
      <c r="S112" s="3">
        <v>216</v>
      </c>
      <c r="T112" s="3" t="s">
        <v>562</v>
      </c>
      <c r="U112" s="3">
        <v>0</v>
      </c>
      <c r="V112" s="3" t="s">
        <v>8</v>
      </c>
      <c r="W112" s="5">
        <v>30561.75</v>
      </c>
      <c r="X112" s="3">
        <v>0.01</v>
      </c>
      <c r="Y112" s="3">
        <v>0.01</v>
      </c>
      <c r="Z112" s="3">
        <v>0.01</v>
      </c>
      <c r="AA112" s="3">
        <v>0.01</v>
      </c>
      <c r="AB112" s="5">
        <v>30561.79</v>
      </c>
      <c r="AD112" s="25"/>
      <c r="AE112" s="25"/>
      <c r="AF112" s="25"/>
      <c r="AG112" s="32"/>
      <c r="AH112" s="18"/>
      <c r="AI112" s="3"/>
      <c r="AJ112" s="3"/>
      <c r="AK112" s="3"/>
      <c r="AL112" s="15">
        <f t="shared" si="8"/>
        <v>0</v>
      </c>
      <c r="AM112" s="15">
        <f t="shared" si="11"/>
        <v>30561.79</v>
      </c>
      <c r="AN112" s="15">
        <f t="shared" si="13"/>
        <v>30561.79</v>
      </c>
      <c r="AO112" s="15">
        <f t="shared" si="12"/>
        <v>0</v>
      </c>
      <c r="AQ112" s="15">
        <f t="shared" si="10"/>
        <v>0</v>
      </c>
    </row>
    <row r="113" spans="1:43" x14ac:dyDescent="0.25">
      <c r="A113">
        <v>106</v>
      </c>
      <c r="B113" s="10" t="s">
        <v>563</v>
      </c>
      <c r="C113" s="10" t="s">
        <v>1076</v>
      </c>
      <c r="D113" s="3" t="s">
        <v>564</v>
      </c>
      <c r="E113" s="3" t="s">
        <v>314</v>
      </c>
      <c r="F113" s="3" t="s">
        <v>541</v>
      </c>
      <c r="G113" s="3" t="s">
        <v>316</v>
      </c>
      <c r="H113" s="3" t="s">
        <v>14</v>
      </c>
      <c r="I113" s="3" t="s">
        <v>6</v>
      </c>
      <c r="J113" s="3" t="s">
        <v>33</v>
      </c>
      <c r="K113" s="3" t="s">
        <v>565</v>
      </c>
      <c r="L113" s="3"/>
      <c r="M113" s="3"/>
      <c r="N113" s="3"/>
      <c r="O113" s="3">
        <v>2000</v>
      </c>
      <c r="P113" s="3"/>
      <c r="Q113" s="4">
        <v>46081</v>
      </c>
      <c r="R113" s="5">
        <v>62304.67</v>
      </c>
      <c r="S113" s="3">
        <v>463</v>
      </c>
      <c r="T113" s="3" t="s">
        <v>566</v>
      </c>
      <c r="U113" s="3">
        <v>0</v>
      </c>
      <c r="V113" s="3" t="s">
        <v>8</v>
      </c>
      <c r="W113" s="5">
        <v>62304.639999999999</v>
      </c>
      <c r="X113" s="3">
        <v>0</v>
      </c>
      <c r="Y113" s="3">
        <v>0</v>
      </c>
      <c r="Z113" s="3">
        <v>0</v>
      </c>
      <c r="AA113" s="5">
        <v>-0.38</v>
      </c>
      <c r="AB113" s="5">
        <v>62304.26</v>
      </c>
      <c r="AD113" s="25"/>
      <c r="AE113" s="25"/>
      <c r="AF113" s="25"/>
      <c r="AG113" s="32"/>
      <c r="AH113" s="18"/>
      <c r="AI113" s="3"/>
      <c r="AJ113" s="3"/>
      <c r="AK113" s="5"/>
      <c r="AL113" s="15">
        <f t="shared" si="8"/>
        <v>0</v>
      </c>
      <c r="AM113" s="15">
        <f t="shared" si="11"/>
        <v>62304.26</v>
      </c>
      <c r="AN113" s="15">
        <f t="shared" si="13"/>
        <v>62304.26</v>
      </c>
      <c r="AO113" s="15">
        <f t="shared" si="12"/>
        <v>0</v>
      </c>
      <c r="AQ113" s="15">
        <f t="shared" si="10"/>
        <v>0</v>
      </c>
    </row>
    <row r="114" spans="1:43" x14ac:dyDescent="0.25">
      <c r="A114">
        <v>107</v>
      </c>
      <c r="B114" s="10" t="s">
        <v>567</v>
      </c>
      <c r="C114" s="10" t="s">
        <v>1077</v>
      </c>
      <c r="D114" s="3" t="s">
        <v>568</v>
      </c>
      <c r="E114" s="3" t="s">
        <v>314</v>
      </c>
      <c r="F114" s="3" t="s">
        <v>569</v>
      </c>
      <c r="G114" s="3" t="s">
        <v>316</v>
      </c>
      <c r="H114" s="3" t="s">
        <v>14</v>
      </c>
      <c r="I114" s="3" t="s">
        <v>6</v>
      </c>
      <c r="J114" s="3"/>
      <c r="K114" s="3" t="s">
        <v>570</v>
      </c>
      <c r="L114" s="3"/>
      <c r="M114" s="3"/>
      <c r="N114" s="3"/>
      <c r="O114" s="3">
        <v>2000</v>
      </c>
      <c r="P114" s="3"/>
      <c r="Q114" s="4">
        <v>46081</v>
      </c>
      <c r="R114" s="5">
        <v>4091.06</v>
      </c>
      <c r="S114" s="3">
        <v>414</v>
      </c>
      <c r="T114" s="3"/>
      <c r="U114" s="3">
        <v>0</v>
      </c>
      <c r="V114" s="3" t="s">
        <v>8</v>
      </c>
      <c r="W114" s="5">
        <v>3646.31</v>
      </c>
      <c r="X114" s="3">
        <v>0</v>
      </c>
      <c r="Y114" s="3">
        <v>0</v>
      </c>
      <c r="Z114" s="3">
        <v>0</v>
      </c>
      <c r="AA114" s="3">
        <v>0.04</v>
      </c>
      <c r="AB114" s="5">
        <v>3646.35</v>
      </c>
      <c r="AD114" s="25"/>
      <c r="AE114" s="25"/>
      <c r="AF114" s="25"/>
      <c r="AG114" s="32"/>
      <c r="AH114" s="18"/>
      <c r="AI114" s="3"/>
      <c r="AJ114" s="3"/>
      <c r="AK114" s="3"/>
      <c r="AL114" s="15">
        <f t="shared" si="8"/>
        <v>0</v>
      </c>
      <c r="AM114" s="15">
        <f t="shared" si="11"/>
        <v>3646.35</v>
      </c>
      <c r="AN114" s="15">
        <f t="shared" si="13"/>
        <v>3646.35</v>
      </c>
      <c r="AO114" s="15">
        <f t="shared" si="12"/>
        <v>0</v>
      </c>
      <c r="AQ114" s="15">
        <f t="shared" si="10"/>
        <v>0</v>
      </c>
    </row>
    <row r="115" spans="1:43" x14ac:dyDescent="0.25">
      <c r="A115">
        <v>108</v>
      </c>
      <c r="B115" s="10" t="s">
        <v>571</v>
      </c>
      <c r="C115" s="10" t="s">
        <v>1078</v>
      </c>
      <c r="D115" s="3" t="s">
        <v>572</v>
      </c>
      <c r="E115" s="3" t="s">
        <v>314</v>
      </c>
      <c r="F115" s="3" t="s">
        <v>541</v>
      </c>
      <c r="G115" s="3" t="s">
        <v>316</v>
      </c>
      <c r="H115" s="3" t="s">
        <v>14</v>
      </c>
      <c r="I115" s="3" t="s">
        <v>6</v>
      </c>
      <c r="J115" s="3" t="s">
        <v>33</v>
      </c>
      <c r="K115" s="3" t="s">
        <v>573</v>
      </c>
      <c r="L115" s="3"/>
      <c r="M115" s="3"/>
      <c r="N115" s="3"/>
      <c r="O115" s="3">
        <v>1390</v>
      </c>
      <c r="P115" s="3"/>
      <c r="Q115" s="4">
        <v>46081</v>
      </c>
      <c r="R115" s="5">
        <v>4051.17</v>
      </c>
      <c r="S115" s="3">
        <v>166</v>
      </c>
      <c r="T115" s="3" t="s">
        <v>574</v>
      </c>
      <c r="U115" s="3">
        <v>0</v>
      </c>
      <c r="V115" s="3" t="s">
        <v>8</v>
      </c>
      <c r="W115" s="5">
        <v>4051.17</v>
      </c>
      <c r="X115" s="3">
        <v>0</v>
      </c>
      <c r="Y115" s="3">
        <v>0</v>
      </c>
      <c r="Z115" s="3">
        <v>0</v>
      </c>
      <c r="AA115" s="3">
        <v>0</v>
      </c>
      <c r="AB115" s="5">
        <v>4051.17</v>
      </c>
      <c r="AD115" s="25"/>
      <c r="AE115" s="25"/>
      <c r="AF115" s="25"/>
      <c r="AG115" s="32"/>
      <c r="AH115" s="18"/>
      <c r="AI115" s="3"/>
      <c r="AJ115" s="3"/>
      <c r="AK115" s="3"/>
      <c r="AL115" s="15">
        <f t="shared" si="8"/>
        <v>0</v>
      </c>
      <c r="AM115" s="15">
        <f t="shared" si="11"/>
        <v>4051.17</v>
      </c>
      <c r="AN115" s="15">
        <f t="shared" si="13"/>
        <v>4051.17</v>
      </c>
      <c r="AO115" s="15">
        <f t="shared" si="12"/>
        <v>0</v>
      </c>
      <c r="AQ115" s="15">
        <f t="shared" si="10"/>
        <v>0</v>
      </c>
    </row>
    <row r="116" spans="1:43" x14ac:dyDescent="0.25">
      <c r="A116">
        <v>109</v>
      </c>
      <c r="B116" s="10" t="s">
        <v>575</v>
      </c>
      <c r="C116" s="10" t="s">
        <v>1272</v>
      </c>
      <c r="D116" s="3" t="s">
        <v>576</v>
      </c>
      <c r="E116" s="3" t="s">
        <v>314</v>
      </c>
      <c r="F116" s="3" t="s">
        <v>577</v>
      </c>
      <c r="G116" s="3" t="s">
        <v>316</v>
      </c>
      <c r="H116" s="3" t="s">
        <v>14</v>
      </c>
      <c r="I116" s="3" t="s">
        <v>6</v>
      </c>
      <c r="J116" s="3" t="s">
        <v>33</v>
      </c>
      <c r="K116" s="3" t="s">
        <v>578</v>
      </c>
      <c r="L116" s="3"/>
      <c r="M116" s="3"/>
      <c r="N116" s="3"/>
      <c r="O116" s="3">
        <v>1422</v>
      </c>
      <c r="P116" s="3"/>
      <c r="Q116" s="4">
        <v>46081</v>
      </c>
      <c r="R116" s="5">
        <v>10931.65</v>
      </c>
      <c r="S116" s="3">
        <v>240</v>
      </c>
      <c r="T116" s="3" t="s">
        <v>579</v>
      </c>
      <c r="U116" s="3">
        <v>0</v>
      </c>
      <c r="V116" s="3" t="s">
        <v>8</v>
      </c>
      <c r="W116" s="5">
        <v>10931.65</v>
      </c>
      <c r="X116" s="3">
        <v>0</v>
      </c>
      <c r="Y116" s="3">
        <v>0</v>
      </c>
      <c r="Z116" s="3">
        <v>0</v>
      </c>
      <c r="AA116" s="5">
        <v>-0.02</v>
      </c>
      <c r="AB116" s="5">
        <v>10931.63</v>
      </c>
      <c r="AD116" s="25"/>
      <c r="AE116" s="25"/>
      <c r="AF116" s="25"/>
      <c r="AG116" s="32"/>
      <c r="AH116" s="18"/>
      <c r="AI116" s="3"/>
      <c r="AJ116" s="3"/>
      <c r="AK116" s="5"/>
      <c r="AL116" s="15">
        <f t="shared" si="8"/>
        <v>0</v>
      </c>
      <c r="AM116" s="15">
        <f t="shared" si="11"/>
        <v>10931.63</v>
      </c>
      <c r="AN116" s="15">
        <f t="shared" si="13"/>
        <v>10931.63</v>
      </c>
      <c r="AO116" s="15">
        <f t="shared" si="12"/>
        <v>0</v>
      </c>
      <c r="AQ116" s="15">
        <f t="shared" si="10"/>
        <v>0</v>
      </c>
    </row>
    <row r="117" spans="1:43" x14ac:dyDescent="0.25">
      <c r="A117">
        <v>110</v>
      </c>
      <c r="B117" s="10" t="s">
        <v>580</v>
      </c>
      <c r="C117" s="10" t="s">
        <v>1080</v>
      </c>
      <c r="D117" s="3" t="s">
        <v>581</v>
      </c>
      <c r="E117" s="3" t="s">
        <v>314</v>
      </c>
      <c r="F117" s="3" t="s">
        <v>582</v>
      </c>
      <c r="G117" s="3" t="s">
        <v>316</v>
      </c>
      <c r="H117" s="3" t="s">
        <v>14</v>
      </c>
      <c r="I117" s="3" t="s">
        <v>6</v>
      </c>
      <c r="J117" s="3" t="s">
        <v>33</v>
      </c>
      <c r="K117" s="3" t="s">
        <v>583</v>
      </c>
      <c r="L117" s="3"/>
      <c r="M117" s="3"/>
      <c r="N117" s="3"/>
      <c r="O117" s="3">
        <v>6000</v>
      </c>
      <c r="P117" s="3"/>
      <c r="Q117" s="4">
        <v>46081</v>
      </c>
      <c r="R117" s="5">
        <v>8642.8799999999992</v>
      </c>
      <c r="S117" s="3">
        <v>239</v>
      </c>
      <c r="T117" s="3"/>
      <c r="U117" s="3">
        <v>0</v>
      </c>
      <c r="V117" s="3" t="s">
        <v>8</v>
      </c>
      <c r="W117" s="5">
        <v>8642.89</v>
      </c>
      <c r="X117" s="3">
        <v>0</v>
      </c>
      <c r="Y117" s="3">
        <v>0</v>
      </c>
      <c r="Z117" s="3">
        <v>0</v>
      </c>
      <c r="AA117" s="5">
        <v>-0.39</v>
      </c>
      <c r="AB117" s="5">
        <v>8642.5</v>
      </c>
      <c r="AD117" s="25"/>
      <c r="AE117" s="25"/>
      <c r="AF117" s="25"/>
      <c r="AG117" s="32"/>
      <c r="AH117" s="18"/>
      <c r="AI117" s="3"/>
      <c r="AJ117" s="3"/>
      <c r="AK117" s="5"/>
      <c r="AL117" s="15">
        <f t="shared" si="8"/>
        <v>0</v>
      </c>
      <c r="AM117" s="15">
        <f t="shared" si="11"/>
        <v>8642.5</v>
      </c>
      <c r="AN117" s="15">
        <f t="shared" si="13"/>
        <v>8642.5</v>
      </c>
      <c r="AO117" s="15">
        <f t="shared" si="12"/>
        <v>0</v>
      </c>
      <c r="AQ117" s="15">
        <f t="shared" si="10"/>
        <v>0</v>
      </c>
    </row>
    <row r="118" spans="1:43" x14ac:dyDescent="0.25">
      <c r="A118">
        <v>111</v>
      </c>
      <c r="B118" s="10" t="s">
        <v>584</v>
      </c>
      <c r="C118" s="10" t="s">
        <v>1079</v>
      </c>
      <c r="D118" s="3" t="s">
        <v>585</v>
      </c>
      <c r="E118" s="3" t="s">
        <v>314</v>
      </c>
      <c r="F118" s="3" t="s">
        <v>586</v>
      </c>
      <c r="G118" s="3" t="s">
        <v>316</v>
      </c>
      <c r="H118" s="3" t="s">
        <v>14</v>
      </c>
      <c r="I118" s="3" t="s">
        <v>6</v>
      </c>
      <c r="J118" s="3" t="s">
        <v>33</v>
      </c>
      <c r="K118" s="3" t="s">
        <v>587</v>
      </c>
      <c r="L118" s="3"/>
      <c r="M118" s="3"/>
      <c r="N118" s="3"/>
      <c r="O118" s="3">
        <v>1467</v>
      </c>
      <c r="P118" s="3"/>
      <c r="Q118" s="4">
        <v>46081</v>
      </c>
      <c r="R118" s="5">
        <v>19058.46</v>
      </c>
      <c r="S118" s="3">
        <v>357</v>
      </c>
      <c r="T118" s="3"/>
      <c r="U118" s="3">
        <v>0</v>
      </c>
      <c r="V118" s="3" t="s">
        <v>8</v>
      </c>
      <c r="W118" s="5">
        <v>18613.72</v>
      </c>
      <c r="X118" s="3">
        <v>0</v>
      </c>
      <c r="Y118" s="3">
        <v>0</v>
      </c>
      <c r="Z118" s="3">
        <v>0</v>
      </c>
      <c r="AA118" s="3">
        <v>0</v>
      </c>
      <c r="AB118" s="5">
        <v>18613.72</v>
      </c>
      <c r="AD118" s="25"/>
      <c r="AE118" s="25"/>
      <c r="AF118" s="25"/>
      <c r="AG118" s="32"/>
      <c r="AH118" s="18"/>
      <c r="AI118" s="3"/>
      <c r="AJ118" s="3"/>
      <c r="AK118" s="3"/>
      <c r="AL118" s="15">
        <f t="shared" si="8"/>
        <v>0</v>
      </c>
      <c r="AM118" s="15">
        <f t="shared" si="11"/>
        <v>18613.72</v>
      </c>
      <c r="AN118" s="15">
        <f t="shared" si="13"/>
        <v>18613.72</v>
      </c>
      <c r="AO118" s="15">
        <f t="shared" si="12"/>
        <v>0</v>
      </c>
      <c r="AQ118" s="15">
        <f t="shared" si="10"/>
        <v>0</v>
      </c>
    </row>
    <row r="119" spans="1:43" x14ac:dyDescent="0.25">
      <c r="A119">
        <v>112</v>
      </c>
      <c r="B119" s="10" t="s">
        <v>588</v>
      </c>
      <c r="C119" s="10" t="s">
        <v>1081</v>
      </c>
      <c r="D119" s="3" t="s">
        <v>589</v>
      </c>
      <c r="E119" s="3" t="s">
        <v>590</v>
      </c>
      <c r="F119" s="3" t="s">
        <v>591</v>
      </c>
      <c r="G119" s="3" t="s">
        <v>592</v>
      </c>
      <c r="H119" s="3" t="s">
        <v>14</v>
      </c>
      <c r="I119" s="3" t="s">
        <v>6</v>
      </c>
      <c r="J119" s="3" t="s">
        <v>15</v>
      </c>
      <c r="K119" s="3" t="s">
        <v>593</v>
      </c>
      <c r="L119" s="3"/>
      <c r="M119" s="3"/>
      <c r="N119" s="3"/>
      <c r="O119" s="3">
        <v>1457</v>
      </c>
      <c r="P119" s="3"/>
      <c r="Q119" s="4">
        <v>46081</v>
      </c>
      <c r="R119" s="5">
        <v>65469.06</v>
      </c>
      <c r="S119" s="3">
        <v>168</v>
      </c>
      <c r="T119" s="3" t="s">
        <v>594</v>
      </c>
      <c r="U119" s="3">
        <v>0</v>
      </c>
      <c r="V119" s="3" t="s">
        <v>8</v>
      </c>
      <c r="W119" s="5">
        <v>65469.06</v>
      </c>
      <c r="X119" s="3">
        <v>0</v>
      </c>
      <c r="Y119" s="3">
        <v>0</v>
      </c>
      <c r="Z119" s="3">
        <v>0</v>
      </c>
      <c r="AA119" s="3">
        <v>0</v>
      </c>
      <c r="AB119" s="5">
        <v>65469.06</v>
      </c>
      <c r="AD119" s="25" t="s">
        <v>1201</v>
      </c>
      <c r="AE119" s="25" t="s">
        <v>1268</v>
      </c>
      <c r="AF119" s="26">
        <v>65469.06</v>
      </c>
      <c r="AG119" s="33">
        <f>AF119</f>
        <v>65469.06</v>
      </c>
      <c r="AH119" s="18"/>
      <c r="AI119" s="3"/>
      <c r="AJ119" s="3"/>
      <c r="AK119" s="3"/>
      <c r="AL119" s="15">
        <f t="shared" si="8"/>
        <v>65469.06</v>
      </c>
      <c r="AM119" s="15">
        <f t="shared" si="11"/>
        <v>0</v>
      </c>
      <c r="AN119" s="15">
        <f t="shared" si="13"/>
        <v>0</v>
      </c>
      <c r="AO119" s="15">
        <f t="shared" si="12"/>
        <v>0</v>
      </c>
      <c r="AQ119" s="15">
        <f t="shared" si="10"/>
        <v>0</v>
      </c>
    </row>
    <row r="120" spans="1:43" x14ac:dyDescent="0.25">
      <c r="A120">
        <v>113</v>
      </c>
      <c r="B120" s="10" t="s">
        <v>595</v>
      </c>
      <c r="C120" s="10" t="s">
        <v>1082</v>
      </c>
      <c r="D120" s="3" t="s">
        <v>596</v>
      </c>
      <c r="E120" s="3" t="s">
        <v>597</v>
      </c>
      <c r="F120" s="3" t="s">
        <v>598</v>
      </c>
      <c r="G120" s="3" t="s">
        <v>599</v>
      </c>
      <c r="H120" s="3" t="s">
        <v>14</v>
      </c>
      <c r="I120" s="3" t="s">
        <v>6</v>
      </c>
      <c r="J120" s="3" t="s">
        <v>15</v>
      </c>
      <c r="K120" s="3" t="s">
        <v>600</v>
      </c>
      <c r="L120" s="3"/>
      <c r="M120" s="3"/>
      <c r="N120" s="3"/>
      <c r="O120" s="3">
        <v>9460</v>
      </c>
      <c r="P120" s="3"/>
      <c r="Q120" s="4">
        <v>46081</v>
      </c>
      <c r="R120" s="5">
        <v>175.18</v>
      </c>
      <c r="S120" s="3">
        <v>27</v>
      </c>
      <c r="T120" s="3" t="s">
        <v>601</v>
      </c>
      <c r="U120" s="3">
        <v>0</v>
      </c>
      <c r="V120" s="3" t="s">
        <v>8</v>
      </c>
      <c r="W120" s="5">
        <v>175.18</v>
      </c>
      <c r="X120" s="3">
        <v>0</v>
      </c>
      <c r="Y120" s="3">
        <v>0</v>
      </c>
      <c r="Z120" s="3">
        <v>0</v>
      </c>
      <c r="AA120" s="3">
        <v>0</v>
      </c>
      <c r="AB120" s="5">
        <v>175.18</v>
      </c>
      <c r="AD120" s="25"/>
      <c r="AE120" s="25"/>
      <c r="AF120" s="25"/>
      <c r="AG120" s="32"/>
      <c r="AH120" s="18"/>
      <c r="AI120" s="3"/>
      <c r="AJ120" s="3"/>
      <c r="AK120" s="3"/>
      <c r="AL120" s="15">
        <f t="shared" si="8"/>
        <v>0</v>
      </c>
      <c r="AM120" s="15">
        <f t="shared" si="11"/>
        <v>175.18</v>
      </c>
      <c r="AN120" s="15">
        <f>AM120</f>
        <v>175.18</v>
      </c>
      <c r="AO120" s="15">
        <f t="shared" si="12"/>
        <v>0</v>
      </c>
      <c r="AQ120" s="15">
        <f t="shared" si="10"/>
        <v>0</v>
      </c>
    </row>
    <row r="121" spans="1:43" x14ac:dyDescent="0.25">
      <c r="A121">
        <v>114</v>
      </c>
      <c r="B121" s="10" t="s">
        <v>602</v>
      </c>
      <c r="C121" s="10" t="s">
        <v>1083</v>
      </c>
      <c r="D121" s="3" t="s">
        <v>603</v>
      </c>
      <c r="E121" s="3" t="s">
        <v>603</v>
      </c>
      <c r="F121" s="3"/>
      <c r="G121" s="3" t="s">
        <v>604</v>
      </c>
      <c r="H121" s="3" t="s">
        <v>14</v>
      </c>
      <c r="I121" s="3" t="s">
        <v>6</v>
      </c>
      <c r="J121" s="3"/>
      <c r="K121" s="3" t="s">
        <v>605</v>
      </c>
      <c r="L121" s="3"/>
      <c r="M121" s="3"/>
      <c r="N121" s="3"/>
      <c r="O121" s="3"/>
      <c r="P121" s="3"/>
      <c r="Q121" s="4">
        <v>46081</v>
      </c>
      <c r="R121" s="5">
        <v>214.27</v>
      </c>
      <c r="S121" s="3">
        <v>39</v>
      </c>
      <c r="T121" s="3"/>
      <c r="U121" s="3">
        <v>0</v>
      </c>
      <c r="V121" s="3" t="s">
        <v>8</v>
      </c>
      <c r="W121" s="5">
        <v>214.27</v>
      </c>
      <c r="X121" s="3">
        <v>0</v>
      </c>
      <c r="Y121" s="3">
        <v>0</v>
      </c>
      <c r="Z121" s="3">
        <v>0</v>
      </c>
      <c r="AA121" s="3">
        <v>0</v>
      </c>
      <c r="AB121" s="5">
        <v>214.27</v>
      </c>
      <c r="AD121" s="25"/>
      <c r="AE121" s="25"/>
      <c r="AF121" s="25"/>
      <c r="AG121" s="32"/>
      <c r="AH121" s="18"/>
      <c r="AI121" s="3"/>
      <c r="AJ121" s="3"/>
      <c r="AK121" s="3"/>
      <c r="AL121" s="15">
        <f t="shared" si="8"/>
        <v>0</v>
      </c>
      <c r="AM121" s="15">
        <f t="shared" si="11"/>
        <v>214.27</v>
      </c>
      <c r="AN121" s="15">
        <f t="shared" si="13"/>
        <v>214.27</v>
      </c>
      <c r="AO121" s="15">
        <f t="shared" si="12"/>
        <v>0</v>
      </c>
      <c r="AQ121" s="15">
        <f t="shared" si="10"/>
        <v>0</v>
      </c>
    </row>
    <row r="122" spans="1:43" x14ac:dyDescent="0.25">
      <c r="A122">
        <v>115</v>
      </c>
      <c r="B122" s="10" t="s">
        <v>606</v>
      </c>
      <c r="C122" s="10" t="s">
        <v>1272</v>
      </c>
      <c r="D122" s="3" t="s">
        <v>607</v>
      </c>
      <c r="E122" s="3" t="s">
        <v>608</v>
      </c>
      <c r="F122" s="3"/>
      <c r="G122" s="3" t="s">
        <v>609</v>
      </c>
      <c r="H122" s="3" t="s">
        <v>14</v>
      </c>
      <c r="I122" s="3" t="s">
        <v>6</v>
      </c>
      <c r="J122" s="3"/>
      <c r="K122" s="3" t="s">
        <v>610</v>
      </c>
      <c r="L122" s="3"/>
      <c r="M122" s="3"/>
      <c r="N122" s="3"/>
      <c r="O122" s="3"/>
      <c r="P122" s="3"/>
      <c r="Q122" s="4">
        <v>46080</v>
      </c>
      <c r="R122" s="5">
        <v>131.80000000000001</v>
      </c>
      <c r="S122" s="3">
        <v>23</v>
      </c>
      <c r="T122" s="3"/>
      <c r="U122" s="3">
        <v>0</v>
      </c>
      <c r="V122" s="3" t="s">
        <v>8</v>
      </c>
      <c r="W122" s="5">
        <v>131.80000000000001</v>
      </c>
      <c r="X122" s="3">
        <v>0</v>
      </c>
      <c r="Y122" s="3">
        <v>0</v>
      </c>
      <c r="Z122" s="3">
        <v>0</v>
      </c>
      <c r="AA122" s="3">
        <v>0</v>
      </c>
      <c r="AB122" s="5">
        <v>131.80000000000001</v>
      </c>
      <c r="AD122" s="25"/>
      <c r="AE122" s="25"/>
      <c r="AF122" s="25"/>
      <c r="AG122" s="32"/>
      <c r="AH122" s="18"/>
      <c r="AI122" s="3"/>
      <c r="AJ122" s="3"/>
      <c r="AK122" s="3"/>
      <c r="AL122" s="15">
        <f t="shared" si="8"/>
        <v>0</v>
      </c>
      <c r="AM122" s="15">
        <f t="shared" si="11"/>
        <v>131.80000000000001</v>
      </c>
      <c r="AN122" s="15">
        <f t="shared" si="13"/>
        <v>131.80000000000001</v>
      </c>
      <c r="AO122" s="15">
        <f t="shared" si="12"/>
        <v>0</v>
      </c>
      <c r="AQ122" s="15">
        <f t="shared" si="10"/>
        <v>0</v>
      </c>
    </row>
    <row r="123" spans="1:43" x14ac:dyDescent="0.25">
      <c r="A123">
        <v>116</v>
      </c>
      <c r="B123" s="10">
        <v>1110</v>
      </c>
      <c r="C123" s="10" t="s">
        <v>1272</v>
      </c>
      <c r="D123" s="3" t="s">
        <v>611</v>
      </c>
      <c r="E123" s="3"/>
      <c r="F123" s="3" t="s">
        <v>612</v>
      </c>
      <c r="G123" s="3" t="s">
        <v>613</v>
      </c>
      <c r="H123" s="3" t="s">
        <v>14</v>
      </c>
      <c r="I123" s="3" t="s">
        <v>6</v>
      </c>
      <c r="J123" s="3" t="s">
        <v>15</v>
      </c>
      <c r="K123" s="3" t="s">
        <v>614</v>
      </c>
      <c r="L123" s="3"/>
      <c r="M123" s="3"/>
      <c r="N123" s="3"/>
      <c r="O123" s="3">
        <v>1657</v>
      </c>
      <c r="P123" s="3"/>
      <c r="Q123" s="4">
        <v>46053</v>
      </c>
      <c r="R123" s="5">
        <v>600</v>
      </c>
      <c r="S123" s="3">
        <v>20</v>
      </c>
      <c r="T123" s="3"/>
      <c r="U123" s="3">
        <v>0</v>
      </c>
      <c r="V123" s="3" t="s">
        <v>8</v>
      </c>
      <c r="W123" s="5">
        <v>251.05</v>
      </c>
      <c r="X123" s="5">
        <v>-600</v>
      </c>
      <c r="Y123" s="3">
        <v>0</v>
      </c>
      <c r="Z123" s="5">
        <v>251.05</v>
      </c>
      <c r="AA123" s="3">
        <v>0</v>
      </c>
      <c r="AB123" s="5">
        <v>-97.9</v>
      </c>
      <c r="AD123" s="25"/>
      <c r="AE123" s="25"/>
      <c r="AF123" s="25"/>
      <c r="AG123" s="32"/>
      <c r="AH123" s="19"/>
      <c r="AI123" s="3"/>
      <c r="AJ123" s="5"/>
      <c r="AK123" s="3"/>
      <c r="AL123" s="15">
        <f t="shared" si="8"/>
        <v>0</v>
      </c>
      <c r="AM123" s="15">
        <f t="shared" si="11"/>
        <v>-97.9</v>
      </c>
      <c r="AN123">
        <v>-97.9</v>
      </c>
      <c r="AO123" s="15">
        <f t="shared" si="12"/>
        <v>0</v>
      </c>
      <c r="AQ123" s="15">
        <f t="shared" si="10"/>
        <v>0</v>
      </c>
    </row>
    <row r="124" spans="1:43" x14ac:dyDescent="0.25">
      <c r="A124">
        <v>117</v>
      </c>
      <c r="B124" s="10" t="s">
        <v>615</v>
      </c>
      <c r="C124" s="10" t="s">
        <v>1084</v>
      </c>
      <c r="D124" s="3" t="s">
        <v>616</v>
      </c>
      <c r="E124" s="3"/>
      <c r="F124" s="3" t="s">
        <v>617</v>
      </c>
      <c r="G124" s="3" t="s">
        <v>618</v>
      </c>
      <c r="H124" s="3" t="s">
        <v>14</v>
      </c>
      <c r="I124" s="3" t="s">
        <v>6</v>
      </c>
      <c r="J124" s="3"/>
      <c r="K124" s="3" t="s">
        <v>619</v>
      </c>
      <c r="L124" s="3" t="s">
        <v>620</v>
      </c>
      <c r="M124" s="3"/>
      <c r="N124" s="3"/>
      <c r="O124" s="3">
        <v>2066</v>
      </c>
      <c r="P124" s="3"/>
      <c r="Q124" s="4">
        <v>46055</v>
      </c>
      <c r="R124" s="5">
        <v>30000</v>
      </c>
      <c r="S124" s="3">
        <v>56</v>
      </c>
      <c r="T124" s="3"/>
      <c r="U124" s="3">
        <v>0</v>
      </c>
      <c r="V124" s="3" t="s">
        <v>8</v>
      </c>
      <c r="W124" s="16">
        <v>11037.7</v>
      </c>
      <c r="X124" s="16">
        <v>9657.7000000000007</v>
      </c>
      <c r="Y124" s="16">
        <f>170538.28-X124-W124</f>
        <v>149842.87999999998</v>
      </c>
      <c r="Z124" s="40">
        <v>0</v>
      </c>
      <c r="AA124" s="16">
        <v>0</v>
      </c>
      <c r="AB124" s="16">
        <f>SUM(W124:AA124)</f>
        <v>170538.27999999997</v>
      </c>
      <c r="AD124" s="25" t="s">
        <v>1152</v>
      </c>
      <c r="AE124" s="25" t="s">
        <v>1188</v>
      </c>
      <c r="AF124" s="26">
        <v>30000</v>
      </c>
      <c r="AG124" s="32"/>
      <c r="AH124" s="19"/>
      <c r="AI124" s="5">
        <f>AF124</f>
        <v>30000</v>
      </c>
      <c r="AJ124" s="3"/>
      <c r="AK124" s="5"/>
      <c r="AL124" s="15">
        <f t="shared" si="8"/>
        <v>30000</v>
      </c>
      <c r="AM124" s="15">
        <f t="shared" si="11"/>
        <v>140538.27999999997</v>
      </c>
      <c r="AN124">
        <v>140538.28</v>
      </c>
      <c r="AO124" s="15">
        <f t="shared" si="12"/>
        <v>0</v>
      </c>
      <c r="AQ124" s="15">
        <f t="shared" si="10"/>
        <v>0</v>
      </c>
    </row>
    <row r="125" spans="1:43" x14ac:dyDescent="0.25">
      <c r="A125">
        <v>118</v>
      </c>
      <c r="B125" s="10" t="s">
        <v>621</v>
      </c>
      <c r="C125" s="10" t="s">
        <v>1272</v>
      </c>
      <c r="D125" s="3" t="s">
        <v>622</v>
      </c>
      <c r="E125" s="3" t="s">
        <v>622</v>
      </c>
      <c r="F125" s="3"/>
      <c r="G125" s="3" t="s">
        <v>623</v>
      </c>
      <c r="H125" s="3" t="s">
        <v>14</v>
      </c>
      <c r="I125" s="3" t="s">
        <v>6</v>
      </c>
      <c r="J125" s="3"/>
      <c r="K125" s="3" t="s">
        <v>624</v>
      </c>
      <c r="L125" s="3"/>
      <c r="M125" s="3"/>
      <c r="N125" s="3" t="s">
        <v>22</v>
      </c>
      <c r="O125" s="3"/>
      <c r="P125" s="3"/>
      <c r="Q125" s="4">
        <v>46081</v>
      </c>
      <c r="R125" s="5">
        <v>128.80000000000001</v>
      </c>
      <c r="S125" s="3">
        <v>42</v>
      </c>
      <c r="T125" s="3"/>
      <c r="U125" s="3">
        <v>0</v>
      </c>
      <c r="V125" s="3" t="s">
        <v>8</v>
      </c>
      <c r="W125" s="5">
        <v>128.80000000000001</v>
      </c>
      <c r="X125" s="3">
        <v>0</v>
      </c>
      <c r="Y125" s="3">
        <v>0</v>
      </c>
      <c r="Z125" s="3">
        <v>0</v>
      </c>
      <c r="AA125" s="3">
        <v>0</v>
      </c>
      <c r="AB125" s="5">
        <v>128.80000000000001</v>
      </c>
      <c r="AD125" s="25"/>
      <c r="AE125" s="25"/>
      <c r="AF125" s="25"/>
      <c r="AG125" s="32"/>
      <c r="AH125" s="18"/>
      <c r="AI125" s="3"/>
      <c r="AJ125" s="3"/>
      <c r="AK125" s="3"/>
      <c r="AL125" s="15">
        <f t="shared" si="8"/>
        <v>0</v>
      </c>
      <c r="AM125" s="15">
        <f t="shared" si="11"/>
        <v>128.80000000000001</v>
      </c>
      <c r="AN125" s="15">
        <f>AM125</f>
        <v>128.80000000000001</v>
      </c>
      <c r="AO125" s="15">
        <f t="shared" si="12"/>
        <v>0</v>
      </c>
      <c r="AQ125" s="15">
        <f t="shared" si="10"/>
        <v>0</v>
      </c>
    </row>
    <row r="126" spans="1:43" x14ac:dyDescent="0.25">
      <c r="A126">
        <v>119</v>
      </c>
      <c r="B126" s="10" t="s">
        <v>625</v>
      </c>
      <c r="C126" s="10" t="s">
        <v>1085</v>
      </c>
      <c r="D126" s="3" t="s">
        <v>626</v>
      </c>
      <c r="E126" s="3" t="s">
        <v>626</v>
      </c>
      <c r="F126" s="3"/>
      <c r="G126" s="3" t="s">
        <v>627</v>
      </c>
      <c r="H126" s="3" t="s">
        <v>14</v>
      </c>
      <c r="I126" s="3" t="s">
        <v>6</v>
      </c>
      <c r="J126" s="3" t="s">
        <v>15</v>
      </c>
      <c r="K126" s="3" t="s">
        <v>628</v>
      </c>
      <c r="L126" s="3"/>
      <c r="M126" s="3"/>
      <c r="N126" s="3" t="s">
        <v>22</v>
      </c>
      <c r="O126" s="3"/>
      <c r="P126" s="3"/>
      <c r="Q126" s="4">
        <v>46079</v>
      </c>
      <c r="R126" s="5">
        <v>143.41999999999999</v>
      </c>
      <c r="S126" s="3">
        <v>60</v>
      </c>
      <c r="T126" s="3"/>
      <c r="U126" s="3">
        <v>0</v>
      </c>
      <c r="V126" s="3" t="s">
        <v>8</v>
      </c>
      <c r="W126" s="3">
        <v>0</v>
      </c>
      <c r="X126" s="3">
        <v>0</v>
      </c>
      <c r="Y126" s="3">
        <v>0</v>
      </c>
      <c r="Z126" s="5">
        <v>143.41999999999999</v>
      </c>
      <c r="AA126" s="5">
        <v>143.41999999999999</v>
      </c>
      <c r="AB126" s="5">
        <v>286.83999999999997</v>
      </c>
      <c r="AD126" s="25"/>
      <c r="AE126" s="25"/>
      <c r="AF126" s="25"/>
      <c r="AG126" s="32"/>
      <c r="AH126" s="18"/>
      <c r="AI126" s="3"/>
      <c r="AJ126" s="5"/>
      <c r="AK126" s="5"/>
      <c r="AL126" s="15">
        <f t="shared" si="8"/>
        <v>0</v>
      </c>
      <c r="AM126" s="15">
        <f t="shared" si="11"/>
        <v>286.83999999999997</v>
      </c>
      <c r="AN126" s="15">
        <f t="shared" ref="AN126:AN127" si="14">AM126</f>
        <v>286.83999999999997</v>
      </c>
      <c r="AO126" s="15">
        <f t="shared" si="12"/>
        <v>0</v>
      </c>
      <c r="AQ126" s="15">
        <f t="shared" si="10"/>
        <v>0</v>
      </c>
    </row>
    <row r="127" spans="1:43" x14ac:dyDescent="0.25">
      <c r="A127">
        <v>120</v>
      </c>
      <c r="B127" s="10" t="s">
        <v>629</v>
      </c>
      <c r="C127" s="10" t="s">
        <v>1086</v>
      </c>
      <c r="D127" s="3" t="s">
        <v>630</v>
      </c>
      <c r="E127" s="3" t="s">
        <v>631</v>
      </c>
      <c r="F127" s="3"/>
      <c r="G127" s="3" t="s">
        <v>632</v>
      </c>
      <c r="H127" s="3" t="s">
        <v>14</v>
      </c>
      <c r="I127" s="3" t="s">
        <v>6</v>
      </c>
      <c r="J127" s="3" t="s">
        <v>15</v>
      </c>
      <c r="K127" s="3" t="s">
        <v>633</v>
      </c>
      <c r="L127" s="3"/>
      <c r="M127" s="3"/>
      <c r="N127" s="3"/>
      <c r="O127" s="3">
        <v>2196</v>
      </c>
      <c r="P127" s="3"/>
      <c r="Q127" s="4">
        <v>46081</v>
      </c>
      <c r="R127" s="5">
        <v>742.42</v>
      </c>
      <c r="S127" s="3">
        <v>85</v>
      </c>
      <c r="T127" s="3"/>
      <c r="U127" s="3">
        <v>0</v>
      </c>
      <c r="V127" s="3" t="s">
        <v>8</v>
      </c>
      <c r="W127" s="5">
        <v>742.42</v>
      </c>
      <c r="X127" s="3">
        <v>0</v>
      </c>
      <c r="Y127" s="3">
        <v>0</v>
      </c>
      <c r="Z127" s="3">
        <v>0</v>
      </c>
      <c r="AA127" s="3">
        <v>0</v>
      </c>
      <c r="AB127" s="5">
        <v>742.42</v>
      </c>
      <c r="AD127" s="25" t="s">
        <v>1201</v>
      </c>
      <c r="AE127" s="25" t="s">
        <v>630</v>
      </c>
      <c r="AF127" s="26">
        <v>742.72</v>
      </c>
      <c r="AG127" s="33">
        <f>AF127</f>
        <v>742.72</v>
      </c>
      <c r="AH127" s="18"/>
      <c r="AI127" s="3"/>
      <c r="AJ127" s="3"/>
      <c r="AK127" s="3"/>
      <c r="AL127" s="15">
        <f t="shared" si="8"/>
        <v>742.72</v>
      </c>
      <c r="AM127" s="15">
        <f t="shared" si="11"/>
        <v>-0.30000000000006821</v>
      </c>
      <c r="AN127" s="15">
        <f t="shared" si="14"/>
        <v>-0.30000000000006821</v>
      </c>
      <c r="AO127" s="15">
        <f t="shared" si="12"/>
        <v>0</v>
      </c>
      <c r="AQ127" s="15">
        <f t="shared" si="10"/>
        <v>0</v>
      </c>
    </row>
    <row r="128" spans="1:43" x14ac:dyDescent="0.25">
      <c r="A128">
        <v>121</v>
      </c>
      <c r="B128" s="10" t="s">
        <v>634</v>
      </c>
      <c r="C128" s="10" t="s">
        <v>1272</v>
      </c>
      <c r="D128" s="3" t="s">
        <v>635</v>
      </c>
      <c r="E128" s="3" t="s">
        <v>636</v>
      </c>
      <c r="F128" s="3" t="s">
        <v>637</v>
      </c>
      <c r="G128" s="3"/>
      <c r="H128" s="3" t="s">
        <v>14</v>
      </c>
      <c r="I128" s="3" t="s">
        <v>6</v>
      </c>
      <c r="J128" s="3" t="s">
        <v>33</v>
      </c>
      <c r="K128" s="3" t="s">
        <v>638</v>
      </c>
      <c r="L128" s="3"/>
      <c r="M128" s="3"/>
      <c r="N128" s="3"/>
      <c r="O128" s="3">
        <v>1686</v>
      </c>
      <c r="P128" s="3"/>
      <c r="Q128" s="4">
        <v>46074</v>
      </c>
      <c r="R128" s="5">
        <v>5531.5</v>
      </c>
      <c r="S128" s="3">
        <v>66</v>
      </c>
      <c r="T128" s="3"/>
      <c r="U128" s="3">
        <v>0</v>
      </c>
      <c r="V128" s="3" t="s">
        <v>8</v>
      </c>
      <c r="W128" s="5">
        <v>4634.5</v>
      </c>
      <c r="X128" s="3">
        <v>0</v>
      </c>
      <c r="Y128" s="5"/>
      <c r="Z128" s="5">
        <v>149.5</v>
      </c>
      <c r="AA128" s="5">
        <v>544.54999999999995</v>
      </c>
      <c r="AB128" s="5">
        <f>SUM(W128:AA128)</f>
        <v>5328.55</v>
      </c>
      <c r="AD128" s="25"/>
      <c r="AE128" s="25"/>
      <c r="AF128" s="25"/>
      <c r="AG128" s="32"/>
      <c r="AH128" s="18"/>
      <c r="AI128" s="5"/>
      <c r="AJ128" s="5"/>
      <c r="AK128" s="5"/>
      <c r="AL128" s="15">
        <f t="shared" si="8"/>
        <v>0</v>
      </c>
      <c r="AM128" s="15">
        <f t="shared" si="11"/>
        <v>5328.55</v>
      </c>
      <c r="AN128" s="15">
        <v>5328.55</v>
      </c>
      <c r="AO128" s="15">
        <f t="shared" si="12"/>
        <v>0</v>
      </c>
      <c r="AQ128" s="15">
        <f t="shared" si="10"/>
        <v>0</v>
      </c>
    </row>
    <row r="129" spans="1:43" x14ac:dyDescent="0.25">
      <c r="A129">
        <v>122</v>
      </c>
      <c r="B129" s="10" t="s">
        <v>634</v>
      </c>
      <c r="C129" s="10" t="s">
        <v>1276</v>
      </c>
      <c r="D129" s="3" t="s">
        <v>635</v>
      </c>
      <c r="E129" s="3" t="s">
        <v>636</v>
      </c>
      <c r="F129" s="3" t="s">
        <v>637</v>
      </c>
      <c r="G129" s="3"/>
      <c r="H129" s="3" t="s">
        <v>14</v>
      </c>
      <c r="I129" s="3" t="s">
        <v>6</v>
      </c>
      <c r="J129" s="3" t="s">
        <v>33</v>
      </c>
      <c r="K129" s="3" t="s">
        <v>638</v>
      </c>
      <c r="L129" s="3"/>
      <c r="M129" s="3"/>
      <c r="N129" s="3"/>
      <c r="O129" s="3">
        <v>1686</v>
      </c>
      <c r="P129" s="3"/>
      <c r="Q129" s="4">
        <v>46074</v>
      </c>
      <c r="R129" s="5">
        <v>5531.5</v>
      </c>
      <c r="S129" s="3">
        <v>66</v>
      </c>
      <c r="T129" s="3"/>
      <c r="U129" s="3">
        <v>0</v>
      </c>
      <c r="V129" s="3" t="s">
        <v>639</v>
      </c>
      <c r="W129" s="3">
        <v>0</v>
      </c>
      <c r="X129" s="3">
        <v>0</v>
      </c>
      <c r="Y129" s="3">
        <v>0</v>
      </c>
      <c r="Z129" s="5">
        <v>0</v>
      </c>
      <c r="AA129" s="5">
        <v>0</v>
      </c>
      <c r="AB129" s="5">
        <v>0</v>
      </c>
      <c r="AD129" s="25"/>
      <c r="AE129" s="25"/>
      <c r="AF129" s="25"/>
      <c r="AG129" s="32"/>
      <c r="AH129" s="18"/>
      <c r="AI129" s="3"/>
      <c r="AJ129" s="5"/>
      <c r="AK129" s="5"/>
      <c r="AL129" s="15">
        <f t="shared" si="8"/>
        <v>0</v>
      </c>
      <c r="AM129" s="15">
        <f t="shared" si="11"/>
        <v>0</v>
      </c>
      <c r="AN129">
        <v>0</v>
      </c>
      <c r="AO129" s="15">
        <f t="shared" si="12"/>
        <v>0</v>
      </c>
      <c r="AQ129" s="15">
        <f t="shared" si="10"/>
        <v>0</v>
      </c>
    </row>
    <row r="130" spans="1:43" x14ac:dyDescent="0.25">
      <c r="A130">
        <v>123</v>
      </c>
      <c r="B130" s="10" t="s">
        <v>640</v>
      </c>
      <c r="C130" s="10"/>
      <c r="D130" s="3" t="s">
        <v>641</v>
      </c>
      <c r="E130" s="3" t="s">
        <v>642</v>
      </c>
      <c r="F130" s="3"/>
      <c r="G130" s="3" t="s">
        <v>643</v>
      </c>
      <c r="H130" s="3" t="s">
        <v>14</v>
      </c>
      <c r="I130" s="3" t="s">
        <v>6</v>
      </c>
      <c r="J130" s="3"/>
      <c r="K130" s="3" t="s">
        <v>644</v>
      </c>
      <c r="L130" s="3"/>
      <c r="M130" s="3"/>
      <c r="N130" s="3" t="s">
        <v>22</v>
      </c>
      <c r="O130" s="3"/>
      <c r="P130" s="3"/>
      <c r="Q130" s="4">
        <v>46045</v>
      </c>
      <c r="R130" s="5">
        <v>21948.9</v>
      </c>
      <c r="S130" s="3">
        <v>59</v>
      </c>
      <c r="T130" s="3"/>
      <c r="U130" s="3">
        <v>0</v>
      </c>
      <c r="V130" s="3" t="s">
        <v>8</v>
      </c>
      <c r="W130" s="5">
        <v>21319.15</v>
      </c>
      <c r="X130" s="5">
        <v>3117.61</v>
      </c>
      <c r="Y130" s="5">
        <v>747.5</v>
      </c>
      <c r="Z130" s="3">
        <v>0.02</v>
      </c>
      <c r="AA130" s="3">
        <v>0</v>
      </c>
      <c r="AB130" s="5">
        <v>25184.28</v>
      </c>
      <c r="AD130" s="25" t="s">
        <v>1164</v>
      </c>
      <c r="AE130" s="25" t="s">
        <v>640</v>
      </c>
      <c r="AF130" s="33">
        <v>3117.65</v>
      </c>
      <c r="AH130" s="19">
        <f>AF130</f>
        <v>3117.65</v>
      </c>
      <c r="AI130" s="5"/>
      <c r="AJ130" s="3"/>
      <c r="AK130" s="3"/>
      <c r="AL130" s="15">
        <f t="shared" si="8"/>
        <v>3117.65</v>
      </c>
      <c r="AM130" s="15">
        <f t="shared" si="11"/>
        <v>22066.629999999997</v>
      </c>
      <c r="AN130" s="15">
        <f>AM130</f>
        <v>22066.629999999997</v>
      </c>
      <c r="AO130" s="15">
        <f t="shared" si="12"/>
        <v>0</v>
      </c>
      <c r="AQ130" s="15">
        <f t="shared" si="10"/>
        <v>0</v>
      </c>
    </row>
    <row r="131" spans="1:43" x14ac:dyDescent="0.25">
      <c r="A131">
        <v>124</v>
      </c>
      <c r="B131" s="10" t="s">
        <v>645</v>
      </c>
      <c r="C131" s="10" t="s">
        <v>1087</v>
      </c>
      <c r="D131" s="3" t="s">
        <v>646</v>
      </c>
      <c r="E131" s="3" t="s">
        <v>647</v>
      </c>
      <c r="F131" s="3"/>
      <c r="G131" s="3" t="s">
        <v>648</v>
      </c>
      <c r="H131" s="3" t="s">
        <v>14</v>
      </c>
      <c r="I131" s="3" t="s">
        <v>6</v>
      </c>
      <c r="J131" s="3"/>
      <c r="K131" s="3" t="s">
        <v>649</v>
      </c>
      <c r="L131" s="3"/>
      <c r="M131" s="3"/>
      <c r="N131" s="3" t="s">
        <v>22</v>
      </c>
      <c r="O131" s="3"/>
      <c r="P131" s="3"/>
      <c r="Q131" s="4">
        <v>46081</v>
      </c>
      <c r="R131" s="5">
        <v>18400</v>
      </c>
      <c r="S131" s="3">
        <v>71</v>
      </c>
      <c r="T131" s="3"/>
      <c r="U131" s="3">
        <v>0</v>
      </c>
      <c r="V131" s="3" t="s">
        <v>8</v>
      </c>
      <c r="W131" s="5">
        <v>20861</v>
      </c>
      <c r="X131" s="3">
        <v>0</v>
      </c>
      <c r="Y131" s="3">
        <v>0</v>
      </c>
      <c r="Z131" s="3">
        <v>0</v>
      </c>
      <c r="AA131" s="3">
        <v>0</v>
      </c>
      <c r="AB131" s="5">
        <v>20861</v>
      </c>
      <c r="AD131" s="25" t="s">
        <v>1201</v>
      </c>
      <c r="AE131" s="25" t="s">
        <v>1267</v>
      </c>
      <c r="AF131" s="26">
        <v>20861</v>
      </c>
      <c r="AG131" s="33">
        <f>AF131</f>
        <v>20861</v>
      </c>
      <c r="AH131" s="18"/>
      <c r="AI131" s="3"/>
      <c r="AJ131" s="3"/>
      <c r="AK131" s="3"/>
      <c r="AL131" s="15">
        <f t="shared" si="8"/>
        <v>20861</v>
      </c>
      <c r="AM131" s="15">
        <f t="shared" si="11"/>
        <v>0</v>
      </c>
      <c r="AN131" s="15">
        <f t="shared" ref="AN131:AN135" si="15">AM131</f>
        <v>0</v>
      </c>
      <c r="AO131" s="15">
        <f t="shared" si="12"/>
        <v>0</v>
      </c>
      <c r="AQ131" s="15">
        <f t="shared" si="10"/>
        <v>0</v>
      </c>
    </row>
    <row r="132" spans="1:43" x14ac:dyDescent="0.25">
      <c r="A132">
        <v>125</v>
      </c>
      <c r="B132" s="10" t="s">
        <v>650</v>
      </c>
      <c r="C132" s="10" t="s">
        <v>1272</v>
      </c>
      <c r="D132" s="3" t="s">
        <v>651</v>
      </c>
      <c r="E132" s="3" t="s">
        <v>652</v>
      </c>
      <c r="F132" s="3" t="s">
        <v>653</v>
      </c>
      <c r="G132" s="3"/>
      <c r="H132" s="3" t="s">
        <v>14</v>
      </c>
      <c r="I132" s="3" t="s">
        <v>6</v>
      </c>
      <c r="J132" s="3"/>
      <c r="K132" s="3" t="s">
        <v>654</v>
      </c>
      <c r="L132" s="3"/>
      <c r="M132" s="3"/>
      <c r="N132" s="3"/>
      <c r="O132" s="3">
        <v>1400</v>
      </c>
      <c r="P132" s="3"/>
      <c r="Q132" s="4">
        <v>46058</v>
      </c>
      <c r="R132" s="5">
        <v>340000</v>
      </c>
      <c r="S132" s="3">
        <v>1456</v>
      </c>
      <c r="T132" s="3"/>
      <c r="U132" s="3">
        <v>0</v>
      </c>
      <c r="V132" s="3" t="s">
        <v>8</v>
      </c>
      <c r="W132" s="3">
        <v>0</v>
      </c>
      <c r="X132" s="5">
        <v>895</v>
      </c>
      <c r="Y132" s="3">
        <v>0</v>
      </c>
      <c r="Z132" s="3">
        <v>0</v>
      </c>
      <c r="AA132" s="3">
        <v>0</v>
      </c>
      <c r="AB132" s="5">
        <v>895</v>
      </c>
      <c r="AD132" s="25"/>
      <c r="AE132" s="25"/>
      <c r="AF132" s="25"/>
      <c r="AG132" s="32"/>
      <c r="AH132" s="19"/>
      <c r="AI132" s="3"/>
      <c r="AJ132" s="3"/>
      <c r="AK132" s="3"/>
      <c r="AL132" s="15">
        <f t="shared" si="8"/>
        <v>0</v>
      </c>
      <c r="AM132" s="15">
        <f t="shared" si="11"/>
        <v>895</v>
      </c>
      <c r="AN132" s="15">
        <f t="shared" si="15"/>
        <v>895</v>
      </c>
      <c r="AO132" s="15">
        <f t="shared" si="12"/>
        <v>0</v>
      </c>
      <c r="AQ132" s="15">
        <f t="shared" si="10"/>
        <v>0</v>
      </c>
    </row>
    <row r="133" spans="1:43" x14ac:dyDescent="0.25">
      <c r="A133">
        <v>126</v>
      </c>
      <c r="B133" s="10" t="s">
        <v>655</v>
      </c>
      <c r="C133" s="10" t="s">
        <v>1088</v>
      </c>
      <c r="D133" s="3" t="s">
        <v>656</v>
      </c>
      <c r="E133" s="3" t="s">
        <v>657</v>
      </c>
      <c r="F133" s="3" t="s">
        <v>658</v>
      </c>
      <c r="G133" s="3" t="s">
        <v>659</v>
      </c>
      <c r="H133" s="3" t="s">
        <v>14</v>
      </c>
      <c r="I133" s="3" t="s">
        <v>6</v>
      </c>
      <c r="J133" s="3"/>
      <c r="K133" s="3" t="s">
        <v>660</v>
      </c>
      <c r="L133" s="3"/>
      <c r="M133" s="3"/>
      <c r="N133" s="3" t="s">
        <v>22</v>
      </c>
      <c r="O133" s="3"/>
      <c r="P133" s="3"/>
      <c r="Q133" s="4">
        <v>46051</v>
      </c>
      <c r="R133" s="5">
        <v>13627.5</v>
      </c>
      <c r="S133" s="3">
        <v>31</v>
      </c>
      <c r="T133" s="3"/>
      <c r="U133" s="3">
        <v>0</v>
      </c>
      <c r="V133" s="3" t="s">
        <v>8</v>
      </c>
      <c r="W133" s="5">
        <v>13627.5</v>
      </c>
      <c r="X133" s="3">
        <v>0</v>
      </c>
      <c r="Y133" s="3">
        <v>0</v>
      </c>
      <c r="Z133" s="3">
        <v>0</v>
      </c>
      <c r="AA133" s="3">
        <v>0</v>
      </c>
      <c r="AB133" s="5">
        <v>13627.5</v>
      </c>
      <c r="AD133" s="25" t="s">
        <v>1149</v>
      </c>
      <c r="AE133" s="25">
        <v>118236</v>
      </c>
      <c r="AF133" s="26">
        <v>13627.5</v>
      </c>
      <c r="AG133" s="33">
        <f>W133</f>
        <v>13627.5</v>
      </c>
      <c r="AH133" s="18"/>
      <c r="AI133" s="3"/>
      <c r="AJ133" s="3"/>
      <c r="AK133" s="3"/>
      <c r="AL133" s="15">
        <f t="shared" si="8"/>
        <v>13627.5</v>
      </c>
      <c r="AM133" s="15">
        <f t="shared" si="11"/>
        <v>0</v>
      </c>
      <c r="AN133" s="15">
        <f t="shared" si="15"/>
        <v>0</v>
      </c>
      <c r="AO133" s="15">
        <f t="shared" si="12"/>
        <v>0</v>
      </c>
      <c r="AQ133" s="15">
        <f t="shared" si="10"/>
        <v>0</v>
      </c>
    </row>
    <row r="134" spans="1:43" x14ac:dyDescent="0.25">
      <c r="A134">
        <v>127</v>
      </c>
      <c r="B134" s="10">
        <v>1137</v>
      </c>
      <c r="C134" s="10" t="s">
        <v>1272</v>
      </c>
      <c r="D134" s="3" t="s">
        <v>661</v>
      </c>
      <c r="E134" s="3" t="s">
        <v>662</v>
      </c>
      <c r="F134" s="3"/>
      <c r="G134" s="3" t="s">
        <v>663</v>
      </c>
      <c r="H134" s="3" t="s">
        <v>14</v>
      </c>
      <c r="I134" s="3" t="s">
        <v>6</v>
      </c>
      <c r="J134" s="3" t="s">
        <v>15</v>
      </c>
      <c r="K134" s="3" t="s">
        <v>664</v>
      </c>
      <c r="L134" s="3"/>
      <c r="M134" s="3"/>
      <c r="N134" s="3" t="s">
        <v>22</v>
      </c>
      <c r="O134" s="3"/>
      <c r="P134" s="3"/>
      <c r="Q134" s="4">
        <v>46081</v>
      </c>
      <c r="R134" s="5">
        <v>2458.6999999999998</v>
      </c>
      <c r="S134" s="3">
        <v>279</v>
      </c>
      <c r="T134" s="3"/>
      <c r="U134" s="3">
        <v>0</v>
      </c>
      <c r="V134" s="3" t="s">
        <v>8</v>
      </c>
      <c r="W134" s="5">
        <v>2458.6999999999998</v>
      </c>
      <c r="X134" s="3">
        <v>0</v>
      </c>
      <c r="Y134" s="3">
        <v>0</v>
      </c>
      <c r="Z134" s="3">
        <v>0</v>
      </c>
      <c r="AA134" s="3">
        <v>0</v>
      </c>
      <c r="AB134" s="5">
        <v>2458.6999999999998</v>
      </c>
      <c r="AD134" s="25" t="s">
        <v>1201</v>
      </c>
      <c r="AE134" s="25" t="s">
        <v>1258</v>
      </c>
      <c r="AF134" s="26">
        <v>2458.6999999999998</v>
      </c>
      <c r="AG134" s="33">
        <f>AF134</f>
        <v>2458.6999999999998</v>
      </c>
      <c r="AH134" s="18"/>
      <c r="AI134" s="3"/>
      <c r="AJ134" s="3"/>
      <c r="AK134" s="3"/>
      <c r="AL134" s="15">
        <f t="shared" si="8"/>
        <v>2458.6999999999998</v>
      </c>
      <c r="AM134" s="15">
        <f t="shared" si="11"/>
        <v>0</v>
      </c>
      <c r="AN134" s="15">
        <f t="shared" si="15"/>
        <v>0</v>
      </c>
      <c r="AO134" s="15">
        <f t="shared" si="12"/>
        <v>0</v>
      </c>
      <c r="AQ134" s="15">
        <f t="shared" si="10"/>
        <v>0</v>
      </c>
    </row>
    <row r="135" spans="1:43" x14ac:dyDescent="0.25">
      <c r="A135">
        <v>128</v>
      </c>
      <c r="B135" s="10" t="s">
        <v>665</v>
      </c>
      <c r="C135" s="10" t="s">
        <v>1272</v>
      </c>
      <c r="D135" s="3" t="s">
        <v>666</v>
      </c>
      <c r="E135" s="3" t="s">
        <v>667</v>
      </c>
      <c r="F135" s="3" t="s">
        <v>668</v>
      </c>
      <c r="G135" s="3" t="s">
        <v>669</v>
      </c>
      <c r="H135" s="3" t="s">
        <v>14</v>
      </c>
      <c r="I135" s="3" t="s">
        <v>6</v>
      </c>
      <c r="J135" s="3" t="s">
        <v>15</v>
      </c>
      <c r="K135" s="3" t="s">
        <v>670</v>
      </c>
      <c r="L135" s="3"/>
      <c r="M135" s="3"/>
      <c r="N135" s="3" t="s">
        <v>22</v>
      </c>
      <c r="O135" s="3"/>
      <c r="P135" s="3"/>
      <c r="Q135" s="4">
        <v>45625</v>
      </c>
      <c r="R135" s="5">
        <v>19285.5</v>
      </c>
      <c r="S135" s="3">
        <v>200</v>
      </c>
      <c r="T135" s="3"/>
      <c r="U135" s="3">
        <v>0</v>
      </c>
      <c r="V135" s="3" t="s">
        <v>8</v>
      </c>
      <c r="W135" s="3">
        <v>0</v>
      </c>
      <c r="X135" s="3">
        <v>0</v>
      </c>
      <c r="Y135" s="3">
        <v>0</v>
      </c>
      <c r="Z135" s="3">
        <v>0</v>
      </c>
      <c r="AA135" s="5">
        <v>38548</v>
      </c>
      <c r="AB135" s="5">
        <v>38548</v>
      </c>
      <c r="AD135" s="25"/>
      <c r="AE135" s="25"/>
      <c r="AF135" s="25"/>
      <c r="AG135" s="32"/>
      <c r="AH135" s="18"/>
      <c r="AI135" s="3"/>
      <c r="AJ135" s="3"/>
      <c r="AK135" s="5"/>
      <c r="AL135" s="15">
        <f t="shared" si="8"/>
        <v>0</v>
      </c>
      <c r="AM135" s="15">
        <f t="shared" si="11"/>
        <v>38548</v>
      </c>
      <c r="AN135" s="15">
        <f t="shared" si="15"/>
        <v>38548</v>
      </c>
      <c r="AO135" s="15">
        <f t="shared" si="12"/>
        <v>0</v>
      </c>
      <c r="AQ135" s="15">
        <f t="shared" si="10"/>
        <v>0</v>
      </c>
    </row>
    <row r="136" spans="1:43" x14ac:dyDescent="0.25">
      <c r="A136">
        <v>129</v>
      </c>
      <c r="B136" s="10" t="s">
        <v>671</v>
      </c>
      <c r="C136" s="10" t="s">
        <v>1272</v>
      </c>
      <c r="D136" s="3" t="s">
        <v>672</v>
      </c>
      <c r="E136" s="3" t="s">
        <v>672</v>
      </c>
      <c r="F136" s="6" t="s">
        <v>673</v>
      </c>
      <c r="G136" s="3" t="s">
        <v>674</v>
      </c>
      <c r="H136" s="3" t="s">
        <v>14</v>
      </c>
      <c r="I136" s="3" t="s">
        <v>6</v>
      </c>
      <c r="J136" s="3"/>
      <c r="K136" s="3" t="s">
        <v>675</v>
      </c>
      <c r="L136" s="3"/>
      <c r="M136" s="3"/>
      <c r="N136" s="3"/>
      <c r="O136" s="3"/>
      <c r="P136" s="3"/>
      <c r="Q136" s="4">
        <v>46055</v>
      </c>
      <c r="R136" s="5">
        <v>113.85</v>
      </c>
      <c r="S136" s="3">
        <v>54</v>
      </c>
      <c r="T136" s="3"/>
      <c r="U136" s="3">
        <v>0</v>
      </c>
      <c r="V136" s="3" t="s">
        <v>8</v>
      </c>
      <c r="W136" s="16">
        <v>113.85</v>
      </c>
      <c r="X136" s="3">
        <v>0</v>
      </c>
      <c r="Y136" s="3">
        <v>0</v>
      </c>
      <c r="Z136" s="3">
        <v>0</v>
      </c>
      <c r="AA136" s="5">
        <v>-113.79</v>
      </c>
      <c r="AB136" s="3">
        <v>0.06</v>
      </c>
      <c r="AD136" s="25" t="s">
        <v>1147</v>
      </c>
      <c r="AE136" s="25" t="s">
        <v>1150</v>
      </c>
      <c r="AF136" s="26">
        <v>113.85</v>
      </c>
      <c r="AG136" s="33"/>
      <c r="AH136" s="20">
        <f>AF136</f>
        <v>113.85</v>
      </c>
      <c r="AI136" s="3"/>
      <c r="AJ136" s="3"/>
      <c r="AK136" s="5"/>
      <c r="AL136" s="15">
        <f t="shared" ref="AL136:AL138" si="16">AH136+AI136+AJ136+AK136+AG136</f>
        <v>113.85</v>
      </c>
      <c r="AM136" s="15">
        <f t="shared" si="11"/>
        <v>-113.78999999999999</v>
      </c>
      <c r="AN136">
        <v>-113.79</v>
      </c>
      <c r="AO136" s="15">
        <f t="shared" si="12"/>
        <v>0</v>
      </c>
      <c r="AQ136" s="15">
        <f t="shared" ref="AQ136:AQ194" si="17">AL136-AF136</f>
        <v>0</v>
      </c>
    </row>
    <row r="137" spans="1:43" x14ac:dyDescent="0.25">
      <c r="A137">
        <v>130</v>
      </c>
      <c r="B137" s="10" t="s">
        <v>676</v>
      </c>
      <c r="C137" s="10" t="s">
        <v>1089</v>
      </c>
      <c r="D137" s="3" t="s">
        <v>677</v>
      </c>
      <c r="E137" s="3" t="s">
        <v>678</v>
      </c>
      <c r="F137" s="3" t="s">
        <v>679</v>
      </c>
      <c r="G137" s="3" t="s">
        <v>680</v>
      </c>
      <c r="H137" s="3" t="s">
        <v>14</v>
      </c>
      <c r="I137" s="3" t="s">
        <v>6</v>
      </c>
      <c r="J137" s="3" t="s">
        <v>15</v>
      </c>
      <c r="K137" s="3" t="s">
        <v>681</v>
      </c>
      <c r="L137" s="3"/>
      <c r="M137" s="3"/>
      <c r="N137" s="3"/>
      <c r="O137" s="3">
        <v>2000</v>
      </c>
      <c r="P137" s="3"/>
      <c r="Q137" s="4">
        <v>46081</v>
      </c>
      <c r="R137" s="5">
        <v>338.25</v>
      </c>
      <c r="S137" s="3">
        <v>41</v>
      </c>
      <c r="T137" s="3"/>
      <c r="U137" s="3">
        <v>0</v>
      </c>
      <c r="V137" s="3" t="s">
        <v>8</v>
      </c>
      <c r="W137" s="5">
        <v>338.25</v>
      </c>
      <c r="X137" s="3">
        <v>0</v>
      </c>
      <c r="Y137" s="3">
        <v>0.33</v>
      </c>
      <c r="Z137" s="3">
        <v>0</v>
      </c>
      <c r="AA137" s="5">
        <v>-0.33</v>
      </c>
      <c r="AB137" s="5">
        <v>338.25</v>
      </c>
      <c r="AD137" s="25" t="s">
        <v>1201</v>
      </c>
      <c r="AE137" s="25" t="s">
        <v>1245</v>
      </c>
      <c r="AF137" s="26">
        <v>338.25</v>
      </c>
      <c r="AG137" s="33">
        <f>AF137</f>
        <v>338.25</v>
      </c>
      <c r="AH137" s="18"/>
      <c r="AI137" s="3"/>
      <c r="AJ137" s="3"/>
      <c r="AK137" s="5"/>
      <c r="AL137" s="15">
        <f t="shared" si="16"/>
        <v>338.25</v>
      </c>
      <c r="AM137" s="15">
        <f t="shared" ref="AM137:AM195" si="18">AB137-AL137</f>
        <v>0</v>
      </c>
      <c r="AN137" s="15">
        <f>AM137</f>
        <v>0</v>
      </c>
      <c r="AO137" s="15">
        <f t="shared" si="12"/>
        <v>0</v>
      </c>
      <c r="AQ137" s="15">
        <f t="shared" si="17"/>
        <v>0</v>
      </c>
    </row>
    <row r="138" spans="1:43" x14ac:dyDescent="0.25">
      <c r="A138">
        <v>131</v>
      </c>
      <c r="B138" s="10" t="s">
        <v>682</v>
      </c>
      <c r="C138" s="10" t="s">
        <v>1090</v>
      </c>
      <c r="D138" s="21" t="s">
        <v>683</v>
      </c>
      <c r="E138" s="21" t="s">
        <v>684</v>
      </c>
      <c r="F138" s="21" t="s">
        <v>685</v>
      </c>
      <c r="G138" s="21" t="s">
        <v>686</v>
      </c>
      <c r="H138" s="21" t="s">
        <v>14</v>
      </c>
      <c r="I138" s="21" t="s">
        <v>6</v>
      </c>
      <c r="J138" s="21"/>
      <c r="K138" s="21" t="s">
        <v>687</v>
      </c>
      <c r="L138" s="21"/>
      <c r="M138" s="21"/>
      <c r="N138" s="21" t="s">
        <v>22</v>
      </c>
      <c r="O138" s="21"/>
      <c r="P138" s="21"/>
      <c r="Q138" s="22">
        <v>46049</v>
      </c>
      <c r="R138" s="23">
        <v>79159.33</v>
      </c>
      <c r="S138" s="21">
        <v>116</v>
      </c>
      <c r="T138" s="21"/>
      <c r="U138" s="21">
        <v>0</v>
      </c>
      <c r="V138" s="21" t="s">
        <v>8</v>
      </c>
      <c r="W138" s="23">
        <v>79009.83</v>
      </c>
      <c r="X138" s="5">
        <v>805</v>
      </c>
      <c r="Y138" s="3">
        <v>0</v>
      </c>
      <c r="Z138" s="3">
        <v>0.01</v>
      </c>
      <c r="AA138" s="3">
        <v>0</v>
      </c>
      <c r="AB138" s="5">
        <v>79814.84</v>
      </c>
      <c r="AD138" s="25" t="s">
        <v>1156</v>
      </c>
      <c r="AE138" s="25" t="s">
        <v>1161</v>
      </c>
      <c r="AF138" s="26">
        <v>1437.51</v>
      </c>
      <c r="AG138" s="33">
        <f>AF139</f>
        <v>76939.83</v>
      </c>
      <c r="AH138" s="19">
        <f>AF138</f>
        <v>1437.51</v>
      </c>
      <c r="AI138" s="3"/>
      <c r="AJ138" s="3"/>
      <c r="AK138" s="3"/>
      <c r="AL138" s="15">
        <f t="shared" si="16"/>
        <v>78377.34</v>
      </c>
      <c r="AM138" s="15">
        <f t="shared" si="18"/>
        <v>1437.5</v>
      </c>
      <c r="AN138">
        <v>1437.5</v>
      </c>
      <c r="AO138" s="15">
        <f t="shared" si="12"/>
        <v>0</v>
      </c>
      <c r="AQ138" s="15">
        <f t="shared" si="17"/>
        <v>76939.83</v>
      </c>
    </row>
    <row r="139" spans="1:43" x14ac:dyDescent="0.25">
      <c r="A139">
        <v>132</v>
      </c>
      <c r="B139" s="10"/>
      <c r="C139" s="10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2"/>
      <c r="R139" s="23"/>
      <c r="S139" s="21"/>
      <c r="T139" s="21"/>
      <c r="U139" s="21"/>
      <c r="V139" s="21"/>
      <c r="W139" s="23"/>
      <c r="X139" s="5"/>
      <c r="Y139" s="3"/>
      <c r="Z139" s="3"/>
      <c r="AA139" s="3"/>
      <c r="AB139" s="5"/>
      <c r="AD139" s="25" t="s">
        <v>1165</v>
      </c>
      <c r="AE139" s="25" t="s">
        <v>1161</v>
      </c>
      <c r="AF139" s="26">
        <v>76939.83</v>
      </c>
      <c r="AG139" s="32"/>
      <c r="AH139" s="19"/>
      <c r="AI139" s="3"/>
      <c r="AJ139" s="3"/>
      <c r="AK139" s="3"/>
      <c r="AL139" s="15"/>
      <c r="AM139" s="15"/>
      <c r="AO139" s="15"/>
      <c r="AQ139" s="15">
        <f t="shared" si="17"/>
        <v>-76939.83</v>
      </c>
    </row>
    <row r="140" spans="1:43" x14ac:dyDescent="0.25">
      <c r="A140">
        <v>133</v>
      </c>
      <c r="B140" s="10" t="s">
        <v>688</v>
      </c>
      <c r="C140" s="10" t="s">
        <v>1091</v>
      </c>
      <c r="D140" s="3" t="s">
        <v>689</v>
      </c>
      <c r="E140" s="3" t="s">
        <v>690</v>
      </c>
      <c r="F140" s="3" t="s">
        <v>691</v>
      </c>
      <c r="G140" s="3" t="s">
        <v>692</v>
      </c>
      <c r="H140" s="3" t="s">
        <v>14</v>
      </c>
      <c r="I140" s="3" t="s">
        <v>6</v>
      </c>
      <c r="J140" s="3"/>
      <c r="K140" s="3" t="s">
        <v>693</v>
      </c>
      <c r="L140" s="3"/>
      <c r="M140" s="3"/>
      <c r="N140" s="3"/>
      <c r="O140" s="3"/>
      <c r="P140" s="3"/>
      <c r="Q140" s="4">
        <v>46062</v>
      </c>
      <c r="R140" s="5">
        <v>14934.9</v>
      </c>
      <c r="S140" s="3">
        <v>284</v>
      </c>
      <c r="T140" s="3" t="s">
        <v>694</v>
      </c>
      <c r="U140" s="3">
        <v>0</v>
      </c>
      <c r="V140" s="3" t="s">
        <v>8</v>
      </c>
      <c r="W140" s="5">
        <v>14934.9</v>
      </c>
      <c r="X140" s="3">
        <v>0</v>
      </c>
      <c r="Y140" s="3">
        <v>0</v>
      </c>
      <c r="Z140" s="3">
        <v>0</v>
      </c>
      <c r="AA140" s="3">
        <v>0</v>
      </c>
      <c r="AB140" s="5">
        <v>14934.9</v>
      </c>
      <c r="AD140" s="25" t="s">
        <v>1175</v>
      </c>
      <c r="AE140" s="25" t="s">
        <v>1176</v>
      </c>
      <c r="AF140" s="26">
        <v>14934.9</v>
      </c>
      <c r="AG140" s="33">
        <f>W140</f>
        <v>14934.9</v>
      </c>
      <c r="AH140" s="18"/>
      <c r="AI140" s="3"/>
      <c r="AJ140" s="3"/>
      <c r="AK140" s="3"/>
      <c r="AL140" s="15">
        <f t="shared" ref="AL140:AL159" si="19">AH140+AI140+AJ140+AK140+AG140</f>
        <v>14934.9</v>
      </c>
      <c r="AM140" s="15">
        <f t="shared" si="18"/>
        <v>0</v>
      </c>
      <c r="AN140">
        <v>0</v>
      </c>
      <c r="AO140" s="15">
        <f t="shared" si="12"/>
        <v>0</v>
      </c>
      <c r="AQ140" s="15">
        <f t="shared" si="17"/>
        <v>0</v>
      </c>
    </row>
    <row r="141" spans="1:43" x14ac:dyDescent="0.25">
      <c r="A141">
        <v>134</v>
      </c>
      <c r="B141" s="10" t="s">
        <v>695</v>
      </c>
      <c r="C141" s="10" t="s">
        <v>1092</v>
      </c>
      <c r="D141" s="3" t="s">
        <v>696</v>
      </c>
      <c r="E141" s="3" t="s">
        <v>697</v>
      </c>
      <c r="F141" s="3" t="s">
        <v>698</v>
      </c>
      <c r="G141" s="3" t="s">
        <v>699</v>
      </c>
      <c r="H141" s="3" t="s">
        <v>14</v>
      </c>
      <c r="I141" s="3" t="s">
        <v>6</v>
      </c>
      <c r="J141" s="3"/>
      <c r="K141" s="3" t="s">
        <v>700</v>
      </c>
      <c r="L141" s="3"/>
      <c r="M141" s="3"/>
      <c r="N141" s="3"/>
      <c r="O141" s="3">
        <v>2136</v>
      </c>
      <c r="P141" s="3"/>
      <c r="Q141" s="4">
        <v>46081</v>
      </c>
      <c r="R141" s="5">
        <v>1682.26</v>
      </c>
      <c r="S141" s="3">
        <v>66</v>
      </c>
      <c r="T141" s="3"/>
      <c r="U141" s="3">
        <v>0</v>
      </c>
      <c r="V141" s="3" t="s">
        <v>8</v>
      </c>
      <c r="W141" s="5">
        <v>1682.26</v>
      </c>
      <c r="X141" s="3">
        <v>0</v>
      </c>
      <c r="Y141" s="3">
        <v>0</v>
      </c>
      <c r="Z141" s="3">
        <v>0</v>
      </c>
      <c r="AA141" s="3">
        <v>0</v>
      </c>
      <c r="AB141" s="5">
        <v>1682.26</v>
      </c>
      <c r="AD141" s="25" t="s">
        <v>1201</v>
      </c>
      <c r="AE141" s="25" t="s">
        <v>1253</v>
      </c>
      <c r="AF141" s="26">
        <v>1682.26</v>
      </c>
      <c r="AG141" s="33">
        <f>AF141</f>
        <v>1682.26</v>
      </c>
      <c r="AH141" s="18"/>
      <c r="AI141" s="3"/>
      <c r="AJ141" s="3"/>
      <c r="AK141" s="3"/>
      <c r="AL141" s="15">
        <f t="shared" si="19"/>
        <v>1682.26</v>
      </c>
      <c r="AM141" s="15">
        <f t="shared" si="18"/>
        <v>0</v>
      </c>
      <c r="AN141" s="15">
        <f>AM141</f>
        <v>0</v>
      </c>
      <c r="AO141" s="15">
        <f t="shared" si="12"/>
        <v>0</v>
      </c>
      <c r="AQ141" s="15">
        <f t="shared" si="17"/>
        <v>0</v>
      </c>
    </row>
    <row r="142" spans="1:43" x14ac:dyDescent="0.25">
      <c r="A142">
        <v>135</v>
      </c>
      <c r="B142" s="10" t="s">
        <v>701</v>
      </c>
      <c r="C142" s="10" t="s">
        <v>1272</v>
      </c>
      <c r="D142" s="3" t="s">
        <v>702</v>
      </c>
      <c r="E142" s="3" t="s">
        <v>703</v>
      </c>
      <c r="F142" s="3" t="s">
        <v>704</v>
      </c>
      <c r="G142" s="3" t="s">
        <v>705</v>
      </c>
      <c r="H142" s="3" t="s">
        <v>14</v>
      </c>
      <c r="I142" s="3" t="s">
        <v>6</v>
      </c>
      <c r="J142" s="3"/>
      <c r="K142" s="3" t="s">
        <v>706</v>
      </c>
      <c r="L142" s="3"/>
      <c r="M142" s="3"/>
      <c r="N142" s="3"/>
      <c r="O142" s="3"/>
      <c r="P142" s="3"/>
      <c r="Q142" s="4">
        <v>46056</v>
      </c>
      <c r="R142" s="5">
        <v>583.03</v>
      </c>
      <c r="S142" s="3">
        <v>113</v>
      </c>
      <c r="T142" s="3"/>
      <c r="U142" s="3">
        <v>0</v>
      </c>
      <c r="V142" s="3" t="s">
        <v>8</v>
      </c>
      <c r="W142" s="16">
        <v>583.03</v>
      </c>
      <c r="X142" s="3">
        <v>0</v>
      </c>
      <c r="Y142" s="3">
        <v>0</v>
      </c>
      <c r="Z142" s="3">
        <v>0</v>
      </c>
      <c r="AA142" s="3">
        <v>0</v>
      </c>
      <c r="AB142" s="5">
        <v>583.03</v>
      </c>
      <c r="AD142" s="25" t="s">
        <v>1149</v>
      </c>
      <c r="AE142" s="25" t="s">
        <v>1150</v>
      </c>
      <c r="AF142" s="26">
        <v>583.03</v>
      </c>
      <c r="AG142" s="34">
        <f>AF142</f>
        <v>583.03</v>
      </c>
      <c r="AH142" s="18"/>
      <c r="AI142" s="3"/>
      <c r="AJ142" s="3"/>
      <c r="AK142" s="3"/>
      <c r="AL142" s="15">
        <f t="shared" si="19"/>
        <v>583.03</v>
      </c>
      <c r="AM142" s="15">
        <f t="shared" si="18"/>
        <v>0</v>
      </c>
      <c r="AN142">
        <v>0</v>
      </c>
      <c r="AO142" s="15">
        <f t="shared" si="12"/>
        <v>0</v>
      </c>
      <c r="AQ142" s="15">
        <f t="shared" si="17"/>
        <v>0</v>
      </c>
    </row>
    <row r="143" spans="1:43" x14ac:dyDescent="0.25">
      <c r="A143">
        <v>136</v>
      </c>
      <c r="B143" s="10" t="s">
        <v>707</v>
      </c>
      <c r="C143" s="10" t="s">
        <v>1271</v>
      </c>
      <c r="D143" s="3" t="s">
        <v>708</v>
      </c>
      <c r="E143" s="3" t="s">
        <v>709</v>
      </c>
      <c r="F143" s="3" t="s">
        <v>710</v>
      </c>
      <c r="G143" s="3" t="s">
        <v>711</v>
      </c>
      <c r="H143" s="3" t="s">
        <v>249</v>
      </c>
      <c r="I143" s="3" t="s">
        <v>6</v>
      </c>
      <c r="J143" s="3" t="s">
        <v>15</v>
      </c>
      <c r="K143" s="3" t="s">
        <v>712</v>
      </c>
      <c r="L143" s="3"/>
      <c r="M143" s="3"/>
      <c r="N143" s="3" t="s">
        <v>22</v>
      </c>
      <c r="O143" s="3"/>
      <c r="P143" s="3"/>
      <c r="Q143" s="4">
        <v>45716</v>
      </c>
      <c r="R143" s="5">
        <v>154.88999999999999</v>
      </c>
      <c r="S143" s="3">
        <v>53</v>
      </c>
      <c r="T143" s="3"/>
      <c r="U143" s="3">
        <v>0</v>
      </c>
      <c r="V143" s="3" t="s">
        <v>8</v>
      </c>
      <c r="W143" s="3">
        <v>0</v>
      </c>
      <c r="X143" s="3">
        <v>0</v>
      </c>
      <c r="Y143" s="3">
        <v>0</v>
      </c>
      <c r="Z143" s="3">
        <v>0</v>
      </c>
      <c r="AA143" s="5">
        <v>0</v>
      </c>
      <c r="AB143" s="5">
        <v>0</v>
      </c>
      <c r="AD143" s="25"/>
      <c r="AE143" s="25"/>
      <c r="AF143" s="25"/>
      <c r="AG143" s="32"/>
      <c r="AH143" s="18"/>
      <c r="AI143" s="3"/>
      <c r="AJ143" s="3"/>
      <c r="AK143" s="5"/>
      <c r="AL143" s="15">
        <f t="shared" si="19"/>
        <v>0</v>
      </c>
      <c r="AM143" s="15">
        <v>0</v>
      </c>
      <c r="AN143">
        <v>0</v>
      </c>
      <c r="AO143" s="15">
        <f t="shared" si="12"/>
        <v>0</v>
      </c>
      <c r="AQ143" s="15">
        <f t="shared" si="17"/>
        <v>0</v>
      </c>
    </row>
    <row r="144" spans="1:43" x14ac:dyDescent="0.25">
      <c r="A144">
        <v>137</v>
      </c>
      <c r="B144" s="10" t="s">
        <v>713</v>
      </c>
      <c r="C144" s="10" t="s">
        <v>1275</v>
      </c>
      <c r="D144" s="3" t="s">
        <v>714</v>
      </c>
      <c r="E144" s="3" t="s">
        <v>715</v>
      </c>
      <c r="F144" s="3" t="s">
        <v>716</v>
      </c>
      <c r="G144" s="3" t="s">
        <v>717</v>
      </c>
      <c r="H144" s="3" t="s">
        <v>14</v>
      </c>
      <c r="I144" s="3" t="s">
        <v>6</v>
      </c>
      <c r="J144" s="3" t="s">
        <v>33</v>
      </c>
      <c r="K144" s="3" t="s">
        <v>718</v>
      </c>
      <c r="L144" s="3"/>
      <c r="M144" s="3"/>
      <c r="N144" s="3" t="s">
        <v>22</v>
      </c>
      <c r="O144" s="3"/>
      <c r="P144" s="3"/>
      <c r="Q144" s="3"/>
      <c r="R144" s="3">
        <v>0</v>
      </c>
      <c r="S144" s="3">
        <v>523</v>
      </c>
      <c r="T144" s="3"/>
      <c r="U144" s="3">
        <v>0</v>
      </c>
      <c r="V144" s="3" t="s">
        <v>8</v>
      </c>
      <c r="W144" s="3">
        <v>0</v>
      </c>
      <c r="X144" s="3">
        <v>0</v>
      </c>
      <c r="Y144" s="3">
        <v>0</v>
      </c>
      <c r="Z144" s="5">
        <v>1505.1</v>
      </c>
      <c r="AA144" s="3">
        <v>0</v>
      </c>
      <c r="AB144" s="5">
        <v>1505.1</v>
      </c>
      <c r="AD144" s="25"/>
      <c r="AE144" s="25"/>
      <c r="AF144" s="25"/>
      <c r="AG144" s="32"/>
      <c r="AH144" s="18"/>
      <c r="AI144" s="3"/>
      <c r="AJ144" s="5"/>
      <c r="AK144" s="3"/>
      <c r="AL144" s="15">
        <f t="shared" si="19"/>
        <v>0</v>
      </c>
      <c r="AM144" s="15">
        <f t="shared" si="18"/>
        <v>1505.1</v>
      </c>
      <c r="AN144" s="15">
        <f>AM144</f>
        <v>1505.1</v>
      </c>
      <c r="AO144" s="15">
        <f t="shared" si="12"/>
        <v>0</v>
      </c>
      <c r="AQ144" s="15">
        <f t="shared" si="17"/>
        <v>0</v>
      </c>
    </row>
    <row r="145" spans="1:43" x14ac:dyDescent="0.25">
      <c r="A145">
        <v>138</v>
      </c>
      <c r="B145" s="10" t="s">
        <v>719</v>
      </c>
      <c r="C145" s="10" t="s">
        <v>1093</v>
      </c>
      <c r="D145" s="3" t="s">
        <v>720</v>
      </c>
      <c r="E145" s="3" t="s">
        <v>721</v>
      </c>
      <c r="F145" s="3" t="s">
        <v>722</v>
      </c>
      <c r="G145" s="3" t="s">
        <v>723</v>
      </c>
      <c r="H145" s="3" t="s">
        <v>14</v>
      </c>
      <c r="I145" s="3" t="s">
        <v>6</v>
      </c>
      <c r="J145" s="3" t="s">
        <v>15</v>
      </c>
      <c r="K145" s="3" t="s">
        <v>724</v>
      </c>
      <c r="L145" s="3"/>
      <c r="M145" s="3"/>
      <c r="N145" s="3"/>
      <c r="O145" s="3">
        <v>1462</v>
      </c>
      <c r="P145" s="3"/>
      <c r="Q145" s="4">
        <v>46081</v>
      </c>
      <c r="R145" s="5">
        <v>60140.26</v>
      </c>
      <c r="S145" s="3">
        <v>549</v>
      </c>
      <c r="T145" s="3"/>
      <c r="U145" s="3">
        <v>0</v>
      </c>
      <c r="V145" s="3" t="s">
        <v>8</v>
      </c>
      <c r="W145" s="5">
        <v>60140.26</v>
      </c>
      <c r="X145" s="3">
        <v>0</v>
      </c>
      <c r="Y145" s="3">
        <v>0</v>
      </c>
      <c r="Z145" s="3">
        <v>0</v>
      </c>
      <c r="AA145" s="3">
        <v>0</v>
      </c>
      <c r="AB145" s="5">
        <v>60140.26</v>
      </c>
      <c r="AD145" s="25"/>
      <c r="AE145" s="25"/>
      <c r="AF145" s="25"/>
      <c r="AG145" s="32"/>
      <c r="AH145" s="18"/>
      <c r="AI145" s="3"/>
      <c r="AJ145" s="3"/>
      <c r="AK145" s="3"/>
      <c r="AL145" s="15">
        <f t="shared" si="19"/>
        <v>0</v>
      </c>
      <c r="AM145" s="15">
        <f t="shared" si="18"/>
        <v>60140.26</v>
      </c>
      <c r="AN145" s="15">
        <f t="shared" ref="AN145:AN147" si="20">AM145</f>
        <v>60140.26</v>
      </c>
      <c r="AO145" s="15">
        <f t="shared" si="12"/>
        <v>0</v>
      </c>
      <c r="AQ145" s="15">
        <f t="shared" si="17"/>
        <v>0</v>
      </c>
    </row>
    <row r="146" spans="1:43" x14ac:dyDescent="0.25">
      <c r="A146">
        <v>139</v>
      </c>
      <c r="B146" s="10" t="s">
        <v>725</v>
      </c>
      <c r="C146" s="10" t="s">
        <v>1094</v>
      </c>
      <c r="D146" s="3" t="s">
        <v>726</v>
      </c>
      <c r="E146" s="3" t="s">
        <v>727</v>
      </c>
      <c r="F146" s="3" t="s">
        <v>728</v>
      </c>
      <c r="G146" s="3" t="s">
        <v>729</v>
      </c>
      <c r="H146" s="3" t="s">
        <v>14</v>
      </c>
      <c r="I146" s="3" t="s">
        <v>6</v>
      </c>
      <c r="J146" s="3" t="s">
        <v>15</v>
      </c>
      <c r="K146" s="3" t="s">
        <v>730</v>
      </c>
      <c r="L146" s="3"/>
      <c r="M146" s="3"/>
      <c r="N146" s="3"/>
      <c r="O146" s="3"/>
      <c r="P146" s="3"/>
      <c r="Q146" s="4">
        <v>46081</v>
      </c>
      <c r="R146" s="5">
        <v>698.74</v>
      </c>
      <c r="S146" s="3">
        <v>78</v>
      </c>
      <c r="T146" s="3"/>
      <c r="U146" s="3">
        <v>0</v>
      </c>
      <c r="V146" s="3" t="s">
        <v>8</v>
      </c>
      <c r="W146" s="5">
        <v>349.37</v>
      </c>
      <c r="X146" s="3">
        <v>0</v>
      </c>
      <c r="Y146" s="3">
        <v>0</v>
      </c>
      <c r="Z146" s="3">
        <v>0</v>
      </c>
      <c r="AA146" s="3">
        <v>0</v>
      </c>
      <c r="AB146" s="5">
        <v>349.37</v>
      </c>
      <c r="AD146" s="25"/>
      <c r="AE146" s="25"/>
      <c r="AF146" s="25"/>
      <c r="AG146" s="32"/>
      <c r="AH146" s="18"/>
      <c r="AI146" s="3"/>
      <c r="AJ146" s="3"/>
      <c r="AK146" s="3"/>
      <c r="AL146" s="15">
        <f t="shared" si="19"/>
        <v>0</v>
      </c>
      <c r="AM146" s="15">
        <f t="shared" si="18"/>
        <v>349.37</v>
      </c>
      <c r="AN146" s="15">
        <f t="shared" si="20"/>
        <v>349.37</v>
      </c>
      <c r="AO146" s="15">
        <f t="shared" si="12"/>
        <v>0</v>
      </c>
      <c r="AQ146" s="15">
        <f t="shared" si="17"/>
        <v>0</v>
      </c>
    </row>
    <row r="147" spans="1:43" x14ac:dyDescent="0.25">
      <c r="A147">
        <v>140</v>
      </c>
      <c r="B147" s="10" t="s">
        <v>731</v>
      </c>
      <c r="C147" s="10" t="s">
        <v>1095</v>
      </c>
      <c r="D147" s="3" t="s">
        <v>732</v>
      </c>
      <c r="E147" s="3" t="s">
        <v>733</v>
      </c>
      <c r="F147" s="3" t="s">
        <v>734</v>
      </c>
      <c r="G147" s="3" t="s">
        <v>735</v>
      </c>
      <c r="H147" s="3" t="s">
        <v>14</v>
      </c>
      <c r="I147" s="3" t="s">
        <v>6</v>
      </c>
      <c r="J147" s="3"/>
      <c r="K147" s="3" t="s">
        <v>736</v>
      </c>
      <c r="L147" s="3"/>
      <c r="M147" s="3"/>
      <c r="N147" s="3"/>
      <c r="O147" s="3">
        <v>2037</v>
      </c>
      <c r="P147" s="3"/>
      <c r="Q147" s="4">
        <v>46080</v>
      </c>
      <c r="R147" s="5">
        <v>938.4</v>
      </c>
      <c r="S147" s="3">
        <v>106</v>
      </c>
      <c r="T147" s="3"/>
      <c r="U147" s="3">
        <v>0</v>
      </c>
      <c r="V147" s="3" t="s">
        <v>8</v>
      </c>
      <c r="W147" s="5">
        <v>938.4</v>
      </c>
      <c r="X147" s="3">
        <v>0</v>
      </c>
      <c r="Y147" s="3">
        <v>0</v>
      </c>
      <c r="Z147" s="3">
        <v>0</v>
      </c>
      <c r="AA147" s="3">
        <v>0</v>
      </c>
      <c r="AB147" s="5">
        <v>938.4</v>
      </c>
      <c r="AD147" s="25"/>
      <c r="AE147" s="25"/>
      <c r="AF147" s="25"/>
      <c r="AG147" s="32"/>
      <c r="AH147" s="18"/>
      <c r="AI147" s="3"/>
      <c r="AJ147" s="3"/>
      <c r="AK147" s="3"/>
      <c r="AL147" s="15">
        <f t="shared" si="19"/>
        <v>0</v>
      </c>
      <c r="AM147" s="15">
        <f t="shared" si="18"/>
        <v>938.4</v>
      </c>
      <c r="AN147" s="15">
        <f t="shared" si="20"/>
        <v>938.4</v>
      </c>
      <c r="AO147" s="15">
        <f t="shared" si="12"/>
        <v>0</v>
      </c>
      <c r="AQ147" s="15">
        <f t="shared" si="17"/>
        <v>0</v>
      </c>
    </row>
    <row r="148" spans="1:43" x14ac:dyDescent="0.25">
      <c r="A148">
        <v>141</v>
      </c>
      <c r="B148" s="10" t="s">
        <v>737</v>
      </c>
      <c r="C148" s="10" t="s">
        <v>1096</v>
      </c>
      <c r="D148" s="3" t="s">
        <v>738</v>
      </c>
      <c r="E148" s="3" t="s">
        <v>739</v>
      </c>
      <c r="F148" s="3"/>
      <c r="G148" s="3" t="s">
        <v>740</v>
      </c>
      <c r="H148" s="3" t="s">
        <v>14</v>
      </c>
      <c r="I148" s="3"/>
      <c r="J148" s="3"/>
      <c r="K148" s="3" t="s">
        <v>741</v>
      </c>
      <c r="L148" s="3"/>
      <c r="M148" s="3"/>
      <c r="N148" s="3"/>
      <c r="O148" s="3">
        <v>2144</v>
      </c>
      <c r="P148" s="3"/>
      <c r="Q148" s="4">
        <v>46077</v>
      </c>
      <c r="R148" s="5">
        <v>2817.5</v>
      </c>
      <c r="S148" s="3">
        <v>179</v>
      </c>
      <c r="T148" s="3"/>
      <c r="U148" s="3">
        <v>0</v>
      </c>
      <c r="V148" s="3" t="s">
        <v>8</v>
      </c>
      <c r="W148" s="5">
        <v>2817.5</v>
      </c>
      <c r="X148" s="3">
        <v>0</v>
      </c>
      <c r="Y148" s="3">
        <v>0</v>
      </c>
      <c r="Z148" s="3">
        <v>0</v>
      </c>
      <c r="AA148" s="3">
        <v>0</v>
      </c>
      <c r="AB148" s="5">
        <v>2817.5</v>
      </c>
      <c r="AD148" s="25" t="s">
        <v>1163</v>
      </c>
      <c r="AE148" s="25" t="s">
        <v>737</v>
      </c>
      <c r="AF148" s="26">
        <v>2817.5</v>
      </c>
      <c r="AG148" s="32"/>
      <c r="AH148" s="19">
        <f>AF148</f>
        <v>2817.5</v>
      </c>
      <c r="AI148" s="3"/>
      <c r="AJ148" s="3"/>
      <c r="AK148" s="3"/>
      <c r="AL148" s="15">
        <f t="shared" si="19"/>
        <v>2817.5</v>
      </c>
      <c r="AM148" s="15">
        <f t="shared" si="18"/>
        <v>0</v>
      </c>
      <c r="AN148">
        <v>0</v>
      </c>
      <c r="AO148" s="15">
        <f t="shared" si="12"/>
        <v>0</v>
      </c>
      <c r="AQ148" s="15">
        <f t="shared" si="17"/>
        <v>0</v>
      </c>
    </row>
    <row r="149" spans="1:43" x14ac:dyDescent="0.25">
      <c r="A149">
        <v>142</v>
      </c>
      <c r="B149" s="10" t="s">
        <v>742</v>
      </c>
      <c r="C149" s="10" t="s">
        <v>1097</v>
      </c>
      <c r="D149" s="3" t="s">
        <v>743</v>
      </c>
      <c r="E149" s="3" t="s">
        <v>744</v>
      </c>
      <c r="F149" s="3" t="s">
        <v>745</v>
      </c>
      <c r="G149" s="3" t="s">
        <v>746</v>
      </c>
      <c r="H149" s="3" t="s">
        <v>14</v>
      </c>
      <c r="I149" s="3" t="s">
        <v>6</v>
      </c>
      <c r="J149" s="3" t="s">
        <v>15</v>
      </c>
      <c r="K149" s="3" t="s">
        <v>747</v>
      </c>
      <c r="L149" s="3"/>
      <c r="M149" s="3"/>
      <c r="N149" s="3" t="s">
        <v>22</v>
      </c>
      <c r="O149" s="3"/>
      <c r="P149" s="3"/>
      <c r="Q149" s="4">
        <v>46081</v>
      </c>
      <c r="R149" s="5">
        <v>232.14</v>
      </c>
      <c r="S149" s="3">
        <v>68</v>
      </c>
      <c r="T149" s="3"/>
      <c r="U149" s="3">
        <v>0</v>
      </c>
      <c r="V149" s="3" t="s">
        <v>8</v>
      </c>
      <c r="W149" s="5">
        <v>232.14</v>
      </c>
      <c r="X149" s="3">
        <v>0</v>
      </c>
      <c r="Y149" s="3">
        <v>0</v>
      </c>
      <c r="Z149" s="3">
        <v>0</v>
      </c>
      <c r="AA149" s="3">
        <v>0</v>
      </c>
      <c r="AB149" s="5">
        <v>232.14</v>
      </c>
      <c r="AD149" s="25"/>
      <c r="AE149" s="25"/>
      <c r="AF149" s="25"/>
      <c r="AG149" s="32"/>
      <c r="AH149" s="18"/>
      <c r="AI149" s="3"/>
      <c r="AJ149" s="3"/>
      <c r="AK149" s="3"/>
      <c r="AL149" s="15">
        <f t="shared" si="19"/>
        <v>0</v>
      </c>
      <c r="AM149" s="15">
        <f t="shared" si="18"/>
        <v>232.14</v>
      </c>
      <c r="AN149" s="15">
        <f>AM149</f>
        <v>232.14</v>
      </c>
      <c r="AO149" s="15">
        <f t="shared" si="12"/>
        <v>0</v>
      </c>
      <c r="AQ149" s="15">
        <f t="shared" si="17"/>
        <v>0</v>
      </c>
    </row>
    <row r="150" spans="1:43" x14ac:dyDescent="0.25">
      <c r="A150">
        <v>143</v>
      </c>
      <c r="B150" s="10">
        <v>1119</v>
      </c>
      <c r="C150" s="10" t="s">
        <v>1271</v>
      </c>
      <c r="D150" s="3" t="s">
        <v>748</v>
      </c>
      <c r="E150" s="3" t="s">
        <v>749</v>
      </c>
      <c r="F150" s="3" t="s">
        <v>750</v>
      </c>
      <c r="G150" s="3" t="s">
        <v>751</v>
      </c>
      <c r="H150" s="3" t="s">
        <v>14</v>
      </c>
      <c r="I150" s="3" t="s">
        <v>6</v>
      </c>
      <c r="J150" s="3" t="s">
        <v>33</v>
      </c>
      <c r="K150" s="3" t="s">
        <v>752</v>
      </c>
      <c r="L150" s="3" t="s">
        <v>753</v>
      </c>
      <c r="M150" s="3" t="s">
        <v>754</v>
      </c>
      <c r="N150" s="3"/>
      <c r="O150" s="3">
        <v>3910</v>
      </c>
      <c r="P150" s="3"/>
      <c r="Q150" s="4">
        <v>45847</v>
      </c>
      <c r="R150" s="5">
        <v>5000</v>
      </c>
      <c r="S150" s="3">
        <v>300</v>
      </c>
      <c r="T150" s="3"/>
      <c r="U150" s="3">
        <v>0</v>
      </c>
      <c r="V150" s="3" t="s">
        <v>8</v>
      </c>
      <c r="W150" s="3">
        <v>0</v>
      </c>
      <c r="X150" s="3">
        <v>0</v>
      </c>
      <c r="Y150" s="3">
        <v>0</v>
      </c>
      <c r="Z150" s="3">
        <v>0</v>
      </c>
      <c r="AA150" s="5">
        <v>88002.8</v>
      </c>
      <c r="AB150" s="5">
        <v>88002.8</v>
      </c>
      <c r="AD150" s="25"/>
      <c r="AE150" s="25"/>
      <c r="AF150" s="25"/>
      <c r="AG150" s="32"/>
      <c r="AH150" s="18"/>
      <c r="AI150" s="3"/>
      <c r="AJ150" s="3"/>
      <c r="AK150" s="5"/>
      <c r="AL150" s="15">
        <f t="shared" si="19"/>
        <v>0</v>
      </c>
      <c r="AM150" s="15">
        <f t="shared" si="18"/>
        <v>88002.8</v>
      </c>
      <c r="AN150" s="15">
        <f>AM150</f>
        <v>88002.8</v>
      </c>
      <c r="AO150" s="15">
        <f t="shared" si="12"/>
        <v>0</v>
      </c>
      <c r="AQ150" s="15">
        <f t="shared" si="17"/>
        <v>0</v>
      </c>
    </row>
    <row r="151" spans="1:43" x14ac:dyDescent="0.25">
      <c r="A151">
        <v>144</v>
      </c>
      <c r="B151" s="10">
        <v>2275</v>
      </c>
      <c r="C151" s="10" t="s">
        <v>1098</v>
      </c>
      <c r="D151" s="3" t="s">
        <v>755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>
        <v>0</v>
      </c>
      <c r="S151" s="3">
        <v>31</v>
      </c>
      <c r="T151" s="3"/>
      <c r="U151" s="3">
        <v>0</v>
      </c>
      <c r="V151" s="3" t="s">
        <v>8</v>
      </c>
      <c r="W151" s="5">
        <v>13436.6</v>
      </c>
      <c r="X151" s="3">
        <v>0</v>
      </c>
      <c r="Y151" s="3">
        <v>0</v>
      </c>
      <c r="Z151" s="3">
        <v>0</v>
      </c>
      <c r="AA151" s="3">
        <v>0</v>
      </c>
      <c r="AB151" s="5">
        <v>13436.6</v>
      </c>
      <c r="AD151" s="25"/>
      <c r="AE151" s="25"/>
      <c r="AF151" s="25"/>
      <c r="AG151" s="32"/>
      <c r="AH151" s="18"/>
      <c r="AI151" s="3"/>
      <c r="AJ151" s="3"/>
      <c r="AK151" s="3"/>
      <c r="AL151" s="15">
        <f t="shared" si="19"/>
        <v>0</v>
      </c>
      <c r="AM151" s="15">
        <f t="shared" si="18"/>
        <v>13436.6</v>
      </c>
      <c r="AN151">
        <v>13436.6</v>
      </c>
      <c r="AO151" s="15">
        <f t="shared" si="12"/>
        <v>0</v>
      </c>
      <c r="AQ151" s="15">
        <f t="shared" si="17"/>
        <v>0</v>
      </c>
    </row>
    <row r="152" spans="1:43" x14ac:dyDescent="0.25">
      <c r="A152">
        <v>145</v>
      </c>
      <c r="B152" s="10" t="s">
        <v>756</v>
      </c>
      <c r="C152" s="10" t="s">
        <v>1271</v>
      </c>
      <c r="D152" s="3" t="s">
        <v>757</v>
      </c>
      <c r="E152" s="3" t="s">
        <v>758</v>
      </c>
      <c r="F152" s="3" t="s">
        <v>759</v>
      </c>
      <c r="G152" s="3" t="s">
        <v>760</v>
      </c>
      <c r="H152" s="3" t="s">
        <v>236</v>
      </c>
      <c r="I152" s="3" t="s">
        <v>6</v>
      </c>
      <c r="J152" s="3" t="s">
        <v>33</v>
      </c>
      <c r="K152" s="3" t="s">
        <v>761</v>
      </c>
      <c r="L152" s="3"/>
      <c r="M152" s="3"/>
      <c r="N152" s="3"/>
      <c r="O152" s="3">
        <v>2128</v>
      </c>
      <c r="P152" s="3"/>
      <c r="Q152" s="4">
        <v>43231</v>
      </c>
      <c r="R152" s="5">
        <v>164934.66</v>
      </c>
      <c r="S152" s="3">
        <v>1540</v>
      </c>
      <c r="T152" s="3"/>
      <c r="U152" s="3">
        <v>0</v>
      </c>
      <c r="V152" s="3" t="s">
        <v>8</v>
      </c>
      <c r="W152" s="3">
        <v>0</v>
      </c>
      <c r="X152" s="3">
        <v>0</v>
      </c>
      <c r="Y152" s="3">
        <v>0</v>
      </c>
      <c r="Z152" s="3">
        <v>0</v>
      </c>
      <c r="AA152" s="5">
        <v>0</v>
      </c>
      <c r="AB152" s="5">
        <v>0</v>
      </c>
      <c r="AD152" s="25"/>
      <c r="AE152" s="25"/>
      <c r="AF152" s="25"/>
      <c r="AG152" s="32"/>
      <c r="AH152" s="18"/>
      <c r="AI152" s="3"/>
      <c r="AJ152" s="3"/>
      <c r="AK152" s="5"/>
      <c r="AL152" s="15">
        <f t="shared" si="19"/>
        <v>0</v>
      </c>
      <c r="AM152" s="15">
        <f t="shared" si="18"/>
        <v>0</v>
      </c>
      <c r="AO152" s="15">
        <f t="shared" ref="AO152:AO194" si="21">AM152-AN152</f>
        <v>0</v>
      </c>
      <c r="AQ152" s="15">
        <f t="shared" si="17"/>
        <v>0</v>
      </c>
    </row>
    <row r="153" spans="1:43" x14ac:dyDescent="0.25">
      <c r="A153">
        <v>146</v>
      </c>
      <c r="B153" s="10">
        <v>682</v>
      </c>
      <c r="C153" s="10" t="s">
        <v>1099</v>
      </c>
      <c r="D153" s="3" t="s">
        <v>762</v>
      </c>
      <c r="E153" s="3" t="s">
        <v>763</v>
      </c>
      <c r="F153" s="3" t="s">
        <v>764</v>
      </c>
      <c r="G153" s="3" t="s">
        <v>765</v>
      </c>
      <c r="H153" s="3" t="s">
        <v>14</v>
      </c>
      <c r="I153" s="3" t="s">
        <v>6</v>
      </c>
      <c r="J153" s="3" t="s">
        <v>15</v>
      </c>
      <c r="K153" s="3"/>
      <c r="L153" s="3"/>
      <c r="M153" s="3"/>
      <c r="N153" s="3"/>
      <c r="O153" s="3"/>
      <c r="P153" s="3"/>
      <c r="Q153" s="4">
        <v>46081</v>
      </c>
      <c r="R153" s="5">
        <v>5559.8</v>
      </c>
      <c r="S153" s="3">
        <v>261</v>
      </c>
      <c r="T153" s="3"/>
      <c r="U153" s="3">
        <v>0</v>
      </c>
      <c r="V153" s="3" t="s">
        <v>8</v>
      </c>
      <c r="W153" s="5">
        <v>5559.8</v>
      </c>
      <c r="X153" s="3">
        <v>0</v>
      </c>
      <c r="Y153" s="3">
        <v>0</v>
      </c>
      <c r="Z153" s="3">
        <v>0</v>
      </c>
      <c r="AA153" s="3">
        <v>0</v>
      </c>
      <c r="AB153" s="5">
        <v>5559.8</v>
      </c>
      <c r="AD153" s="25" t="s">
        <v>1201</v>
      </c>
      <c r="AE153" s="25" t="s">
        <v>762</v>
      </c>
      <c r="AF153" s="26">
        <v>5559.8</v>
      </c>
      <c r="AG153" s="33">
        <f>W153</f>
        <v>5559.8</v>
      </c>
      <c r="AH153" s="18"/>
      <c r="AI153" s="3"/>
      <c r="AJ153" s="3"/>
      <c r="AK153" s="3"/>
      <c r="AL153" s="15">
        <f t="shared" si="19"/>
        <v>5559.8</v>
      </c>
      <c r="AM153" s="15">
        <f t="shared" si="18"/>
        <v>0</v>
      </c>
      <c r="AN153" s="15">
        <f>AM153</f>
        <v>0</v>
      </c>
      <c r="AO153" s="15">
        <f t="shared" si="21"/>
        <v>0</v>
      </c>
      <c r="AQ153" s="15">
        <f t="shared" si="17"/>
        <v>0</v>
      </c>
    </row>
    <row r="154" spans="1:43" x14ac:dyDescent="0.25">
      <c r="A154">
        <v>147</v>
      </c>
      <c r="B154" s="10">
        <v>2276</v>
      </c>
      <c r="C154" s="10" t="s">
        <v>1100</v>
      </c>
      <c r="D154" s="3" t="s">
        <v>766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>
        <v>0</v>
      </c>
      <c r="S154" s="3">
        <v>31</v>
      </c>
      <c r="T154" s="3"/>
      <c r="U154" s="3">
        <v>0</v>
      </c>
      <c r="V154" s="3" t="s">
        <v>8</v>
      </c>
      <c r="W154" s="5">
        <v>19807.599999999999</v>
      </c>
      <c r="X154" s="3">
        <v>0</v>
      </c>
      <c r="Y154" s="3">
        <v>0</v>
      </c>
      <c r="Z154" s="3">
        <v>0</v>
      </c>
      <c r="AA154" s="3">
        <v>0</v>
      </c>
      <c r="AB154" s="5">
        <v>19807.599999999999</v>
      </c>
      <c r="AD154" s="25"/>
      <c r="AE154" s="25"/>
      <c r="AF154" s="25"/>
      <c r="AG154" s="32"/>
      <c r="AH154" s="18"/>
      <c r="AI154" s="3"/>
      <c r="AJ154" s="3"/>
      <c r="AK154" s="3"/>
      <c r="AL154" s="15">
        <f t="shared" si="19"/>
        <v>0</v>
      </c>
      <c r="AM154" s="15">
        <f t="shared" si="18"/>
        <v>19807.599999999999</v>
      </c>
      <c r="AN154" s="15">
        <v>19807.599999999999</v>
      </c>
      <c r="AO154" s="15">
        <f t="shared" si="21"/>
        <v>0</v>
      </c>
      <c r="AQ154" s="15">
        <f t="shared" si="17"/>
        <v>0</v>
      </c>
    </row>
    <row r="155" spans="1:43" x14ac:dyDescent="0.25">
      <c r="A155">
        <v>148</v>
      </c>
      <c r="B155" s="10" t="s">
        <v>767</v>
      </c>
      <c r="C155" s="10" t="s">
        <v>1101</v>
      </c>
      <c r="D155" s="3" t="s">
        <v>768</v>
      </c>
      <c r="E155" s="3" t="s">
        <v>769</v>
      </c>
      <c r="F155" s="3" t="s">
        <v>770</v>
      </c>
      <c r="G155" s="3" t="s">
        <v>771</v>
      </c>
      <c r="H155" s="3" t="s">
        <v>14</v>
      </c>
      <c r="I155" s="3"/>
      <c r="J155" s="3"/>
      <c r="K155" s="3" t="s">
        <v>772</v>
      </c>
      <c r="L155" s="3"/>
      <c r="M155" s="3"/>
      <c r="N155" s="3"/>
      <c r="O155" s="3">
        <v>1465</v>
      </c>
      <c r="P155" s="3"/>
      <c r="Q155" s="4">
        <v>46052</v>
      </c>
      <c r="R155" s="5">
        <v>21721.360000000001</v>
      </c>
      <c r="S155" s="3">
        <v>172</v>
      </c>
      <c r="T155" s="3"/>
      <c r="U155" s="3">
        <v>0</v>
      </c>
      <c r="V155" s="3" t="s">
        <v>8</v>
      </c>
      <c r="W155" s="5">
        <v>10860.68</v>
      </c>
      <c r="X155" s="5">
        <v>10860.68</v>
      </c>
      <c r="Y155" s="3">
        <v>0</v>
      </c>
      <c r="Z155" s="3">
        <v>0</v>
      </c>
      <c r="AA155" s="3">
        <v>0</v>
      </c>
      <c r="AB155" s="5">
        <v>21721.360000000001</v>
      </c>
      <c r="AD155" s="25" t="s">
        <v>1154</v>
      </c>
      <c r="AE155" s="25" t="s">
        <v>1171</v>
      </c>
      <c r="AF155" s="26">
        <v>10860.68</v>
      </c>
      <c r="AG155" s="32"/>
      <c r="AH155" s="19">
        <f>X155</f>
        <v>10860.68</v>
      </c>
      <c r="AI155" s="3"/>
      <c r="AJ155" s="3"/>
      <c r="AK155" s="3"/>
      <c r="AL155" s="15">
        <f t="shared" si="19"/>
        <v>10860.68</v>
      </c>
      <c r="AM155" s="15">
        <f t="shared" si="18"/>
        <v>10860.68</v>
      </c>
      <c r="AN155">
        <v>10860.68</v>
      </c>
      <c r="AO155" s="15">
        <f t="shared" si="21"/>
        <v>0</v>
      </c>
      <c r="AQ155" s="15">
        <f t="shared" si="17"/>
        <v>0</v>
      </c>
    </row>
    <row r="156" spans="1:43" x14ac:dyDescent="0.25">
      <c r="A156">
        <v>149</v>
      </c>
      <c r="B156" s="10" t="s">
        <v>773</v>
      </c>
      <c r="C156" s="10" t="s">
        <v>1102</v>
      </c>
      <c r="D156" s="3" t="s">
        <v>774</v>
      </c>
      <c r="E156" s="3" t="s">
        <v>774</v>
      </c>
      <c r="F156" s="3" t="s">
        <v>775</v>
      </c>
      <c r="G156" s="3" t="s">
        <v>776</v>
      </c>
      <c r="H156" s="3" t="s">
        <v>14</v>
      </c>
      <c r="I156" s="3" t="s">
        <v>6</v>
      </c>
      <c r="J156" s="3" t="s">
        <v>15</v>
      </c>
      <c r="K156" s="3" t="s">
        <v>777</v>
      </c>
      <c r="L156" s="3"/>
      <c r="M156" s="3"/>
      <c r="N156" s="3"/>
      <c r="O156" s="3">
        <v>2196</v>
      </c>
      <c r="P156" s="3"/>
      <c r="Q156" s="4">
        <v>46081</v>
      </c>
      <c r="R156" s="5">
        <v>162.97999999999999</v>
      </c>
      <c r="S156" s="3">
        <v>60</v>
      </c>
      <c r="T156" s="3"/>
      <c r="U156" s="3">
        <v>0</v>
      </c>
      <c r="V156" s="3" t="s">
        <v>8</v>
      </c>
      <c r="W156" s="5">
        <v>162.97999999999999</v>
      </c>
      <c r="X156" s="3">
        <v>0</v>
      </c>
      <c r="Y156" s="3">
        <v>0</v>
      </c>
      <c r="Z156" s="3">
        <v>0</v>
      </c>
      <c r="AA156" s="3">
        <v>0</v>
      </c>
      <c r="AB156" s="5">
        <v>162.97999999999999</v>
      </c>
      <c r="AD156" s="25"/>
      <c r="AE156" s="25"/>
      <c r="AF156" s="25"/>
      <c r="AG156" s="32"/>
      <c r="AH156" s="18"/>
      <c r="AI156" s="3"/>
      <c r="AJ156" s="3"/>
      <c r="AK156" s="3"/>
      <c r="AL156" s="15">
        <f t="shared" si="19"/>
        <v>0</v>
      </c>
      <c r="AM156" s="15">
        <f t="shared" si="18"/>
        <v>162.97999999999999</v>
      </c>
      <c r="AN156" s="15">
        <f>AM156</f>
        <v>162.97999999999999</v>
      </c>
      <c r="AO156" s="15">
        <f t="shared" si="21"/>
        <v>0</v>
      </c>
      <c r="AQ156" s="15">
        <f t="shared" si="17"/>
        <v>0</v>
      </c>
    </row>
    <row r="157" spans="1:43" x14ac:dyDescent="0.25">
      <c r="A157">
        <v>150</v>
      </c>
      <c r="B157" s="10" t="s">
        <v>778</v>
      </c>
      <c r="C157" s="10" t="s">
        <v>1103</v>
      </c>
      <c r="D157" s="3" t="s">
        <v>779</v>
      </c>
      <c r="E157" s="3" t="s">
        <v>314</v>
      </c>
      <c r="F157" s="3" t="s">
        <v>315</v>
      </c>
      <c r="G157" s="3" t="s">
        <v>316</v>
      </c>
      <c r="H157" s="3" t="s">
        <v>14</v>
      </c>
      <c r="I157" s="3" t="s">
        <v>6</v>
      </c>
      <c r="J157" s="3"/>
      <c r="K157" s="3" t="s">
        <v>780</v>
      </c>
      <c r="L157" s="3"/>
      <c r="M157" s="3"/>
      <c r="N157" s="3"/>
      <c r="O157" s="3">
        <v>1540</v>
      </c>
      <c r="P157" s="3"/>
      <c r="Q157" s="4">
        <v>46081</v>
      </c>
      <c r="R157" s="5">
        <v>8345.5</v>
      </c>
      <c r="S157" s="3">
        <v>43</v>
      </c>
      <c r="T157" s="3"/>
      <c r="U157" s="3">
        <v>0</v>
      </c>
      <c r="V157" s="3" t="s">
        <v>8</v>
      </c>
      <c r="W157" s="5">
        <v>8345.5</v>
      </c>
      <c r="X157" s="3">
        <v>0</v>
      </c>
      <c r="Y157" s="3">
        <v>0</v>
      </c>
      <c r="Z157" s="3">
        <v>0</v>
      </c>
      <c r="AA157" s="3">
        <v>0</v>
      </c>
      <c r="AB157" s="5">
        <v>8345.5</v>
      </c>
      <c r="AD157" s="25"/>
      <c r="AE157" s="25"/>
      <c r="AF157" s="25"/>
      <c r="AG157" s="32"/>
      <c r="AH157" s="18"/>
      <c r="AI157" s="3"/>
      <c r="AJ157" s="3"/>
      <c r="AK157" s="3"/>
      <c r="AL157" s="15">
        <f t="shared" si="19"/>
        <v>0</v>
      </c>
      <c r="AM157" s="15">
        <f t="shared" si="18"/>
        <v>8345.5</v>
      </c>
      <c r="AN157" s="15">
        <f t="shared" ref="AN157:AN158" si="22">AM157</f>
        <v>8345.5</v>
      </c>
      <c r="AO157" s="15">
        <f t="shared" si="21"/>
        <v>0</v>
      </c>
      <c r="AQ157" s="15">
        <f t="shared" si="17"/>
        <v>0</v>
      </c>
    </row>
    <row r="158" spans="1:43" x14ac:dyDescent="0.25">
      <c r="A158">
        <v>151</v>
      </c>
      <c r="B158" s="10" t="s">
        <v>781</v>
      </c>
      <c r="C158" s="10" t="s">
        <v>1104</v>
      </c>
      <c r="D158" s="3" t="s">
        <v>782</v>
      </c>
      <c r="E158" s="3" t="s">
        <v>783</v>
      </c>
      <c r="F158" s="3"/>
      <c r="G158" s="3" t="s">
        <v>784</v>
      </c>
      <c r="H158" s="3" t="s">
        <v>14</v>
      </c>
      <c r="I158" s="3" t="s">
        <v>6</v>
      </c>
      <c r="J158" s="3" t="s">
        <v>15</v>
      </c>
      <c r="K158" s="3" t="s">
        <v>785</v>
      </c>
      <c r="L158" s="3"/>
      <c r="M158" s="3"/>
      <c r="N158" s="3" t="s">
        <v>22</v>
      </c>
      <c r="O158" s="3"/>
      <c r="P158" s="3"/>
      <c r="Q158" s="4">
        <v>46081</v>
      </c>
      <c r="R158" s="5">
        <v>297.85000000000002</v>
      </c>
      <c r="S158" s="3">
        <v>68</v>
      </c>
      <c r="T158" s="3"/>
      <c r="U158" s="3">
        <v>0</v>
      </c>
      <c r="V158" s="3" t="s">
        <v>8</v>
      </c>
      <c r="W158" s="5">
        <v>297.85000000000002</v>
      </c>
      <c r="X158" s="3">
        <v>0</v>
      </c>
      <c r="Y158" s="3">
        <v>0</v>
      </c>
      <c r="Z158" s="3">
        <v>0</v>
      </c>
      <c r="AA158" s="3">
        <v>0</v>
      </c>
      <c r="AB158" s="5">
        <v>297.85000000000002</v>
      </c>
      <c r="AD158" s="25"/>
      <c r="AE158" s="25"/>
      <c r="AF158" s="25"/>
      <c r="AG158" s="32"/>
      <c r="AH158" s="18"/>
      <c r="AI158" s="3"/>
      <c r="AJ158" s="3"/>
      <c r="AK158" s="3"/>
      <c r="AL158" s="15">
        <f t="shared" si="19"/>
        <v>0</v>
      </c>
      <c r="AM158" s="15">
        <f t="shared" si="18"/>
        <v>297.85000000000002</v>
      </c>
      <c r="AN158" s="15">
        <f t="shared" si="22"/>
        <v>297.85000000000002</v>
      </c>
      <c r="AO158" s="15">
        <f t="shared" si="21"/>
        <v>0</v>
      </c>
      <c r="AQ158" s="15">
        <f t="shared" si="17"/>
        <v>0</v>
      </c>
    </row>
    <row r="159" spans="1:43" x14ac:dyDescent="0.25">
      <c r="A159">
        <v>152</v>
      </c>
      <c r="B159" s="10" t="s">
        <v>786</v>
      </c>
      <c r="C159" s="10" t="s">
        <v>1271</v>
      </c>
      <c r="D159" s="3" t="s">
        <v>787</v>
      </c>
      <c r="E159" s="3" t="s">
        <v>788</v>
      </c>
      <c r="F159" s="3" t="s">
        <v>789</v>
      </c>
      <c r="G159" s="3" t="s">
        <v>790</v>
      </c>
      <c r="H159" s="3" t="s">
        <v>82</v>
      </c>
      <c r="I159" s="3" t="s">
        <v>6</v>
      </c>
      <c r="J159" s="3" t="s">
        <v>15</v>
      </c>
      <c r="K159" s="3" t="s">
        <v>791</v>
      </c>
      <c r="L159" s="3"/>
      <c r="M159" s="3"/>
      <c r="N159" s="3"/>
      <c r="O159" s="6" t="s">
        <v>792</v>
      </c>
      <c r="P159" s="3"/>
      <c r="Q159" s="4">
        <v>43565</v>
      </c>
      <c r="R159" s="3">
        <v>0</v>
      </c>
      <c r="S159" s="3">
        <v>432</v>
      </c>
      <c r="T159" s="3" t="s">
        <v>793</v>
      </c>
      <c r="U159" s="3">
        <v>0</v>
      </c>
      <c r="V159" s="3" t="s">
        <v>8</v>
      </c>
      <c r="W159" s="3">
        <v>0</v>
      </c>
      <c r="X159" s="3">
        <v>0</v>
      </c>
      <c r="Y159" s="3">
        <v>0</v>
      </c>
      <c r="Z159" s="3">
        <v>0</v>
      </c>
      <c r="AA159" s="3">
        <v>0.01</v>
      </c>
      <c r="AB159" s="3">
        <v>0.01</v>
      </c>
      <c r="AD159" s="25"/>
      <c r="AE159" s="25"/>
      <c r="AF159" s="25"/>
      <c r="AG159" s="32"/>
      <c r="AH159" s="18"/>
      <c r="AI159" s="3"/>
      <c r="AJ159" s="3"/>
      <c r="AK159" s="3"/>
      <c r="AL159" s="15">
        <f t="shared" si="19"/>
        <v>0</v>
      </c>
      <c r="AM159" s="15">
        <f t="shared" si="18"/>
        <v>0.01</v>
      </c>
      <c r="AO159" s="15">
        <f t="shared" si="21"/>
        <v>0.01</v>
      </c>
      <c r="AQ159" s="15">
        <f t="shared" si="17"/>
        <v>0</v>
      </c>
    </row>
    <row r="160" spans="1:43" x14ac:dyDescent="0.25">
      <c r="A160">
        <v>153</v>
      </c>
      <c r="B160" s="10" t="s">
        <v>794</v>
      </c>
      <c r="C160" s="10" t="s">
        <v>1105</v>
      </c>
      <c r="D160" s="3" t="s">
        <v>795</v>
      </c>
      <c r="E160" s="3" t="s">
        <v>796</v>
      </c>
      <c r="F160" s="3" t="s">
        <v>797</v>
      </c>
      <c r="G160" s="3" t="s">
        <v>798</v>
      </c>
      <c r="H160" s="3" t="s">
        <v>14</v>
      </c>
      <c r="I160" s="3" t="s">
        <v>6</v>
      </c>
      <c r="J160" s="3"/>
      <c r="K160" s="3" t="s">
        <v>799</v>
      </c>
      <c r="L160" s="3"/>
      <c r="M160" s="3"/>
      <c r="N160" s="3"/>
      <c r="O160" s="6" t="s">
        <v>800</v>
      </c>
      <c r="P160" s="3"/>
      <c r="Q160" s="4">
        <v>46080</v>
      </c>
      <c r="R160" s="5">
        <v>71630.789999999994</v>
      </c>
      <c r="S160" s="3">
        <v>346</v>
      </c>
      <c r="T160" s="3"/>
      <c r="U160" s="3">
        <v>0</v>
      </c>
      <c r="V160" s="3" t="s">
        <v>8</v>
      </c>
      <c r="W160" s="5">
        <v>5017</v>
      </c>
      <c r="X160" s="3">
        <v>0</v>
      </c>
      <c r="Y160" s="3">
        <v>0</v>
      </c>
      <c r="Z160" s="3">
        <v>0</v>
      </c>
      <c r="AA160" s="5">
        <v>-0.01</v>
      </c>
      <c r="AB160" s="5">
        <v>5016.99</v>
      </c>
      <c r="AD160" s="25" t="s">
        <v>1167</v>
      </c>
      <c r="AE160" s="25" t="s">
        <v>1168</v>
      </c>
      <c r="AF160" s="26">
        <v>5017</v>
      </c>
      <c r="AG160" s="33">
        <f>W160</f>
        <v>5017</v>
      </c>
      <c r="AH160" s="18"/>
      <c r="AI160" s="3"/>
      <c r="AJ160" s="3"/>
      <c r="AK160" s="5"/>
      <c r="AL160" s="15">
        <f>AH160+AI160+AJ160+AK160+AG160</f>
        <v>5017</v>
      </c>
      <c r="AM160" s="15">
        <f t="shared" si="18"/>
        <v>-1.0000000000218279E-2</v>
      </c>
      <c r="AN160">
        <v>0</v>
      </c>
      <c r="AO160" s="15">
        <f t="shared" si="21"/>
        <v>-1.0000000000218279E-2</v>
      </c>
      <c r="AQ160" s="15">
        <f t="shared" si="17"/>
        <v>0</v>
      </c>
    </row>
    <row r="161" spans="1:43" x14ac:dyDescent="0.25">
      <c r="A161">
        <v>154</v>
      </c>
      <c r="B161" s="10" t="s">
        <v>801</v>
      </c>
      <c r="C161" s="3" t="s">
        <v>1106</v>
      </c>
      <c r="D161" s="3" t="s">
        <v>802</v>
      </c>
      <c r="E161" s="3" t="s">
        <v>803</v>
      </c>
      <c r="F161" s="3" t="s">
        <v>804</v>
      </c>
      <c r="G161" s="3" t="s">
        <v>805</v>
      </c>
      <c r="H161" s="3" t="s">
        <v>14</v>
      </c>
      <c r="I161" s="3"/>
      <c r="J161" s="3"/>
      <c r="K161" s="3" t="s">
        <v>806</v>
      </c>
      <c r="L161" s="3"/>
      <c r="M161" s="3"/>
      <c r="N161" s="3"/>
      <c r="O161" s="3">
        <v>1462</v>
      </c>
      <c r="P161" s="3"/>
      <c r="Q161" s="4">
        <v>46055</v>
      </c>
      <c r="R161" s="5">
        <v>25968.959999999999</v>
      </c>
      <c r="S161" s="3">
        <v>1218</v>
      </c>
      <c r="T161" s="3"/>
      <c r="U161" s="3">
        <v>0</v>
      </c>
      <c r="V161" s="3" t="s">
        <v>8</v>
      </c>
      <c r="W161" s="5">
        <v>26116.12</v>
      </c>
      <c r="X161" s="5">
        <v>23990.9</v>
      </c>
      <c r="Y161" s="3">
        <v>0</v>
      </c>
      <c r="Z161" s="3">
        <v>0</v>
      </c>
      <c r="AA161" s="3">
        <v>0.02</v>
      </c>
      <c r="AB161" s="5">
        <v>50107.040000000001</v>
      </c>
      <c r="AD161" s="25" t="s">
        <v>1147</v>
      </c>
      <c r="AE161" s="25" t="s">
        <v>1185</v>
      </c>
      <c r="AF161" s="26">
        <v>23990.9</v>
      </c>
      <c r="AG161" s="32"/>
      <c r="AH161" s="19">
        <f>AF161</f>
        <v>23990.9</v>
      </c>
      <c r="AI161" s="3"/>
      <c r="AJ161" s="3"/>
      <c r="AK161" s="3"/>
      <c r="AL161" s="15">
        <f t="shared" ref="AL161:AL195" si="23">AH161+AI161+AJ161+AK161+AG161</f>
        <v>23990.9</v>
      </c>
      <c r="AM161" s="15">
        <f t="shared" si="18"/>
        <v>26116.14</v>
      </c>
      <c r="AN161">
        <v>26116.14</v>
      </c>
      <c r="AO161" s="15">
        <f t="shared" si="21"/>
        <v>0</v>
      </c>
      <c r="AQ161" s="15">
        <f t="shared" si="17"/>
        <v>0</v>
      </c>
    </row>
    <row r="162" spans="1:43" x14ac:dyDescent="0.25">
      <c r="A162">
        <v>155</v>
      </c>
      <c r="B162" s="10" t="s">
        <v>807</v>
      </c>
      <c r="C162" s="10" t="s">
        <v>1107</v>
      </c>
      <c r="D162" s="3" t="s">
        <v>808</v>
      </c>
      <c r="E162" s="3" t="s">
        <v>809</v>
      </c>
      <c r="F162" s="3" t="s">
        <v>810</v>
      </c>
      <c r="G162" s="3" t="s">
        <v>811</v>
      </c>
      <c r="H162" s="3" t="s">
        <v>14</v>
      </c>
      <c r="I162" s="3"/>
      <c r="J162" s="3" t="s">
        <v>15</v>
      </c>
      <c r="K162" s="3" t="s">
        <v>812</v>
      </c>
      <c r="L162" s="3"/>
      <c r="M162" s="3"/>
      <c r="N162" s="3"/>
      <c r="O162" s="3">
        <v>2090</v>
      </c>
      <c r="P162" s="3"/>
      <c r="Q162" s="4">
        <v>46081</v>
      </c>
      <c r="R162" s="5">
        <v>188.7</v>
      </c>
      <c r="S162" s="3">
        <v>76</v>
      </c>
      <c r="T162" s="3"/>
      <c r="U162" s="3">
        <v>0</v>
      </c>
      <c r="V162" s="3" t="s">
        <v>8</v>
      </c>
      <c r="W162" s="5">
        <v>188.7</v>
      </c>
      <c r="X162" s="3">
        <v>0</v>
      </c>
      <c r="Y162" s="3">
        <v>0</v>
      </c>
      <c r="Z162" s="3">
        <v>0</v>
      </c>
      <c r="AA162" s="3">
        <v>0</v>
      </c>
      <c r="AB162" s="5">
        <v>188.7</v>
      </c>
      <c r="AD162" s="25"/>
      <c r="AE162" s="25"/>
      <c r="AF162" s="25"/>
      <c r="AG162" s="32"/>
      <c r="AH162" s="18"/>
      <c r="AI162" s="3"/>
      <c r="AJ162" s="3"/>
      <c r="AK162" s="3"/>
      <c r="AL162" s="15">
        <f t="shared" si="23"/>
        <v>0</v>
      </c>
      <c r="AM162" s="15">
        <f t="shared" si="18"/>
        <v>188.7</v>
      </c>
      <c r="AN162" s="15">
        <f>AM162</f>
        <v>188.7</v>
      </c>
      <c r="AO162" s="15">
        <f t="shared" si="21"/>
        <v>0</v>
      </c>
      <c r="AQ162" s="15">
        <f t="shared" si="17"/>
        <v>0</v>
      </c>
    </row>
    <row r="163" spans="1:43" x14ac:dyDescent="0.25">
      <c r="A163">
        <v>156</v>
      </c>
      <c r="B163" s="10" t="s">
        <v>813</v>
      </c>
      <c r="C163" s="10" t="s">
        <v>1108</v>
      </c>
      <c r="D163" s="3" t="s">
        <v>814</v>
      </c>
      <c r="E163" s="3" t="s">
        <v>815</v>
      </c>
      <c r="F163" s="3" t="s">
        <v>816</v>
      </c>
      <c r="G163" s="3" t="s">
        <v>817</v>
      </c>
      <c r="H163" s="3" t="s">
        <v>14</v>
      </c>
      <c r="I163" s="3" t="s">
        <v>6</v>
      </c>
      <c r="J163" s="3"/>
      <c r="K163" s="3" t="s">
        <v>818</v>
      </c>
      <c r="L163" s="3"/>
      <c r="M163" s="3"/>
      <c r="N163" s="3"/>
      <c r="O163" s="3">
        <v>8305</v>
      </c>
      <c r="P163" s="3"/>
      <c r="Q163" s="4">
        <v>46080</v>
      </c>
      <c r="R163" s="5">
        <v>9359.0499999999993</v>
      </c>
      <c r="S163" s="3">
        <v>293</v>
      </c>
      <c r="T163" s="3"/>
      <c r="U163" s="3">
        <v>0</v>
      </c>
      <c r="V163" s="3" t="s">
        <v>8</v>
      </c>
      <c r="W163" s="5">
        <v>16364.48</v>
      </c>
      <c r="X163" s="5">
        <v>48581.06</v>
      </c>
      <c r="Y163" s="3">
        <v>0</v>
      </c>
      <c r="Z163" s="3">
        <v>0</v>
      </c>
      <c r="AA163" s="5">
        <v>-402.56</v>
      </c>
      <c r="AB163" s="5">
        <v>64542.98</v>
      </c>
      <c r="AD163" s="25" t="s">
        <v>1201</v>
      </c>
      <c r="AE163" s="25" t="s">
        <v>1266</v>
      </c>
      <c r="AF163" s="26">
        <v>19464.05</v>
      </c>
      <c r="AG163" s="33">
        <f>AF163</f>
        <v>19464.05</v>
      </c>
      <c r="AH163" s="19"/>
      <c r="AI163" s="3"/>
      <c r="AJ163" s="3"/>
      <c r="AK163" s="5"/>
      <c r="AL163" s="15">
        <f t="shared" si="23"/>
        <v>19464.05</v>
      </c>
      <c r="AM163" s="15">
        <f t="shared" si="18"/>
        <v>45078.930000000008</v>
      </c>
      <c r="AN163" s="15">
        <f>AM163</f>
        <v>45078.930000000008</v>
      </c>
      <c r="AO163" s="15">
        <f t="shared" si="21"/>
        <v>0</v>
      </c>
      <c r="AQ163" s="15">
        <f t="shared" si="17"/>
        <v>0</v>
      </c>
    </row>
    <row r="164" spans="1:43" x14ac:dyDescent="0.25">
      <c r="A164">
        <v>157</v>
      </c>
      <c r="B164" s="10" t="s">
        <v>819</v>
      </c>
      <c r="C164" s="10" t="s">
        <v>1109</v>
      </c>
      <c r="D164" s="3" t="s">
        <v>820</v>
      </c>
      <c r="E164" s="3" t="s">
        <v>821</v>
      </c>
      <c r="F164" s="3" t="s">
        <v>822</v>
      </c>
      <c r="G164" s="3" t="s">
        <v>823</v>
      </c>
      <c r="H164" s="3" t="s">
        <v>14</v>
      </c>
      <c r="I164" s="3" t="s">
        <v>6</v>
      </c>
      <c r="J164" s="3" t="s">
        <v>15</v>
      </c>
      <c r="K164" s="3" t="s">
        <v>824</v>
      </c>
      <c r="L164" s="3"/>
      <c r="M164" s="3"/>
      <c r="N164" s="3"/>
      <c r="O164" s="3">
        <v>2067</v>
      </c>
      <c r="P164" s="3"/>
      <c r="Q164" s="4">
        <v>46081</v>
      </c>
      <c r="R164" s="5">
        <v>204.7</v>
      </c>
      <c r="S164" s="3">
        <v>107</v>
      </c>
      <c r="T164" s="3"/>
      <c r="U164" s="3">
        <v>0</v>
      </c>
      <c r="V164" s="3" t="s">
        <v>8</v>
      </c>
      <c r="W164" s="5">
        <v>204.7</v>
      </c>
      <c r="X164" s="3">
        <v>0</v>
      </c>
      <c r="Y164" s="3">
        <v>0</v>
      </c>
      <c r="Z164" s="3">
        <v>0</v>
      </c>
      <c r="AA164" s="3">
        <v>0</v>
      </c>
      <c r="AB164" s="5">
        <v>204.7</v>
      </c>
      <c r="AD164" s="25"/>
      <c r="AE164" s="25"/>
      <c r="AF164" s="25"/>
      <c r="AG164" s="32"/>
      <c r="AH164" s="18"/>
      <c r="AI164" s="3"/>
      <c r="AJ164" s="3"/>
      <c r="AK164" s="3"/>
      <c r="AL164" s="15">
        <f t="shared" si="23"/>
        <v>0</v>
      </c>
      <c r="AM164" s="15">
        <f t="shared" si="18"/>
        <v>204.7</v>
      </c>
      <c r="AN164" s="15">
        <f>AM164</f>
        <v>204.7</v>
      </c>
      <c r="AO164" s="15">
        <f t="shared" si="21"/>
        <v>0</v>
      </c>
      <c r="AQ164" s="15">
        <f t="shared" si="17"/>
        <v>0</v>
      </c>
    </row>
    <row r="165" spans="1:43" x14ac:dyDescent="0.25">
      <c r="A165">
        <v>158</v>
      </c>
      <c r="B165" s="10" t="s">
        <v>825</v>
      </c>
      <c r="C165" s="10" t="s">
        <v>1110</v>
      </c>
      <c r="D165" s="3" t="s">
        <v>826</v>
      </c>
      <c r="E165" s="3" t="s">
        <v>827</v>
      </c>
      <c r="F165" s="3"/>
      <c r="G165" s="3" t="s">
        <v>828</v>
      </c>
      <c r="H165" s="3" t="s">
        <v>14</v>
      </c>
      <c r="I165" s="3" t="s">
        <v>6</v>
      </c>
      <c r="J165" s="3"/>
      <c r="K165" s="3" t="s">
        <v>829</v>
      </c>
      <c r="L165" s="3"/>
      <c r="M165" s="3"/>
      <c r="N165" s="3" t="s">
        <v>22</v>
      </c>
      <c r="O165" s="3">
        <v>1401</v>
      </c>
      <c r="P165" s="3"/>
      <c r="Q165" s="4">
        <v>46060</v>
      </c>
      <c r="R165" s="5">
        <v>11641.45</v>
      </c>
      <c r="S165" s="3">
        <v>56</v>
      </c>
      <c r="T165" s="3"/>
      <c r="U165" s="3">
        <v>0</v>
      </c>
      <c r="V165" s="3" t="s">
        <v>8</v>
      </c>
      <c r="W165" s="5">
        <v>5828.2</v>
      </c>
      <c r="X165" s="5">
        <v>5828.2</v>
      </c>
      <c r="Y165" s="3">
        <v>0</v>
      </c>
      <c r="Z165" s="3">
        <v>0</v>
      </c>
      <c r="AA165" s="3">
        <v>0</v>
      </c>
      <c r="AB165" s="5">
        <v>11656.4</v>
      </c>
      <c r="AD165" s="25" t="s">
        <v>1151</v>
      </c>
      <c r="AE165" s="25" t="s">
        <v>826</v>
      </c>
      <c r="AF165" s="26">
        <v>5828.2</v>
      </c>
      <c r="AH165" s="19">
        <f>X165</f>
        <v>5828.2</v>
      </c>
      <c r="AI165" s="3"/>
      <c r="AJ165" s="3"/>
      <c r="AK165" s="3"/>
      <c r="AL165" s="15">
        <f t="shared" si="23"/>
        <v>5828.2</v>
      </c>
      <c r="AM165" s="15">
        <f t="shared" si="18"/>
        <v>5828.2</v>
      </c>
      <c r="AN165">
        <v>5828.2</v>
      </c>
      <c r="AO165" s="15">
        <f t="shared" si="21"/>
        <v>0</v>
      </c>
      <c r="AQ165" s="15">
        <f t="shared" si="17"/>
        <v>0</v>
      </c>
    </row>
    <row r="166" spans="1:43" x14ac:dyDescent="0.25">
      <c r="A166">
        <v>159</v>
      </c>
      <c r="B166" s="10" t="s">
        <v>830</v>
      </c>
      <c r="C166" s="10" t="s">
        <v>1111</v>
      </c>
      <c r="D166" s="3" t="s">
        <v>831</v>
      </c>
      <c r="E166" s="3" t="s">
        <v>832</v>
      </c>
      <c r="F166" s="3" t="s">
        <v>833</v>
      </c>
      <c r="G166" s="3" t="s">
        <v>834</v>
      </c>
      <c r="H166" s="3" t="s">
        <v>14</v>
      </c>
      <c r="I166" s="3" t="s">
        <v>6</v>
      </c>
      <c r="J166" s="3" t="s">
        <v>15</v>
      </c>
      <c r="K166" s="3" t="s">
        <v>835</v>
      </c>
      <c r="L166" s="3"/>
      <c r="M166" s="3"/>
      <c r="N166" s="3"/>
      <c r="O166" s="3">
        <v>2130</v>
      </c>
      <c r="P166" s="3"/>
      <c r="Q166" s="4">
        <v>46081</v>
      </c>
      <c r="R166" s="5">
        <v>227.7</v>
      </c>
      <c r="S166" s="3">
        <v>55</v>
      </c>
      <c r="T166" s="3"/>
      <c r="U166" s="3">
        <v>0</v>
      </c>
      <c r="V166" s="3" t="s">
        <v>8</v>
      </c>
      <c r="W166" s="5">
        <v>227.7</v>
      </c>
      <c r="X166" s="3">
        <v>0</v>
      </c>
      <c r="Y166" s="3">
        <v>0</v>
      </c>
      <c r="Z166" s="3">
        <v>0</v>
      </c>
      <c r="AA166" s="3">
        <v>0</v>
      </c>
      <c r="AB166" s="5">
        <v>227.7</v>
      </c>
      <c r="AD166" s="25"/>
      <c r="AE166" s="25"/>
      <c r="AF166" s="25"/>
      <c r="AG166" s="32"/>
      <c r="AH166" s="18"/>
      <c r="AI166" s="3"/>
      <c r="AJ166" s="3"/>
      <c r="AK166" s="3"/>
      <c r="AL166" s="15">
        <f t="shared" si="23"/>
        <v>0</v>
      </c>
      <c r="AM166" s="15">
        <f t="shared" si="18"/>
        <v>227.7</v>
      </c>
      <c r="AN166" s="15">
        <f>AM166</f>
        <v>227.7</v>
      </c>
      <c r="AO166" s="15">
        <f t="shared" si="21"/>
        <v>0</v>
      </c>
      <c r="AQ166" s="15">
        <f t="shared" si="17"/>
        <v>0</v>
      </c>
    </row>
    <row r="167" spans="1:43" x14ac:dyDescent="0.25">
      <c r="A167">
        <v>160</v>
      </c>
      <c r="B167" s="10" t="s">
        <v>836</v>
      </c>
      <c r="C167" s="10" t="s">
        <v>1112</v>
      </c>
      <c r="D167" s="3" t="s">
        <v>837</v>
      </c>
      <c r="E167" s="3"/>
      <c r="F167" s="3"/>
      <c r="G167" s="3"/>
      <c r="H167" s="3" t="s">
        <v>14</v>
      </c>
      <c r="I167" s="3" t="s">
        <v>6</v>
      </c>
      <c r="J167" s="3"/>
      <c r="K167" s="3" t="s">
        <v>838</v>
      </c>
      <c r="L167" s="3"/>
      <c r="M167" s="3"/>
      <c r="N167" s="3"/>
      <c r="O167" s="3">
        <v>3600</v>
      </c>
      <c r="P167" s="3"/>
      <c r="Q167" s="4">
        <v>46078</v>
      </c>
      <c r="R167" s="5">
        <v>1309.52</v>
      </c>
      <c r="S167" s="3">
        <v>204</v>
      </c>
      <c r="T167" s="3"/>
      <c r="U167" s="3">
        <v>0</v>
      </c>
      <c r="V167" s="3" t="s">
        <v>8</v>
      </c>
      <c r="W167" s="5">
        <v>7202.4</v>
      </c>
      <c r="X167" s="5">
        <v>6547.64</v>
      </c>
      <c r="Y167" s="3">
        <v>0</v>
      </c>
      <c r="Z167" s="3">
        <v>0</v>
      </c>
      <c r="AA167" s="3">
        <v>0.9</v>
      </c>
      <c r="AB167" s="5">
        <v>13750.94</v>
      </c>
      <c r="AD167" s="25" t="s">
        <v>1154</v>
      </c>
      <c r="AE167" s="25" t="s">
        <v>1155</v>
      </c>
      <c r="AF167" s="26">
        <v>654.76</v>
      </c>
      <c r="AG167" s="32"/>
      <c r="AH167" s="19">
        <f>AF167</f>
        <v>654.76</v>
      </c>
      <c r="AI167" s="3"/>
      <c r="AJ167" s="3"/>
      <c r="AK167" s="3"/>
      <c r="AL167" s="15">
        <f t="shared" si="23"/>
        <v>654.76</v>
      </c>
      <c r="AM167" s="15">
        <f t="shared" si="18"/>
        <v>13096.18</v>
      </c>
      <c r="AN167">
        <v>13095.28</v>
      </c>
      <c r="AO167" s="15">
        <f t="shared" si="21"/>
        <v>0.8999999999996362</v>
      </c>
      <c r="AQ167" s="15">
        <f t="shared" si="17"/>
        <v>0</v>
      </c>
    </row>
    <row r="168" spans="1:43" x14ac:dyDescent="0.25">
      <c r="A168">
        <v>161</v>
      </c>
      <c r="B168" s="10" t="s">
        <v>839</v>
      </c>
      <c r="C168" s="10" t="s">
        <v>1274</v>
      </c>
      <c r="D168" s="3" t="s">
        <v>840</v>
      </c>
      <c r="E168" s="3" t="s">
        <v>841</v>
      </c>
      <c r="F168" s="3" t="s">
        <v>842</v>
      </c>
      <c r="G168" s="3" t="s">
        <v>843</v>
      </c>
      <c r="H168" s="3" t="s">
        <v>14</v>
      </c>
      <c r="I168" s="3"/>
      <c r="J168" s="3" t="s">
        <v>15</v>
      </c>
      <c r="K168" s="3" t="s">
        <v>844</v>
      </c>
      <c r="L168" s="3"/>
      <c r="M168" s="3" t="s">
        <v>69</v>
      </c>
      <c r="N168" s="3"/>
      <c r="O168" s="3">
        <v>1501</v>
      </c>
      <c r="P168" s="3"/>
      <c r="Q168" s="4">
        <v>46081</v>
      </c>
      <c r="R168" s="5">
        <v>165.8</v>
      </c>
      <c r="S168" s="3">
        <v>108</v>
      </c>
      <c r="T168" s="3"/>
      <c r="U168" s="3">
        <v>0</v>
      </c>
      <c r="V168" s="3" t="s">
        <v>8</v>
      </c>
      <c r="W168" s="5">
        <v>165.8</v>
      </c>
      <c r="X168" s="3">
        <v>0.01</v>
      </c>
      <c r="Y168" s="3">
        <v>0</v>
      </c>
      <c r="Z168" s="3">
        <v>0</v>
      </c>
      <c r="AA168" s="5">
        <v>-0.01</v>
      </c>
      <c r="AB168" s="5">
        <v>165.8</v>
      </c>
      <c r="AD168" s="25"/>
      <c r="AE168" s="25"/>
      <c r="AF168" s="25"/>
      <c r="AG168" s="32"/>
      <c r="AH168" s="18"/>
      <c r="AI168" s="3"/>
      <c r="AJ168" s="3"/>
      <c r="AK168" s="5"/>
      <c r="AL168" s="15">
        <f t="shared" si="23"/>
        <v>0</v>
      </c>
      <c r="AM168" s="15">
        <f t="shared" si="18"/>
        <v>165.8</v>
      </c>
      <c r="AN168" s="15">
        <f>AM168</f>
        <v>165.8</v>
      </c>
      <c r="AO168" s="15">
        <f t="shared" si="21"/>
        <v>0</v>
      </c>
      <c r="AQ168" s="15">
        <f t="shared" si="17"/>
        <v>0</v>
      </c>
    </row>
    <row r="169" spans="1:43" x14ac:dyDescent="0.25">
      <c r="A169">
        <v>162</v>
      </c>
      <c r="B169" s="10">
        <v>1113</v>
      </c>
      <c r="C169" s="10" t="s">
        <v>1272</v>
      </c>
      <c r="D169" s="3" t="s">
        <v>845</v>
      </c>
      <c r="E169" s="3" t="s">
        <v>846</v>
      </c>
      <c r="F169" s="3" t="s">
        <v>847</v>
      </c>
      <c r="G169" s="3" t="s">
        <v>848</v>
      </c>
      <c r="H169" s="3" t="s">
        <v>14</v>
      </c>
      <c r="I169" s="3" t="s">
        <v>6</v>
      </c>
      <c r="J169" s="3"/>
      <c r="K169" s="3" t="s">
        <v>849</v>
      </c>
      <c r="L169" s="3"/>
      <c r="M169" s="3"/>
      <c r="N169" s="3" t="s">
        <v>22</v>
      </c>
      <c r="O169" s="3"/>
      <c r="P169" s="3"/>
      <c r="Q169" s="4">
        <v>46077</v>
      </c>
      <c r="R169" s="5">
        <v>655.56</v>
      </c>
      <c r="S169" s="3">
        <v>96</v>
      </c>
      <c r="T169" s="3"/>
      <c r="U169" s="3">
        <v>0</v>
      </c>
      <c r="V169" s="3" t="s">
        <v>8</v>
      </c>
      <c r="W169" s="5">
        <v>165</v>
      </c>
      <c r="X169" s="3">
        <v>0</v>
      </c>
      <c r="Y169" s="3">
        <v>0</v>
      </c>
      <c r="Z169" s="3">
        <v>0</v>
      </c>
      <c r="AA169" s="3">
        <v>0</v>
      </c>
      <c r="AB169" s="5">
        <v>165</v>
      </c>
      <c r="AD169" s="25"/>
      <c r="AE169" s="25"/>
      <c r="AF169" s="25"/>
      <c r="AG169" s="32"/>
      <c r="AH169" s="18"/>
      <c r="AI169" s="3"/>
      <c r="AJ169" s="3"/>
      <c r="AK169" s="3"/>
      <c r="AL169" s="15">
        <f t="shared" si="23"/>
        <v>0</v>
      </c>
      <c r="AM169" s="15">
        <f t="shared" si="18"/>
        <v>165</v>
      </c>
      <c r="AN169" s="15">
        <f>AM169</f>
        <v>165</v>
      </c>
      <c r="AO169" s="15">
        <f t="shared" si="21"/>
        <v>0</v>
      </c>
      <c r="AQ169" s="15">
        <f t="shared" si="17"/>
        <v>0</v>
      </c>
    </row>
    <row r="170" spans="1:43" x14ac:dyDescent="0.25">
      <c r="A170">
        <v>163</v>
      </c>
      <c r="B170" s="10" t="s">
        <v>850</v>
      </c>
      <c r="C170" s="10" t="s">
        <v>1113</v>
      </c>
      <c r="D170" s="3" t="s">
        <v>851</v>
      </c>
      <c r="E170" s="3" t="s">
        <v>852</v>
      </c>
      <c r="F170" s="3" t="s">
        <v>853</v>
      </c>
      <c r="G170" s="3" t="s">
        <v>854</v>
      </c>
      <c r="H170" s="3" t="s">
        <v>14</v>
      </c>
      <c r="I170" s="3" t="s">
        <v>6</v>
      </c>
      <c r="J170" s="3" t="s">
        <v>15</v>
      </c>
      <c r="K170" s="3" t="s">
        <v>855</v>
      </c>
      <c r="L170" s="3">
        <v>1900</v>
      </c>
      <c r="M170" s="3"/>
      <c r="N170" s="3" t="s">
        <v>22</v>
      </c>
      <c r="O170" s="3"/>
      <c r="P170" s="3"/>
      <c r="Q170" s="4">
        <v>46056</v>
      </c>
      <c r="R170" s="5">
        <v>23840.65</v>
      </c>
      <c r="S170" s="3">
        <v>181</v>
      </c>
      <c r="T170" s="3"/>
      <c r="U170" s="3">
        <v>0</v>
      </c>
      <c r="V170" s="3" t="s">
        <v>8</v>
      </c>
      <c r="W170" s="5">
        <v>23840.65</v>
      </c>
      <c r="X170" s="3">
        <v>0</v>
      </c>
      <c r="Y170" s="3">
        <v>0</v>
      </c>
      <c r="Z170" s="3">
        <v>0</v>
      </c>
      <c r="AA170" s="3">
        <v>0</v>
      </c>
      <c r="AB170" s="5">
        <v>23840.65</v>
      </c>
      <c r="AD170" s="25" t="s">
        <v>1183</v>
      </c>
      <c r="AE170" s="25" t="s">
        <v>1184</v>
      </c>
      <c r="AF170" s="26">
        <v>23840.65</v>
      </c>
      <c r="AG170" s="33">
        <f>AF170</f>
        <v>23840.65</v>
      </c>
      <c r="AH170" s="18"/>
      <c r="AI170" s="3"/>
      <c r="AJ170" s="3"/>
      <c r="AK170" s="3"/>
      <c r="AL170" s="15">
        <f t="shared" si="23"/>
        <v>23840.65</v>
      </c>
      <c r="AM170" s="15">
        <f t="shared" si="18"/>
        <v>0</v>
      </c>
      <c r="AN170">
        <v>0</v>
      </c>
      <c r="AO170" s="15">
        <f t="shared" si="21"/>
        <v>0</v>
      </c>
      <c r="AQ170" s="15">
        <f t="shared" si="17"/>
        <v>0</v>
      </c>
    </row>
    <row r="171" spans="1:43" x14ac:dyDescent="0.25">
      <c r="A171">
        <v>164</v>
      </c>
      <c r="B171" s="10" t="s">
        <v>856</v>
      </c>
      <c r="C171" s="10" t="s">
        <v>1114</v>
      </c>
      <c r="D171" s="3" t="s">
        <v>857</v>
      </c>
      <c r="E171" s="3" t="s">
        <v>857</v>
      </c>
      <c r="F171" s="3"/>
      <c r="G171" s="3" t="s">
        <v>858</v>
      </c>
      <c r="H171" s="3" t="s">
        <v>14</v>
      </c>
      <c r="I171" s="3" t="s">
        <v>6</v>
      </c>
      <c r="J171" s="3"/>
      <c r="K171" s="3" t="s">
        <v>859</v>
      </c>
      <c r="L171" s="3"/>
      <c r="M171" s="3"/>
      <c r="N171" s="3" t="s">
        <v>22</v>
      </c>
      <c r="O171" s="3"/>
      <c r="P171" s="3"/>
      <c r="Q171" s="3"/>
      <c r="R171" s="3">
        <v>0</v>
      </c>
      <c r="S171" s="3">
        <v>61</v>
      </c>
      <c r="T171" s="3"/>
      <c r="U171" s="3">
        <v>0</v>
      </c>
      <c r="V171" s="3" t="s">
        <v>8</v>
      </c>
      <c r="W171" s="5">
        <v>616.4</v>
      </c>
      <c r="X171" s="5">
        <v>3109.6</v>
      </c>
      <c r="Y171" s="3">
        <v>0</v>
      </c>
      <c r="Z171" s="3">
        <v>0</v>
      </c>
      <c r="AA171" s="3">
        <v>0</v>
      </c>
      <c r="AB171" s="5">
        <v>3726</v>
      </c>
      <c r="AD171" s="25"/>
      <c r="AE171" s="25"/>
      <c r="AF171" s="25"/>
      <c r="AG171" s="32"/>
      <c r="AH171" s="19"/>
      <c r="AI171" s="3"/>
      <c r="AJ171" s="3"/>
      <c r="AK171" s="3"/>
      <c r="AL171" s="15">
        <f t="shared" si="23"/>
        <v>0</v>
      </c>
      <c r="AM171" s="15">
        <f t="shared" si="18"/>
        <v>3726</v>
      </c>
      <c r="AN171" s="15">
        <f>AM171</f>
        <v>3726</v>
      </c>
      <c r="AO171" s="15">
        <f t="shared" si="21"/>
        <v>0</v>
      </c>
      <c r="AQ171" s="15">
        <f t="shared" si="17"/>
        <v>0</v>
      </c>
    </row>
    <row r="172" spans="1:43" x14ac:dyDescent="0.25">
      <c r="A172">
        <v>165</v>
      </c>
      <c r="B172" s="10">
        <v>2273</v>
      </c>
      <c r="C172" s="10" t="s">
        <v>1115</v>
      </c>
      <c r="D172" s="3" t="s">
        <v>860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>
        <v>0</v>
      </c>
      <c r="S172" s="3">
        <v>31</v>
      </c>
      <c r="T172" s="3"/>
      <c r="U172" s="3">
        <v>0</v>
      </c>
      <c r="V172" s="3" t="s">
        <v>8</v>
      </c>
      <c r="W172" s="5">
        <v>76392.2</v>
      </c>
      <c r="X172" s="3">
        <v>0</v>
      </c>
      <c r="Y172" s="3">
        <v>0</v>
      </c>
      <c r="Z172" s="3">
        <v>0</v>
      </c>
      <c r="AA172" s="3">
        <v>0</v>
      </c>
      <c r="AB172" s="5">
        <v>76392.2</v>
      </c>
      <c r="AD172" s="25"/>
      <c r="AE172" s="25"/>
      <c r="AF172" s="25"/>
      <c r="AG172" s="32"/>
      <c r="AH172" s="18"/>
      <c r="AI172" s="3"/>
      <c r="AJ172" s="3"/>
      <c r="AK172" s="3"/>
      <c r="AL172" s="15">
        <f t="shared" si="23"/>
        <v>0</v>
      </c>
      <c r="AM172" s="15">
        <f t="shared" si="18"/>
        <v>76392.2</v>
      </c>
      <c r="AN172">
        <v>76392.2</v>
      </c>
      <c r="AO172" s="15">
        <f t="shared" si="21"/>
        <v>0</v>
      </c>
      <c r="AQ172" s="15">
        <f t="shared" si="17"/>
        <v>0</v>
      </c>
    </row>
    <row r="173" spans="1:43" x14ac:dyDescent="0.25">
      <c r="A173">
        <v>166</v>
      </c>
      <c r="B173" s="10">
        <v>2274</v>
      </c>
      <c r="C173" s="10" t="s">
        <v>1116</v>
      </c>
      <c r="D173" s="3" t="s">
        <v>861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>
        <v>0</v>
      </c>
      <c r="S173" s="3">
        <v>31</v>
      </c>
      <c r="T173" s="3"/>
      <c r="U173" s="3">
        <v>0</v>
      </c>
      <c r="V173" s="3" t="s">
        <v>8</v>
      </c>
      <c r="W173" s="5">
        <v>66458.5</v>
      </c>
      <c r="X173" s="3">
        <v>0</v>
      </c>
      <c r="Y173" s="3">
        <v>0</v>
      </c>
      <c r="Z173" s="3">
        <v>0</v>
      </c>
      <c r="AA173" s="3">
        <v>0</v>
      </c>
      <c r="AB173" s="5">
        <v>66458.5</v>
      </c>
      <c r="AD173" s="25"/>
      <c r="AE173" s="25"/>
      <c r="AF173" s="25"/>
      <c r="AG173" s="32"/>
      <c r="AH173" s="18"/>
      <c r="AI173" s="3"/>
      <c r="AJ173" s="3"/>
      <c r="AK173" s="3"/>
      <c r="AL173" s="15">
        <f t="shared" si="23"/>
        <v>0</v>
      </c>
      <c r="AM173" s="15">
        <f t="shared" si="18"/>
        <v>66458.5</v>
      </c>
      <c r="AN173">
        <v>66458.5</v>
      </c>
      <c r="AO173" s="15">
        <f t="shared" si="21"/>
        <v>0</v>
      </c>
      <c r="AQ173" s="15">
        <f t="shared" si="17"/>
        <v>0</v>
      </c>
    </row>
    <row r="174" spans="1:43" x14ac:dyDescent="0.25">
      <c r="A174">
        <v>167</v>
      </c>
      <c r="B174" s="10" t="s">
        <v>862</v>
      </c>
      <c r="C174" s="10" t="s">
        <v>1117</v>
      </c>
      <c r="D174" s="3" t="s">
        <v>863</v>
      </c>
      <c r="E174" s="3" t="s">
        <v>864</v>
      </c>
      <c r="F174" s="3"/>
      <c r="G174" s="3" t="s">
        <v>865</v>
      </c>
      <c r="H174" s="3" t="s">
        <v>14</v>
      </c>
      <c r="I174" s="3" t="s">
        <v>6</v>
      </c>
      <c r="J174" s="3"/>
      <c r="K174" s="3" t="s">
        <v>866</v>
      </c>
      <c r="L174" s="3"/>
      <c r="M174" s="3"/>
      <c r="N174" s="3" t="s">
        <v>22</v>
      </c>
      <c r="O174" s="3"/>
      <c r="P174" s="3"/>
      <c r="Q174" s="3"/>
      <c r="R174" s="3">
        <v>0</v>
      </c>
      <c r="S174" s="3">
        <v>53</v>
      </c>
      <c r="T174" s="3"/>
      <c r="U174" s="3">
        <v>0</v>
      </c>
      <c r="V174" s="3" t="s">
        <v>8</v>
      </c>
      <c r="W174" s="5">
        <v>31424.9</v>
      </c>
      <c r="X174" s="5">
        <v>85852.1</v>
      </c>
      <c r="Y174" s="3">
        <v>0</v>
      </c>
      <c r="Z174" s="3">
        <v>0</v>
      </c>
      <c r="AA174" s="3">
        <v>0</v>
      </c>
      <c r="AB174" s="5">
        <v>117277</v>
      </c>
      <c r="AD174" s="25"/>
      <c r="AE174" s="25"/>
      <c r="AF174" s="25"/>
      <c r="AG174" s="32"/>
      <c r="AH174" s="19"/>
      <c r="AI174" s="3"/>
      <c r="AJ174" s="3"/>
      <c r="AK174" s="3"/>
      <c r="AL174" s="15">
        <f t="shared" si="23"/>
        <v>0</v>
      </c>
      <c r="AM174" s="15">
        <f t="shared" si="18"/>
        <v>117277</v>
      </c>
      <c r="AN174" s="15">
        <f>AM174</f>
        <v>117277</v>
      </c>
      <c r="AO174" s="15">
        <f t="shared" si="21"/>
        <v>0</v>
      </c>
      <c r="AQ174" s="15">
        <f t="shared" si="17"/>
        <v>0</v>
      </c>
    </row>
    <row r="175" spans="1:43" x14ac:dyDescent="0.25">
      <c r="A175">
        <v>168</v>
      </c>
      <c r="B175" s="10" t="s">
        <v>867</v>
      </c>
      <c r="C175" s="10" t="s">
        <v>1118</v>
      </c>
      <c r="D175" s="3" t="s">
        <v>868</v>
      </c>
      <c r="E175" s="3" t="s">
        <v>869</v>
      </c>
      <c r="F175" s="3" t="s">
        <v>870</v>
      </c>
      <c r="G175" s="3" t="s">
        <v>871</v>
      </c>
      <c r="H175" s="3" t="s">
        <v>14</v>
      </c>
      <c r="I175" s="3" t="s">
        <v>6</v>
      </c>
      <c r="J175" s="3" t="s">
        <v>15</v>
      </c>
      <c r="K175" s="3" t="s">
        <v>872</v>
      </c>
      <c r="L175" s="3"/>
      <c r="M175" s="3"/>
      <c r="N175" s="3" t="s">
        <v>22</v>
      </c>
      <c r="O175" s="3"/>
      <c r="P175" s="3"/>
      <c r="Q175" s="4">
        <v>46080</v>
      </c>
      <c r="R175" s="5">
        <v>69723.350000000006</v>
      </c>
      <c r="S175" s="3">
        <v>344</v>
      </c>
      <c r="T175" s="3"/>
      <c r="U175" s="3">
        <v>0</v>
      </c>
      <c r="V175" s="3" t="s">
        <v>8</v>
      </c>
      <c r="W175" s="5">
        <v>101242.55</v>
      </c>
      <c r="X175" s="3">
        <v>0</v>
      </c>
      <c r="Y175" s="3">
        <v>0</v>
      </c>
      <c r="Z175" s="3">
        <v>0</v>
      </c>
      <c r="AA175" s="3">
        <v>0</v>
      </c>
      <c r="AB175" s="5">
        <v>101242.55</v>
      </c>
      <c r="AD175" s="25" t="s">
        <v>1201</v>
      </c>
      <c r="AE175" s="25" t="s">
        <v>1202</v>
      </c>
      <c r="AF175" s="26">
        <v>101242.55</v>
      </c>
      <c r="AG175" s="33">
        <f>[2]Sheet1!$D$50</f>
        <v>101242.55</v>
      </c>
      <c r="AH175" s="18"/>
      <c r="AI175" s="3"/>
      <c r="AJ175" s="3"/>
      <c r="AK175" s="3"/>
      <c r="AL175" s="15">
        <f t="shared" si="23"/>
        <v>101242.55</v>
      </c>
      <c r="AM175" s="15">
        <f t="shared" si="18"/>
        <v>0</v>
      </c>
      <c r="AN175" s="15">
        <f>AM175</f>
        <v>0</v>
      </c>
      <c r="AO175" s="15">
        <f t="shared" si="21"/>
        <v>0</v>
      </c>
      <c r="AQ175" s="15">
        <f t="shared" si="17"/>
        <v>0</v>
      </c>
    </row>
    <row r="176" spans="1:43" x14ac:dyDescent="0.25">
      <c r="A176">
        <v>169</v>
      </c>
      <c r="B176" s="10" t="s">
        <v>873</v>
      </c>
      <c r="C176" s="10" t="s">
        <v>1119</v>
      </c>
      <c r="D176" s="3" t="s">
        <v>874</v>
      </c>
      <c r="E176" s="3" t="s">
        <v>875</v>
      </c>
      <c r="F176" s="3" t="s">
        <v>876</v>
      </c>
      <c r="G176" s="3" t="s">
        <v>877</v>
      </c>
      <c r="H176" s="3" t="s">
        <v>14</v>
      </c>
      <c r="I176" s="3" t="s">
        <v>6</v>
      </c>
      <c r="J176" s="3" t="s">
        <v>15</v>
      </c>
      <c r="K176" s="3" t="s">
        <v>878</v>
      </c>
      <c r="L176" s="3"/>
      <c r="M176" s="3"/>
      <c r="N176" s="3" t="s">
        <v>22</v>
      </c>
      <c r="O176" s="3"/>
      <c r="P176" s="3"/>
      <c r="Q176" s="4">
        <v>46081</v>
      </c>
      <c r="R176" s="5">
        <v>7664.75</v>
      </c>
      <c r="S176" s="3">
        <v>117</v>
      </c>
      <c r="T176" s="3"/>
      <c r="U176" s="3">
        <v>0</v>
      </c>
      <c r="V176" s="3" t="s">
        <v>8</v>
      </c>
      <c r="W176" s="5">
        <v>7664.75</v>
      </c>
      <c r="X176" s="3">
        <v>0</v>
      </c>
      <c r="Y176" s="3">
        <v>0</v>
      </c>
      <c r="Z176" s="3">
        <v>0</v>
      </c>
      <c r="AA176" s="3">
        <v>0</v>
      </c>
      <c r="AB176" s="5">
        <v>7664.75</v>
      </c>
      <c r="AD176" s="25" t="s">
        <v>1201</v>
      </c>
      <c r="AE176" s="25" t="s">
        <v>1264</v>
      </c>
      <c r="AF176" s="26">
        <v>7664.75</v>
      </c>
      <c r="AG176" s="33">
        <f>AF176</f>
        <v>7664.75</v>
      </c>
      <c r="AH176" s="18"/>
      <c r="AI176" s="3"/>
      <c r="AJ176" s="3"/>
      <c r="AK176" s="3"/>
      <c r="AL176" s="15">
        <f t="shared" si="23"/>
        <v>7664.75</v>
      </c>
      <c r="AM176" s="15">
        <f t="shared" si="18"/>
        <v>0</v>
      </c>
      <c r="AN176" s="15">
        <f>AM176</f>
        <v>0</v>
      </c>
      <c r="AO176" s="15">
        <f t="shared" si="21"/>
        <v>0</v>
      </c>
      <c r="AQ176" s="15">
        <f t="shared" si="17"/>
        <v>0</v>
      </c>
    </row>
    <row r="177" spans="1:43" x14ac:dyDescent="0.25">
      <c r="A177">
        <v>170</v>
      </c>
      <c r="B177" s="10" t="s">
        <v>879</v>
      </c>
      <c r="C177" s="10" t="s">
        <v>1120</v>
      </c>
      <c r="D177" s="3" t="s">
        <v>880</v>
      </c>
      <c r="E177" s="3" t="s">
        <v>880</v>
      </c>
      <c r="F177" s="3" t="s">
        <v>881</v>
      </c>
      <c r="G177" s="3" t="s">
        <v>882</v>
      </c>
      <c r="H177" s="3" t="s">
        <v>14</v>
      </c>
      <c r="I177" s="3" t="s">
        <v>6</v>
      </c>
      <c r="J177" s="3" t="s">
        <v>15</v>
      </c>
      <c r="K177" s="3" t="s">
        <v>883</v>
      </c>
      <c r="L177" s="3"/>
      <c r="M177" s="3"/>
      <c r="N177" s="3" t="s">
        <v>22</v>
      </c>
      <c r="O177" s="3"/>
      <c r="P177" s="3"/>
      <c r="Q177" s="4">
        <v>46081</v>
      </c>
      <c r="R177" s="5">
        <v>90.85</v>
      </c>
      <c r="S177" s="3">
        <v>175</v>
      </c>
      <c r="T177" s="3"/>
      <c r="U177" s="3">
        <v>0</v>
      </c>
      <c r="V177" s="3" t="s">
        <v>8</v>
      </c>
      <c r="W177" s="3">
        <v>0</v>
      </c>
      <c r="X177" s="3">
        <v>0</v>
      </c>
      <c r="Y177" s="3">
        <v>0</v>
      </c>
      <c r="Z177" s="3">
        <v>0</v>
      </c>
      <c r="AA177" s="5">
        <v>90.85</v>
      </c>
      <c r="AB177" s="5">
        <v>90.85</v>
      </c>
      <c r="AD177" s="25"/>
      <c r="AE177" s="25"/>
      <c r="AF177" s="25"/>
      <c r="AG177" s="32"/>
      <c r="AH177" s="18"/>
      <c r="AI177" s="3"/>
      <c r="AJ177" s="3"/>
      <c r="AK177" s="5"/>
      <c r="AL177" s="15">
        <f t="shared" si="23"/>
        <v>0</v>
      </c>
      <c r="AM177" s="15">
        <f t="shared" si="18"/>
        <v>90.85</v>
      </c>
      <c r="AN177" s="15">
        <f>AM177</f>
        <v>90.85</v>
      </c>
      <c r="AO177" s="15">
        <f t="shared" si="21"/>
        <v>0</v>
      </c>
      <c r="AQ177" s="15">
        <f t="shared" si="17"/>
        <v>0</v>
      </c>
    </row>
    <row r="178" spans="1:43" x14ac:dyDescent="0.25">
      <c r="A178">
        <v>171</v>
      </c>
      <c r="B178" s="10" t="s">
        <v>884</v>
      </c>
      <c r="C178" s="10" t="s">
        <v>1271</v>
      </c>
      <c r="D178" s="3" t="s">
        <v>885</v>
      </c>
      <c r="E178" s="3" t="s">
        <v>885</v>
      </c>
      <c r="F178" s="3" t="s">
        <v>886</v>
      </c>
      <c r="G178" s="3" t="s">
        <v>887</v>
      </c>
      <c r="H178" s="3" t="s">
        <v>14</v>
      </c>
      <c r="I178" s="3" t="s">
        <v>6</v>
      </c>
      <c r="J178" s="3" t="s">
        <v>15</v>
      </c>
      <c r="K178" s="3" t="s">
        <v>888</v>
      </c>
      <c r="L178" s="3"/>
      <c r="M178" s="3"/>
      <c r="N178" s="3" t="s">
        <v>22</v>
      </c>
      <c r="O178" s="3"/>
      <c r="P178" s="3"/>
      <c r="Q178" s="4">
        <v>46060</v>
      </c>
      <c r="R178" s="5">
        <v>589.95000000000005</v>
      </c>
      <c r="S178" s="3">
        <v>200</v>
      </c>
      <c r="T178" s="3"/>
      <c r="U178" s="3">
        <v>0</v>
      </c>
      <c r="V178" s="3" t="s">
        <v>8</v>
      </c>
      <c r="W178" s="3">
        <v>0</v>
      </c>
      <c r="X178" s="5">
        <v>589.95000000000005</v>
      </c>
      <c r="Y178" s="3">
        <v>0</v>
      </c>
      <c r="Z178" s="3">
        <v>0</v>
      </c>
      <c r="AA178" s="3">
        <v>0</v>
      </c>
      <c r="AB178" s="5">
        <v>589.95000000000005</v>
      </c>
      <c r="AD178" s="25" t="s">
        <v>1151</v>
      </c>
      <c r="AE178" s="25" t="s">
        <v>885</v>
      </c>
      <c r="AF178" s="26">
        <v>589.95000000000005</v>
      </c>
      <c r="AG178" s="32"/>
      <c r="AH178" s="19">
        <f>AF178</f>
        <v>589.95000000000005</v>
      </c>
      <c r="AI178" s="3"/>
      <c r="AJ178" s="3"/>
      <c r="AK178" s="3"/>
      <c r="AL178" s="15">
        <f t="shared" si="23"/>
        <v>589.95000000000005</v>
      </c>
      <c r="AM178" s="15">
        <f t="shared" si="18"/>
        <v>0</v>
      </c>
      <c r="AN178">
        <v>0</v>
      </c>
      <c r="AO178" s="15">
        <f t="shared" si="21"/>
        <v>0</v>
      </c>
      <c r="AQ178" s="15">
        <f t="shared" si="17"/>
        <v>0</v>
      </c>
    </row>
    <row r="179" spans="1:43" x14ac:dyDescent="0.25">
      <c r="A179">
        <v>172</v>
      </c>
      <c r="B179" s="10">
        <v>1067</v>
      </c>
      <c r="C179" s="10" t="s">
        <v>1121</v>
      </c>
      <c r="D179" s="3" t="s">
        <v>889</v>
      </c>
      <c r="E179" s="3" t="s">
        <v>890</v>
      </c>
      <c r="F179" s="6" t="s">
        <v>891</v>
      </c>
      <c r="G179" s="3" t="s">
        <v>892</v>
      </c>
      <c r="H179" s="3" t="s">
        <v>14</v>
      </c>
      <c r="I179" s="3" t="s">
        <v>6</v>
      </c>
      <c r="J179" s="3" t="s">
        <v>33</v>
      </c>
      <c r="K179" s="3" t="s">
        <v>893</v>
      </c>
      <c r="L179" s="3"/>
      <c r="M179" s="3"/>
      <c r="N179" s="3"/>
      <c r="O179" s="3">
        <v>1610</v>
      </c>
      <c r="P179" s="3"/>
      <c r="Q179" s="4">
        <v>46031</v>
      </c>
      <c r="R179" s="5">
        <v>893.55</v>
      </c>
      <c r="S179" s="3">
        <v>45</v>
      </c>
      <c r="T179" s="3"/>
      <c r="U179" s="3">
        <v>0</v>
      </c>
      <c r="V179" s="3" t="s">
        <v>8</v>
      </c>
      <c r="W179" s="5">
        <v>893.55</v>
      </c>
      <c r="X179" s="5">
        <v>893.55</v>
      </c>
      <c r="Y179" s="16">
        <v>893.55</v>
      </c>
      <c r="Z179" s="3">
        <v>0</v>
      </c>
      <c r="AA179" s="3">
        <v>0</v>
      </c>
      <c r="AB179" s="5">
        <v>2680.65</v>
      </c>
      <c r="AD179" s="25" t="s">
        <v>1152</v>
      </c>
      <c r="AE179" s="25" t="s">
        <v>1158</v>
      </c>
      <c r="AF179" s="26">
        <v>893.55</v>
      </c>
      <c r="AG179" s="32"/>
      <c r="AH179" s="19"/>
      <c r="AI179" s="16">
        <f>AF179</f>
        <v>893.55</v>
      </c>
      <c r="AJ179" s="3"/>
      <c r="AK179" s="3"/>
      <c r="AL179" s="15">
        <f t="shared" si="23"/>
        <v>893.55</v>
      </c>
      <c r="AM179" s="15">
        <f t="shared" si="18"/>
        <v>1787.1000000000001</v>
      </c>
      <c r="AN179">
        <v>1787.1</v>
      </c>
      <c r="AO179" s="15">
        <f t="shared" si="21"/>
        <v>0</v>
      </c>
      <c r="AQ179" s="15">
        <f t="shared" si="17"/>
        <v>0</v>
      </c>
    </row>
    <row r="180" spans="1:43" x14ac:dyDescent="0.25">
      <c r="A180">
        <v>173</v>
      </c>
      <c r="B180" s="10" t="s">
        <v>894</v>
      </c>
      <c r="C180" s="10" t="s">
        <v>1122</v>
      </c>
      <c r="D180" s="3" t="s">
        <v>895</v>
      </c>
      <c r="E180" s="3" t="s">
        <v>896</v>
      </c>
      <c r="F180" s="3" t="s">
        <v>897</v>
      </c>
      <c r="G180" s="3" t="s">
        <v>898</v>
      </c>
      <c r="H180" s="3" t="s">
        <v>14</v>
      </c>
      <c r="I180" s="3" t="s">
        <v>6</v>
      </c>
      <c r="J180" s="3" t="s">
        <v>15</v>
      </c>
      <c r="K180" s="3" t="s">
        <v>899</v>
      </c>
      <c r="L180" s="3"/>
      <c r="M180" s="3"/>
      <c r="N180" s="3"/>
      <c r="O180" s="3">
        <v>1613</v>
      </c>
      <c r="P180" s="3"/>
      <c r="Q180" s="4">
        <v>46081</v>
      </c>
      <c r="R180" s="5">
        <v>1478.53</v>
      </c>
      <c r="S180" s="3">
        <v>227</v>
      </c>
      <c r="T180" s="3"/>
      <c r="U180" s="3">
        <v>0</v>
      </c>
      <c r="V180" s="3" t="s">
        <v>8</v>
      </c>
      <c r="W180" s="5">
        <v>1478.53</v>
      </c>
      <c r="X180" s="3">
        <v>0</v>
      </c>
      <c r="Y180" s="3">
        <v>0</v>
      </c>
      <c r="Z180" s="3">
        <v>0</v>
      </c>
      <c r="AA180" s="3">
        <v>0</v>
      </c>
      <c r="AB180" s="5">
        <v>1478.53</v>
      </c>
      <c r="AD180" s="25" t="s">
        <v>1201</v>
      </c>
      <c r="AE180" s="25" t="s">
        <v>1252</v>
      </c>
      <c r="AF180" s="26">
        <v>1478.53</v>
      </c>
      <c r="AG180" s="33">
        <f>AF180</f>
        <v>1478.53</v>
      </c>
      <c r="AH180" s="18"/>
      <c r="AI180" s="3"/>
      <c r="AJ180" s="3"/>
      <c r="AK180" s="3"/>
      <c r="AL180" s="15">
        <f t="shared" si="23"/>
        <v>1478.53</v>
      </c>
      <c r="AM180" s="15">
        <f t="shared" si="18"/>
        <v>0</v>
      </c>
      <c r="AN180" s="15">
        <f>AM180</f>
        <v>0</v>
      </c>
      <c r="AO180" s="15">
        <f t="shared" si="21"/>
        <v>0</v>
      </c>
      <c r="AQ180" s="15">
        <f t="shared" si="17"/>
        <v>0</v>
      </c>
    </row>
    <row r="181" spans="1:43" x14ac:dyDescent="0.25">
      <c r="A181">
        <v>174</v>
      </c>
      <c r="B181" s="10" t="s">
        <v>900</v>
      </c>
      <c r="C181" s="10" t="s">
        <v>1123</v>
      </c>
      <c r="D181" s="3" t="s">
        <v>901</v>
      </c>
      <c r="E181" s="3"/>
      <c r="F181" s="3"/>
      <c r="G181" s="3"/>
      <c r="H181" s="3" t="s">
        <v>14</v>
      </c>
      <c r="I181" s="3"/>
      <c r="J181" s="3"/>
      <c r="K181" s="3" t="s">
        <v>902</v>
      </c>
      <c r="L181" s="3"/>
      <c r="M181" s="3"/>
      <c r="N181" s="3" t="s">
        <v>22</v>
      </c>
      <c r="O181" s="3"/>
      <c r="P181" s="3"/>
      <c r="Q181" s="3"/>
      <c r="R181" s="3">
        <v>0</v>
      </c>
      <c r="S181" s="3">
        <v>182</v>
      </c>
      <c r="T181" s="3"/>
      <c r="U181" s="3">
        <v>0</v>
      </c>
      <c r="V181" s="3" t="s">
        <v>8</v>
      </c>
      <c r="W181" s="5">
        <v>224.25</v>
      </c>
      <c r="X181" s="5">
        <v>224.25</v>
      </c>
      <c r="Y181" s="5">
        <v>224.25</v>
      </c>
      <c r="Z181" s="3">
        <v>0</v>
      </c>
      <c r="AA181" s="3">
        <v>0</v>
      </c>
      <c r="AB181" s="5">
        <v>672.75</v>
      </c>
      <c r="AD181" s="25"/>
      <c r="AE181" s="25"/>
      <c r="AF181" s="25"/>
      <c r="AG181" s="32"/>
      <c r="AH181" s="19"/>
      <c r="AI181" s="5"/>
      <c r="AJ181" s="3"/>
      <c r="AK181" s="3"/>
      <c r="AL181" s="15">
        <f t="shared" si="23"/>
        <v>0</v>
      </c>
      <c r="AM181" s="15">
        <f t="shared" si="18"/>
        <v>672.75</v>
      </c>
      <c r="AN181" s="15">
        <f t="shared" ref="AN181:AN191" si="24">AM181</f>
        <v>672.75</v>
      </c>
      <c r="AO181" s="15">
        <f t="shared" si="21"/>
        <v>0</v>
      </c>
      <c r="AQ181" s="15">
        <f t="shared" si="17"/>
        <v>0</v>
      </c>
    </row>
    <row r="182" spans="1:43" x14ac:dyDescent="0.25">
      <c r="A182">
        <v>175</v>
      </c>
      <c r="B182" s="10" t="s">
        <v>903</v>
      </c>
      <c r="C182" s="10" t="s">
        <v>1273</v>
      </c>
      <c r="D182" s="3" t="s">
        <v>904</v>
      </c>
      <c r="E182" s="3" t="s">
        <v>905</v>
      </c>
      <c r="F182" s="3" t="s">
        <v>906</v>
      </c>
      <c r="G182" s="3" t="s">
        <v>907</v>
      </c>
      <c r="H182" s="3" t="s">
        <v>14</v>
      </c>
      <c r="I182" s="3" t="s">
        <v>6</v>
      </c>
      <c r="J182" s="3" t="s">
        <v>33</v>
      </c>
      <c r="K182" s="3" t="s">
        <v>908</v>
      </c>
      <c r="L182" s="3"/>
      <c r="M182" s="3"/>
      <c r="N182" s="3"/>
      <c r="O182" s="3">
        <v>2055</v>
      </c>
      <c r="P182" s="3"/>
      <c r="Q182" s="4">
        <v>46008</v>
      </c>
      <c r="R182" s="5">
        <v>115</v>
      </c>
      <c r="S182" s="3">
        <v>602</v>
      </c>
      <c r="T182" s="3"/>
      <c r="U182" s="3">
        <v>0</v>
      </c>
      <c r="V182" s="3" t="s">
        <v>8</v>
      </c>
      <c r="W182" s="5">
        <v>115</v>
      </c>
      <c r="X182" s="5">
        <v>115</v>
      </c>
      <c r="Y182" s="5">
        <v>115</v>
      </c>
      <c r="Z182" s="3">
        <v>0</v>
      </c>
      <c r="AA182" s="3">
        <v>0</v>
      </c>
      <c r="AB182" s="5">
        <v>345</v>
      </c>
      <c r="AD182" s="25"/>
      <c r="AE182" s="25"/>
      <c r="AF182" s="25"/>
      <c r="AG182" s="32"/>
      <c r="AH182" s="19"/>
      <c r="AI182" s="5"/>
      <c r="AJ182" s="3"/>
      <c r="AK182" s="3"/>
      <c r="AL182" s="15">
        <f t="shared" si="23"/>
        <v>0</v>
      </c>
      <c r="AM182" s="15">
        <f t="shared" si="18"/>
        <v>345</v>
      </c>
      <c r="AN182" s="15">
        <f t="shared" si="24"/>
        <v>345</v>
      </c>
      <c r="AO182" s="15">
        <f t="shared" si="21"/>
        <v>0</v>
      </c>
      <c r="AQ182" s="15">
        <f t="shared" si="17"/>
        <v>0</v>
      </c>
    </row>
    <row r="183" spans="1:43" x14ac:dyDescent="0.25">
      <c r="A183">
        <v>176</v>
      </c>
      <c r="B183" s="10" t="s">
        <v>909</v>
      </c>
      <c r="C183" s="10" t="s">
        <v>1124</v>
      </c>
      <c r="D183" s="3" t="s">
        <v>910</v>
      </c>
      <c r="E183" s="3" t="s">
        <v>314</v>
      </c>
      <c r="F183" s="3" t="s">
        <v>911</v>
      </c>
      <c r="G183" s="3" t="s">
        <v>316</v>
      </c>
      <c r="H183" s="3" t="s">
        <v>14</v>
      </c>
      <c r="I183" s="3" t="s">
        <v>6</v>
      </c>
      <c r="J183" s="3" t="s">
        <v>33</v>
      </c>
      <c r="K183" s="3" t="s">
        <v>912</v>
      </c>
      <c r="L183" s="3"/>
      <c r="M183" s="3"/>
      <c r="N183" s="3"/>
      <c r="O183" s="3">
        <v>4000</v>
      </c>
      <c r="P183" s="3"/>
      <c r="Q183" s="4">
        <v>46081</v>
      </c>
      <c r="R183" s="5">
        <v>8547.09</v>
      </c>
      <c r="S183" s="3">
        <v>210</v>
      </c>
      <c r="T183" s="3"/>
      <c r="U183" s="3">
        <v>0</v>
      </c>
      <c r="V183" s="3" t="s">
        <v>8</v>
      </c>
      <c r="W183" s="5">
        <v>8547.09</v>
      </c>
      <c r="X183" s="3">
        <v>0</v>
      </c>
      <c r="Y183" s="3">
        <v>0</v>
      </c>
      <c r="Z183" s="3">
        <v>0</v>
      </c>
      <c r="AA183" s="3">
        <v>0</v>
      </c>
      <c r="AB183" s="5">
        <v>8547.09</v>
      </c>
      <c r="AD183" s="25"/>
      <c r="AE183" s="25"/>
      <c r="AF183" s="25"/>
      <c r="AG183" s="32"/>
      <c r="AH183" s="18"/>
      <c r="AI183" s="3"/>
      <c r="AJ183" s="3"/>
      <c r="AK183" s="3"/>
      <c r="AL183" s="15">
        <f t="shared" si="23"/>
        <v>0</v>
      </c>
      <c r="AM183" s="15">
        <f t="shared" si="18"/>
        <v>8547.09</v>
      </c>
      <c r="AN183" s="15">
        <f t="shared" si="24"/>
        <v>8547.09</v>
      </c>
      <c r="AO183" s="15">
        <f t="shared" si="21"/>
        <v>0</v>
      </c>
      <c r="AQ183" s="15">
        <f t="shared" si="17"/>
        <v>0</v>
      </c>
    </row>
    <row r="184" spans="1:43" x14ac:dyDescent="0.25">
      <c r="A184">
        <v>177</v>
      </c>
      <c r="B184" s="10" t="s">
        <v>913</v>
      </c>
      <c r="C184" s="10" t="s">
        <v>1125</v>
      </c>
      <c r="D184" s="3" t="s">
        <v>914</v>
      </c>
      <c r="E184" s="3" t="s">
        <v>314</v>
      </c>
      <c r="F184" s="3" t="s">
        <v>915</v>
      </c>
      <c r="G184" s="3" t="s">
        <v>316</v>
      </c>
      <c r="H184" s="3" t="s">
        <v>14</v>
      </c>
      <c r="I184" s="3" t="s">
        <v>6</v>
      </c>
      <c r="J184" s="3" t="s">
        <v>33</v>
      </c>
      <c r="K184" s="3" t="s">
        <v>916</v>
      </c>
      <c r="L184" s="3"/>
      <c r="M184" s="3"/>
      <c r="N184" s="3"/>
      <c r="O184" s="3">
        <v>1451</v>
      </c>
      <c r="P184" s="3"/>
      <c r="Q184" s="4">
        <v>46081</v>
      </c>
      <c r="R184" s="5">
        <v>14970.66</v>
      </c>
      <c r="S184" s="3">
        <v>280</v>
      </c>
      <c r="T184" s="3"/>
      <c r="U184" s="3">
        <v>0</v>
      </c>
      <c r="V184" s="3" t="s">
        <v>8</v>
      </c>
      <c r="W184" s="5">
        <v>14970.65</v>
      </c>
      <c r="X184" s="3">
        <v>0</v>
      </c>
      <c r="Y184" s="3">
        <v>0</v>
      </c>
      <c r="Z184" s="3">
        <v>0</v>
      </c>
      <c r="AA184" s="3">
        <v>0</v>
      </c>
      <c r="AB184" s="5">
        <v>14970.65</v>
      </c>
      <c r="AD184" s="25"/>
      <c r="AE184" s="25"/>
      <c r="AF184" s="25"/>
      <c r="AG184" s="32"/>
      <c r="AH184" s="18"/>
      <c r="AI184" s="3"/>
      <c r="AJ184" s="3"/>
      <c r="AK184" s="3"/>
      <c r="AL184" s="15">
        <f t="shared" si="23"/>
        <v>0</v>
      </c>
      <c r="AM184" s="15">
        <f t="shared" si="18"/>
        <v>14970.65</v>
      </c>
      <c r="AN184" s="15">
        <f t="shared" si="24"/>
        <v>14970.65</v>
      </c>
      <c r="AO184" s="15">
        <f t="shared" si="21"/>
        <v>0</v>
      </c>
      <c r="AQ184" s="15">
        <f t="shared" si="17"/>
        <v>0</v>
      </c>
    </row>
    <row r="185" spans="1:43" x14ac:dyDescent="0.25">
      <c r="A185">
        <v>178</v>
      </c>
      <c r="B185" s="10" t="s">
        <v>917</v>
      </c>
      <c r="C185" s="10" t="s">
        <v>1126</v>
      </c>
      <c r="D185" s="3" t="s">
        <v>918</v>
      </c>
      <c r="E185" s="3" t="s">
        <v>314</v>
      </c>
      <c r="F185" s="3" t="s">
        <v>919</v>
      </c>
      <c r="G185" s="3" t="s">
        <v>316</v>
      </c>
      <c r="H185" s="3" t="s">
        <v>14</v>
      </c>
      <c r="I185" s="3" t="s">
        <v>6</v>
      </c>
      <c r="J185" s="3" t="s">
        <v>33</v>
      </c>
      <c r="K185" s="3" t="s">
        <v>920</v>
      </c>
      <c r="L185" s="3"/>
      <c r="M185" s="3"/>
      <c r="N185" s="3"/>
      <c r="O185" s="3">
        <v>8466</v>
      </c>
      <c r="P185" s="3"/>
      <c r="Q185" s="4">
        <v>46081</v>
      </c>
      <c r="R185" s="5">
        <v>6746.73</v>
      </c>
      <c r="S185" s="3">
        <v>213</v>
      </c>
      <c r="T185" s="3"/>
      <c r="U185" s="3">
        <v>0</v>
      </c>
      <c r="V185" s="3" t="s">
        <v>8</v>
      </c>
      <c r="W185" s="5">
        <v>6746.73</v>
      </c>
      <c r="X185" s="3">
        <v>0</v>
      </c>
      <c r="Y185" s="3">
        <v>0</v>
      </c>
      <c r="Z185" s="3">
        <v>0</v>
      </c>
      <c r="AA185" s="3">
        <v>0</v>
      </c>
      <c r="AB185" s="5">
        <v>6746.73</v>
      </c>
      <c r="AD185" s="25"/>
      <c r="AE185" s="25"/>
      <c r="AF185" s="25"/>
      <c r="AG185" s="32"/>
      <c r="AH185" s="18"/>
      <c r="AI185" s="3"/>
      <c r="AJ185" s="3"/>
      <c r="AK185" s="3"/>
      <c r="AL185" s="15">
        <f t="shared" si="23"/>
        <v>0</v>
      </c>
      <c r="AM185" s="15">
        <f t="shared" si="18"/>
        <v>6746.73</v>
      </c>
      <c r="AN185" s="15">
        <f t="shared" si="24"/>
        <v>6746.73</v>
      </c>
      <c r="AO185" s="15">
        <f t="shared" si="21"/>
        <v>0</v>
      </c>
      <c r="AQ185" s="15">
        <f t="shared" si="17"/>
        <v>0</v>
      </c>
    </row>
    <row r="186" spans="1:43" x14ac:dyDescent="0.25">
      <c r="A186">
        <v>179</v>
      </c>
      <c r="B186" s="10" t="s">
        <v>921</v>
      </c>
      <c r="C186" s="10" t="s">
        <v>1127</v>
      </c>
      <c r="D186" s="3" t="s">
        <v>922</v>
      </c>
      <c r="E186" s="3" t="s">
        <v>314</v>
      </c>
      <c r="F186" s="3" t="s">
        <v>923</v>
      </c>
      <c r="G186" s="3" t="s">
        <v>316</v>
      </c>
      <c r="H186" s="3" t="s">
        <v>14</v>
      </c>
      <c r="I186" s="3" t="s">
        <v>6</v>
      </c>
      <c r="J186" s="3" t="s">
        <v>33</v>
      </c>
      <c r="K186" s="3" t="s">
        <v>924</v>
      </c>
      <c r="L186" s="3"/>
      <c r="M186" s="3"/>
      <c r="N186" s="3"/>
      <c r="O186" s="3">
        <v>2570</v>
      </c>
      <c r="P186" s="3"/>
      <c r="Q186" s="4">
        <v>46081</v>
      </c>
      <c r="R186" s="5">
        <v>7011.14</v>
      </c>
      <c r="S186" s="3">
        <v>294</v>
      </c>
      <c r="T186" s="3"/>
      <c r="U186" s="3">
        <v>0</v>
      </c>
      <c r="V186" s="3" t="s">
        <v>8</v>
      </c>
      <c r="W186" s="5">
        <v>8368.25</v>
      </c>
      <c r="X186" s="3">
        <v>0</v>
      </c>
      <c r="Y186" s="3">
        <v>0</v>
      </c>
      <c r="Z186" s="3">
        <v>0</v>
      </c>
      <c r="AA186" s="5">
        <v>-7.0000000000000007E-2</v>
      </c>
      <c r="AB186" s="5">
        <v>8368.18</v>
      </c>
      <c r="AD186" s="25"/>
      <c r="AE186" s="25"/>
      <c r="AF186" s="25"/>
      <c r="AG186" s="32"/>
      <c r="AH186" s="18"/>
      <c r="AI186" s="3"/>
      <c r="AJ186" s="3"/>
      <c r="AK186" s="5"/>
      <c r="AL186" s="15">
        <f t="shared" si="23"/>
        <v>0</v>
      </c>
      <c r="AM186" s="15">
        <f t="shared" si="18"/>
        <v>8368.18</v>
      </c>
      <c r="AN186" s="15">
        <f t="shared" si="24"/>
        <v>8368.18</v>
      </c>
      <c r="AO186" s="15">
        <f t="shared" si="21"/>
        <v>0</v>
      </c>
      <c r="AQ186" s="15">
        <f t="shared" si="17"/>
        <v>0</v>
      </c>
    </row>
    <row r="187" spans="1:43" x14ac:dyDescent="0.25">
      <c r="A187">
        <v>180</v>
      </c>
      <c r="B187" s="10" t="s">
        <v>925</v>
      </c>
      <c r="C187" s="10" t="s">
        <v>1128</v>
      </c>
      <c r="D187" s="3" t="s">
        <v>926</v>
      </c>
      <c r="E187" s="3" t="s">
        <v>314</v>
      </c>
      <c r="F187" s="3" t="s">
        <v>927</v>
      </c>
      <c r="G187" s="3" t="s">
        <v>316</v>
      </c>
      <c r="H187" s="3" t="s">
        <v>14</v>
      </c>
      <c r="I187" s="3" t="s">
        <v>6</v>
      </c>
      <c r="J187" s="3" t="s">
        <v>33</v>
      </c>
      <c r="K187" s="3" t="s">
        <v>928</v>
      </c>
      <c r="L187" s="3"/>
      <c r="M187" s="3"/>
      <c r="N187" s="3"/>
      <c r="O187" s="3">
        <v>6056</v>
      </c>
      <c r="P187" s="3"/>
      <c r="Q187" s="4">
        <v>46081</v>
      </c>
      <c r="R187" s="5">
        <v>2070.63</v>
      </c>
      <c r="S187" s="3">
        <v>61</v>
      </c>
      <c r="T187" s="3" t="s">
        <v>929</v>
      </c>
      <c r="U187" s="3">
        <v>0</v>
      </c>
      <c r="V187" s="3" t="s">
        <v>8</v>
      </c>
      <c r="W187" s="5">
        <v>2070.63</v>
      </c>
      <c r="X187" s="3">
        <v>0</v>
      </c>
      <c r="Y187" s="3">
        <v>0</v>
      </c>
      <c r="Z187" s="3">
        <v>0</v>
      </c>
      <c r="AA187" s="3">
        <v>0</v>
      </c>
      <c r="AB187" s="5">
        <v>2070.63</v>
      </c>
      <c r="AD187" s="25"/>
      <c r="AE187" s="25"/>
      <c r="AF187" s="25"/>
      <c r="AG187" s="32"/>
      <c r="AH187" s="18"/>
      <c r="AI187" s="3"/>
      <c r="AJ187" s="3"/>
      <c r="AK187" s="3"/>
      <c r="AL187" s="15">
        <f t="shared" si="23"/>
        <v>0</v>
      </c>
      <c r="AM187" s="15">
        <f t="shared" si="18"/>
        <v>2070.63</v>
      </c>
      <c r="AN187" s="15">
        <f t="shared" si="24"/>
        <v>2070.63</v>
      </c>
      <c r="AO187" s="15">
        <f t="shared" si="21"/>
        <v>0</v>
      </c>
      <c r="AQ187" s="15">
        <f t="shared" si="17"/>
        <v>0</v>
      </c>
    </row>
    <row r="188" spans="1:43" x14ac:dyDescent="0.25">
      <c r="A188">
        <v>181</v>
      </c>
      <c r="B188" s="10" t="s">
        <v>930</v>
      </c>
      <c r="C188" s="10" t="s">
        <v>1129</v>
      </c>
      <c r="D188" s="3" t="s">
        <v>931</v>
      </c>
      <c r="E188" s="3" t="s">
        <v>314</v>
      </c>
      <c r="F188" s="3" t="s">
        <v>932</v>
      </c>
      <c r="G188" s="3" t="s">
        <v>316</v>
      </c>
      <c r="H188" s="3" t="s">
        <v>14</v>
      </c>
      <c r="I188" s="3" t="s">
        <v>6</v>
      </c>
      <c r="J188" s="3" t="s">
        <v>33</v>
      </c>
      <c r="K188" s="3" t="s">
        <v>933</v>
      </c>
      <c r="L188" s="3"/>
      <c r="M188" s="3"/>
      <c r="N188" s="3"/>
      <c r="O188" s="6" t="s">
        <v>399</v>
      </c>
      <c r="P188" s="3"/>
      <c r="Q188" s="4">
        <v>46081</v>
      </c>
      <c r="R188" s="5">
        <v>7546.12</v>
      </c>
      <c r="S188" s="3">
        <v>317</v>
      </c>
      <c r="T188" s="3"/>
      <c r="U188" s="3">
        <v>0</v>
      </c>
      <c r="V188" s="3" t="s">
        <v>8</v>
      </c>
      <c r="W188" s="5">
        <v>8563.8700000000008</v>
      </c>
      <c r="X188" s="3">
        <v>0</v>
      </c>
      <c r="Y188" s="3">
        <v>0</v>
      </c>
      <c r="Z188" s="3">
        <v>0</v>
      </c>
      <c r="AA188" s="3">
        <v>0</v>
      </c>
      <c r="AB188" s="5">
        <v>8563.8700000000008</v>
      </c>
      <c r="AD188" s="25"/>
      <c r="AE188" s="25"/>
      <c r="AF188" s="25"/>
      <c r="AG188" s="32"/>
      <c r="AH188" s="18"/>
      <c r="AI188" s="3"/>
      <c r="AJ188" s="3"/>
      <c r="AK188" s="3"/>
      <c r="AL188" s="15">
        <f t="shared" si="23"/>
        <v>0</v>
      </c>
      <c r="AM188" s="15">
        <f t="shared" si="18"/>
        <v>8563.8700000000008</v>
      </c>
      <c r="AN188" s="15">
        <f t="shared" si="24"/>
        <v>8563.8700000000008</v>
      </c>
      <c r="AO188" s="15">
        <f t="shared" si="21"/>
        <v>0</v>
      </c>
      <c r="AQ188" s="15">
        <f t="shared" si="17"/>
        <v>0</v>
      </c>
    </row>
    <row r="189" spans="1:43" x14ac:dyDescent="0.25">
      <c r="A189">
        <v>182</v>
      </c>
      <c r="B189" s="10" t="s">
        <v>934</v>
      </c>
      <c r="C189" s="10" t="s">
        <v>1130</v>
      </c>
      <c r="D189" s="3" t="s">
        <v>935</v>
      </c>
      <c r="E189" s="3" t="s">
        <v>314</v>
      </c>
      <c r="F189" s="3" t="s">
        <v>936</v>
      </c>
      <c r="G189" s="3" t="s">
        <v>316</v>
      </c>
      <c r="H189" s="3" t="s">
        <v>14</v>
      </c>
      <c r="I189" s="3" t="s">
        <v>6</v>
      </c>
      <c r="J189" s="3" t="s">
        <v>33</v>
      </c>
      <c r="K189" s="3" t="s">
        <v>937</v>
      </c>
      <c r="L189" s="3"/>
      <c r="M189" s="3"/>
      <c r="N189" s="3"/>
      <c r="O189" s="3">
        <v>8240</v>
      </c>
      <c r="P189" s="3"/>
      <c r="Q189" s="4">
        <v>46081</v>
      </c>
      <c r="R189" s="5">
        <v>2748.44</v>
      </c>
      <c r="S189" s="3">
        <v>66</v>
      </c>
      <c r="T189" s="3"/>
      <c r="U189" s="3">
        <v>0</v>
      </c>
      <c r="V189" s="3" t="s">
        <v>8</v>
      </c>
      <c r="W189" s="5">
        <v>2748.44</v>
      </c>
      <c r="X189" s="3">
        <v>0</v>
      </c>
      <c r="Y189" s="3">
        <v>0</v>
      </c>
      <c r="Z189" s="3">
        <v>0</v>
      </c>
      <c r="AA189" s="3">
        <v>0</v>
      </c>
      <c r="AB189" s="5">
        <v>2748.44</v>
      </c>
      <c r="AD189" s="25"/>
      <c r="AE189" s="25"/>
      <c r="AF189" s="25"/>
      <c r="AG189" s="32"/>
      <c r="AH189" s="18"/>
      <c r="AI189" s="3"/>
      <c r="AJ189" s="3"/>
      <c r="AK189" s="3"/>
      <c r="AL189" s="15">
        <f t="shared" si="23"/>
        <v>0</v>
      </c>
      <c r="AM189" s="15">
        <f t="shared" si="18"/>
        <v>2748.44</v>
      </c>
      <c r="AN189" s="15">
        <f t="shared" si="24"/>
        <v>2748.44</v>
      </c>
      <c r="AO189" s="15">
        <f t="shared" si="21"/>
        <v>0</v>
      </c>
      <c r="AQ189" s="15">
        <f t="shared" si="17"/>
        <v>0</v>
      </c>
    </row>
    <row r="190" spans="1:43" x14ac:dyDescent="0.25">
      <c r="A190">
        <v>183</v>
      </c>
      <c r="B190" s="10" t="s">
        <v>938</v>
      </c>
      <c r="C190" s="10" t="s">
        <v>1131</v>
      </c>
      <c r="D190" s="3" t="s">
        <v>939</v>
      </c>
      <c r="E190" s="3" t="s">
        <v>314</v>
      </c>
      <c r="F190" s="3" t="s">
        <v>940</v>
      </c>
      <c r="G190" s="3" t="s">
        <v>316</v>
      </c>
      <c r="H190" s="3" t="s">
        <v>14</v>
      </c>
      <c r="I190" s="3" t="s">
        <v>6</v>
      </c>
      <c r="J190" s="3" t="s">
        <v>33</v>
      </c>
      <c r="K190" s="3" t="s">
        <v>941</v>
      </c>
      <c r="L190" s="3"/>
      <c r="M190" s="3"/>
      <c r="N190" s="3"/>
      <c r="O190" s="3">
        <v>7532</v>
      </c>
      <c r="P190" s="3"/>
      <c r="Q190" s="4">
        <v>46081</v>
      </c>
      <c r="R190" s="5">
        <v>7334.45</v>
      </c>
      <c r="S190" s="3">
        <v>109</v>
      </c>
      <c r="T190" s="3"/>
      <c r="U190" s="3">
        <v>0</v>
      </c>
      <c r="V190" s="3" t="s">
        <v>8</v>
      </c>
      <c r="W190" s="5">
        <v>7334.45</v>
      </c>
      <c r="X190" s="3">
        <v>0</v>
      </c>
      <c r="Y190" s="3">
        <v>0</v>
      </c>
      <c r="Z190" s="3">
        <v>0</v>
      </c>
      <c r="AA190" s="3">
        <v>0</v>
      </c>
      <c r="AB190" s="5">
        <v>7334.45</v>
      </c>
      <c r="AD190" s="25"/>
      <c r="AE190" s="25"/>
      <c r="AF190" s="25"/>
      <c r="AG190" s="32"/>
      <c r="AH190" s="18"/>
      <c r="AI190" s="3"/>
      <c r="AJ190" s="3"/>
      <c r="AK190" s="3"/>
      <c r="AL190" s="15">
        <f t="shared" si="23"/>
        <v>0</v>
      </c>
      <c r="AM190" s="15">
        <f t="shared" si="18"/>
        <v>7334.45</v>
      </c>
      <c r="AN190" s="15">
        <f t="shared" si="24"/>
        <v>7334.45</v>
      </c>
      <c r="AO190" s="15">
        <f t="shared" si="21"/>
        <v>0</v>
      </c>
      <c r="AQ190" s="15">
        <f t="shared" si="17"/>
        <v>0</v>
      </c>
    </row>
    <row r="191" spans="1:43" x14ac:dyDescent="0.25">
      <c r="A191">
        <v>184</v>
      </c>
      <c r="B191" s="10" t="s">
        <v>942</v>
      </c>
      <c r="C191" s="10" t="s">
        <v>1132</v>
      </c>
      <c r="D191" s="3" t="s">
        <v>943</v>
      </c>
      <c r="E191" s="3" t="s">
        <v>314</v>
      </c>
      <c r="F191" s="3" t="s">
        <v>944</v>
      </c>
      <c r="G191" s="3" t="s">
        <v>316</v>
      </c>
      <c r="H191" s="3" t="s">
        <v>14</v>
      </c>
      <c r="I191" s="3" t="s">
        <v>6</v>
      </c>
      <c r="J191" s="3" t="s">
        <v>33</v>
      </c>
      <c r="K191" s="3" t="s">
        <v>945</v>
      </c>
      <c r="L191" s="3"/>
      <c r="M191" s="3"/>
      <c r="N191" s="3"/>
      <c r="O191" s="3">
        <v>1035</v>
      </c>
      <c r="P191" s="3"/>
      <c r="Q191" s="4">
        <v>46081</v>
      </c>
      <c r="R191" s="5">
        <v>6243.43</v>
      </c>
      <c r="S191" s="3">
        <v>181</v>
      </c>
      <c r="T191" s="3"/>
      <c r="U191" s="3">
        <v>0</v>
      </c>
      <c r="V191" s="3" t="s">
        <v>8</v>
      </c>
      <c r="W191" s="5">
        <v>6243.39</v>
      </c>
      <c r="X191" s="3">
        <v>0</v>
      </c>
      <c r="Y191" s="3">
        <v>0</v>
      </c>
      <c r="Z191" s="3">
        <v>0</v>
      </c>
      <c r="AA191" s="3">
        <v>0</v>
      </c>
      <c r="AB191" s="5">
        <v>6243.39</v>
      </c>
      <c r="AD191" s="25"/>
      <c r="AE191" s="25"/>
      <c r="AF191" s="25"/>
      <c r="AG191" s="32"/>
      <c r="AH191" s="18"/>
      <c r="AI191" s="3"/>
      <c r="AJ191" s="3"/>
      <c r="AK191" s="3"/>
      <c r="AL191" s="15">
        <f t="shared" si="23"/>
        <v>0</v>
      </c>
      <c r="AM191" s="15">
        <f t="shared" si="18"/>
        <v>6243.39</v>
      </c>
      <c r="AN191" s="15">
        <f t="shared" si="24"/>
        <v>6243.39</v>
      </c>
      <c r="AO191" s="15">
        <f t="shared" si="21"/>
        <v>0</v>
      </c>
      <c r="AQ191" s="15">
        <f t="shared" si="17"/>
        <v>0</v>
      </c>
    </row>
    <row r="192" spans="1:43" x14ac:dyDescent="0.25">
      <c r="A192">
        <v>185</v>
      </c>
      <c r="B192" s="10">
        <v>2271</v>
      </c>
      <c r="C192" s="10" t="s">
        <v>1133</v>
      </c>
      <c r="D192" s="3" t="s">
        <v>946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>
        <v>0</v>
      </c>
      <c r="S192" s="3">
        <v>31</v>
      </c>
      <c r="T192" s="3"/>
      <c r="U192" s="3">
        <v>0</v>
      </c>
      <c r="V192" s="3" t="s">
        <v>8</v>
      </c>
      <c r="W192" s="5">
        <v>26148.7</v>
      </c>
      <c r="X192" s="3">
        <v>0</v>
      </c>
      <c r="Y192" s="3">
        <v>0</v>
      </c>
      <c r="Z192" s="3">
        <v>0</v>
      </c>
      <c r="AA192" s="3">
        <v>0</v>
      </c>
      <c r="AB192" s="5">
        <v>26148.7</v>
      </c>
      <c r="AD192" s="25"/>
      <c r="AE192" s="25"/>
      <c r="AF192" s="25"/>
      <c r="AG192" s="32"/>
      <c r="AH192" s="18"/>
      <c r="AI192" s="3"/>
      <c r="AJ192" s="3"/>
      <c r="AK192" s="3"/>
      <c r="AL192" s="15">
        <f t="shared" si="23"/>
        <v>0</v>
      </c>
      <c r="AM192" s="15">
        <f t="shared" si="18"/>
        <v>26148.7</v>
      </c>
      <c r="AN192" s="15">
        <v>26148.7</v>
      </c>
      <c r="AO192" s="15">
        <f t="shared" si="21"/>
        <v>0</v>
      </c>
      <c r="AQ192" s="15">
        <f t="shared" si="17"/>
        <v>0</v>
      </c>
    </row>
    <row r="193" spans="1:43" x14ac:dyDescent="0.25">
      <c r="A193">
        <v>186</v>
      </c>
      <c r="B193" s="10">
        <v>1162</v>
      </c>
      <c r="C193" s="10" t="s">
        <v>1134</v>
      </c>
      <c r="D193" s="3" t="s">
        <v>947</v>
      </c>
      <c r="E193" s="3" t="s">
        <v>948</v>
      </c>
      <c r="F193" s="3" t="s">
        <v>949</v>
      </c>
      <c r="G193" s="3" t="s">
        <v>950</v>
      </c>
      <c r="H193" s="3" t="s">
        <v>14</v>
      </c>
      <c r="I193" s="3" t="s">
        <v>6</v>
      </c>
      <c r="J193" s="3" t="s">
        <v>33</v>
      </c>
      <c r="K193" s="3" t="s">
        <v>951</v>
      </c>
      <c r="L193" s="3"/>
      <c r="M193" s="3"/>
      <c r="N193" s="3"/>
      <c r="O193" s="3"/>
      <c r="P193" s="3"/>
      <c r="Q193" s="4">
        <v>46063</v>
      </c>
      <c r="R193" s="5">
        <v>147380.65</v>
      </c>
      <c r="S193" s="3">
        <v>460</v>
      </c>
      <c r="T193" s="3"/>
      <c r="U193" s="3">
        <v>0</v>
      </c>
      <c r="V193" s="3" t="s">
        <v>8</v>
      </c>
      <c r="W193" s="5">
        <v>187171.36</v>
      </c>
      <c r="X193" s="5">
        <v>135453.88</v>
      </c>
      <c r="Y193" s="5">
        <v>4340.17</v>
      </c>
      <c r="Z193" s="3">
        <v>0</v>
      </c>
      <c r="AA193" s="5">
        <v>-371.36</v>
      </c>
      <c r="AB193" s="5">
        <v>326594.05</v>
      </c>
      <c r="AD193" s="25" t="s">
        <v>1183</v>
      </c>
      <c r="AE193" s="25" t="s">
        <v>1193</v>
      </c>
      <c r="AF193" s="26">
        <v>134422.32999999999</v>
      </c>
      <c r="AG193" s="32"/>
      <c r="AH193" s="19">
        <f>AF193</f>
        <v>134422.32999999999</v>
      </c>
      <c r="AI193" s="5"/>
      <c r="AJ193" s="3"/>
      <c r="AK193" s="5"/>
      <c r="AL193" s="15">
        <f t="shared" si="23"/>
        <v>134422.32999999999</v>
      </c>
      <c r="AM193" s="15">
        <f t="shared" si="18"/>
        <v>192171.72</v>
      </c>
      <c r="AN193">
        <v>192171.72</v>
      </c>
      <c r="AO193" s="15">
        <f t="shared" si="21"/>
        <v>0</v>
      </c>
      <c r="AQ193" s="15">
        <f t="shared" si="17"/>
        <v>0</v>
      </c>
    </row>
    <row r="194" spans="1:43" x14ac:dyDescent="0.25">
      <c r="A194">
        <v>187</v>
      </c>
      <c r="B194" s="10" t="s">
        <v>952</v>
      </c>
      <c r="C194" s="10" t="s">
        <v>1135</v>
      </c>
      <c r="D194" s="3" t="s">
        <v>953</v>
      </c>
      <c r="E194" s="3" t="s">
        <v>953</v>
      </c>
      <c r="F194" s="3"/>
      <c r="G194" s="3" t="s">
        <v>954</v>
      </c>
      <c r="H194" s="3" t="s">
        <v>14</v>
      </c>
      <c r="I194" s="3" t="s">
        <v>6</v>
      </c>
      <c r="J194" s="3"/>
      <c r="K194" s="3" t="s">
        <v>955</v>
      </c>
      <c r="L194" s="3"/>
      <c r="M194" s="3"/>
      <c r="N194" s="3" t="s">
        <v>22</v>
      </c>
      <c r="O194" s="3"/>
      <c r="P194" s="3"/>
      <c r="Q194" s="4">
        <v>46081</v>
      </c>
      <c r="R194" s="5">
        <v>79.349999999999994</v>
      </c>
      <c r="S194" s="3">
        <v>72</v>
      </c>
      <c r="T194" s="3"/>
      <c r="U194" s="3">
        <v>0</v>
      </c>
      <c r="V194" s="3" t="s">
        <v>8</v>
      </c>
      <c r="W194" s="5">
        <v>79.349999999999994</v>
      </c>
      <c r="X194" s="3">
        <v>0</v>
      </c>
      <c r="Y194" s="3">
        <v>0</v>
      </c>
      <c r="Z194" s="3">
        <v>0</v>
      </c>
      <c r="AA194" s="3">
        <v>0</v>
      </c>
      <c r="AB194" s="5">
        <v>79.349999999999994</v>
      </c>
      <c r="AD194" s="25"/>
      <c r="AE194" s="25"/>
      <c r="AF194" s="25"/>
      <c r="AG194" s="32"/>
      <c r="AH194" s="18"/>
      <c r="AI194" s="3"/>
      <c r="AJ194" s="3"/>
      <c r="AK194" s="3"/>
      <c r="AL194" s="15">
        <f t="shared" si="23"/>
        <v>0</v>
      </c>
      <c r="AM194" s="15">
        <f t="shared" si="18"/>
        <v>79.349999999999994</v>
      </c>
      <c r="AN194" s="15">
        <f>AM194</f>
        <v>79.349999999999994</v>
      </c>
      <c r="AO194" s="15">
        <f t="shared" si="21"/>
        <v>0</v>
      </c>
      <c r="AQ194" s="15">
        <f t="shared" si="17"/>
        <v>0</v>
      </c>
    </row>
    <row r="195" spans="1:43" x14ac:dyDescent="0.25">
      <c r="A195">
        <v>188</v>
      </c>
      <c r="B195" s="10" t="s">
        <v>956</v>
      </c>
      <c r="C195" s="10" t="s">
        <v>1136</v>
      </c>
      <c r="D195" s="3" t="s">
        <v>957</v>
      </c>
      <c r="E195" s="3" t="s">
        <v>958</v>
      </c>
      <c r="F195" s="6" t="s">
        <v>959</v>
      </c>
      <c r="G195" s="3" t="s">
        <v>960</v>
      </c>
      <c r="H195" s="3" t="s">
        <v>14</v>
      </c>
      <c r="I195" s="3" t="s">
        <v>6</v>
      </c>
      <c r="J195" s="3"/>
      <c r="K195" s="3" t="s">
        <v>961</v>
      </c>
      <c r="L195" s="3"/>
      <c r="M195" s="3"/>
      <c r="N195" s="3" t="s">
        <v>22</v>
      </c>
      <c r="O195" s="3">
        <v>2191</v>
      </c>
      <c r="P195" s="3"/>
      <c r="Q195" s="4">
        <v>46081</v>
      </c>
      <c r="R195" s="5">
        <v>4400.6099999999997</v>
      </c>
      <c r="S195" s="3">
        <v>278</v>
      </c>
      <c r="T195" s="3"/>
      <c r="U195" s="3">
        <v>0</v>
      </c>
      <c r="V195" s="3" t="s">
        <v>8</v>
      </c>
      <c r="W195" s="5">
        <v>4400.6099999999997</v>
      </c>
      <c r="X195" s="5">
        <v>4400.6099999999997</v>
      </c>
      <c r="Y195" s="3">
        <v>0</v>
      </c>
      <c r="Z195" s="3">
        <v>0</v>
      </c>
      <c r="AA195" s="3">
        <v>0</v>
      </c>
      <c r="AB195" s="5">
        <v>8801.2199999999993</v>
      </c>
      <c r="AD195" s="25" t="s">
        <v>1201</v>
      </c>
      <c r="AE195" s="25" t="s">
        <v>1263</v>
      </c>
      <c r="AF195" s="26">
        <v>4400.6099999999997</v>
      </c>
      <c r="AG195" s="32"/>
      <c r="AH195" s="19">
        <f>AF195</f>
        <v>4400.6099999999997</v>
      </c>
      <c r="AI195" s="3"/>
      <c r="AJ195" s="3"/>
      <c r="AK195" s="3"/>
      <c r="AL195" s="15">
        <f t="shared" si="23"/>
        <v>4400.6099999999997</v>
      </c>
      <c r="AM195" s="15">
        <f t="shared" si="18"/>
        <v>4400.6099999999997</v>
      </c>
      <c r="AN195" s="15">
        <f>AM195</f>
        <v>4400.6099999999997</v>
      </c>
      <c r="AO195" s="15">
        <f>AM195-AN195</f>
        <v>0</v>
      </c>
      <c r="AQ195" s="15">
        <f>AL195-AF195</f>
        <v>0</v>
      </c>
    </row>
    <row r="196" spans="1:43" x14ac:dyDescent="0.25">
      <c r="AF196" s="36">
        <f>SUM(AF8:AF195)</f>
        <v>1991370.8900000004</v>
      </c>
      <c r="AG196" s="36">
        <f t="shared" ref="AG196:AK196" si="25">SUM(AG8:AG195)</f>
        <v>973036.43</v>
      </c>
      <c r="AH196" s="36">
        <f t="shared" si="25"/>
        <v>808492.58</v>
      </c>
      <c r="AI196" s="36">
        <f t="shared" si="25"/>
        <v>39192.83</v>
      </c>
      <c r="AJ196" s="36">
        <f t="shared" si="25"/>
        <v>155649.04999999999</v>
      </c>
      <c r="AK196" s="36">
        <f t="shared" si="25"/>
        <v>15000</v>
      </c>
    </row>
    <row r="197" spans="1:43" x14ac:dyDescent="0.25">
      <c r="B197" s="11" t="s">
        <v>992</v>
      </c>
      <c r="C197" s="11"/>
      <c r="AB197" s="15">
        <f>SUM(AB8:AB195)</f>
        <v>4902021.9299999988</v>
      </c>
      <c r="AK197" s="36"/>
    </row>
    <row r="198" spans="1:43" x14ac:dyDescent="0.25">
      <c r="B198" s="11" t="s">
        <v>993</v>
      </c>
      <c r="C198" s="11"/>
      <c r="AK198" s="36"/>
    </row>
  </sheetData>
  <mergeCells count="2">
    <mergeCell ref="B5:AB6"/>
    <mergeCell ref="AG5:AK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6012-C76F-4EDB-A536-34592E6920A3}">
  <sheetPr>
    <tabColor rgb="FFFF0000"/>
  </sheetPr>
  <dimension ref="A1:AQ198"/>
  <sheetViews>
    <sheetView tabSelected="1" workbookViewId="0">
      <selection activeCell="A70" sqref="A70:XFD197"/>
    </sheetView>
  </sheetViews>
  <sheetFormatPr defaultRowHeight="15" x14ac:dyDescent="0.25"/>
  <cols>
    <col min="2" max="2" width="15.140625" style="12" customWidth="1"/>
    <col min="3" max="3" width="12.5703125" style="12" customWidth="1"/>
    <col min="4" max="4" width="43.5703125" customWidth="1"/>
    <col min="5" max="5" width="35" hidden="1" customWidth="1"/>
    <col min="6" max="6" width="43" hidden="1" customWidth="1"/>
    <col min="7" max="7" width="46.7109375" hidden="1" customWidth="1"/>
    <col min="8" max="8" width="17.5703125" hidden="1" customWidth="1"/>
    <col min="9" max="9" width="16.28515625" hidden="1" customWidth="1"/>
    <col min="10" max="10" width="17.42578125" hidden="1" customWidth="1"/>
    <col min="11" max="11" width="84.140625" hidden="1" customWidth="1"/>
    <col min="12" max="12" width="13.5703125" hidden="1" customWidth="1"/>
    <col min="13" max="13" width="14.28515625" hidden="1" customWidth="1"/>
    <col min="14" max="15" width="11.5703125" hidden="1" customWidth="1"/>
    <col min="16" max="16" width="16.140625" hidden="1" customWidth="1"/>
    <col min="17" max="17" width="19.7109375" hidden="1" customWidth="1"/>
    <col min="18" max="18" width="14.42578125" hidden="1" customWidth="1"/>
    <col min="19" max="19" width="17.5703125" hidden="1" customWidth="1"/>
    <col min="20" max="20" width="29.140625" hidden="1" customWidth="1"/>
    <col min="21" max="21" width="13.140625" hidden="1" customWidth="1"/>
    <col min="22" max="22" width="3" customWidth="1"/>
    <col min="23" max="24" width="11.7109375" customWidth="1"/>
    <col min="25" max="25" width="11.42578125" customWidth="1"/>
    <col min="26" max="26" width="10.140625" customWidth="1"/>
    <col min="27" max="28" width="14.28515625" customWidth="1"/>
    <col min="29" max="29" width="8.7109375" style="13" customWidth="1"/>
    <col min="30" max="30" width="13.42578125" customWidth="1"/>
    <col min="31" max="31" width="3.85546875" customWidth="1"/>
    <col min="32" max="32" width="11.140625" customWidth="1"/>
    <col min="33" max="34" width="11.7109375" customWidth="1"/>
    <col min="35" max="35" width="11.140625" customWidth="1"/>
    <col min="37" max="37" width="10.28515625" customWidth="1"/>
    <col min="38" max="38" width="11.5703125" customWidth="1"/>
    <col min="39" max="39" width="10.7109375" customWidth="1"/>
    <col min="40" max="40" width="10.85546875" customWidth="1"/>
    <col min="41" max="41" width="12.7109375" customWidth="1"/>
    <col min="42" max="42" width="9.140625" style="13"/>
    <col min="43" max="43" width="10.5703125" customWidth="1"/>
  </cols>
  <sheetData>
    <row r="1" spans="1:43" x14ac:dyDescent="0.25">
      <c r="B1" s="7" t="s">
        <v>987</v>
      </c>
      <c r="C1" s="7"/>
    </row>
    <row r="2" spans="1:43" x14ac:dyDescent="0.25">
      <c r="B2" s="7" t="s">
        <v>988</v>
      </c>
      <c r="C2" s="7"/>
    </row>
    <row r="3" spans="1:43" x14ac:dyDescent="0.25">
      <c r="B3" s="8"/>
      <c r="C3" s="8"/>
    </row>
    <row r="4" spans="1:43" ht="15.75" thickBot="1" x14ac:dyDescent="0.3">
      <c r="B4" s="8"/>
      <c r="C4" s="8"/>
    </row>
    <row r="5" spans="1:43" x14ac:dyDescent="0.25">
      <c r="B5" s="75" t="s">
        <v>1145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7"/>
      <c r="AG5" s="81" t="s">
        <v>1146</v>
      </c>
      <c r="AH5" s="82"/>
      <c r="AI5" s="82"/>
      <c r="AJ5" s="82"/>
      <c r="AK5" s="83"/>
    </row>
    <row r="6" spans="1:43" ht="15.75" thickBot="1" x14ac:dyDescent="0.3">
      <c r="B6" s="78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80"/>
      <c r="AG6" s="84"/>
      <c r="AH6" s="85"/>
      <c r="AI6" s="85"/>
      <c r="AJ6" s="85"/>
      <c r="AK6" s="86"/>
    </row>
    <row r="7" spans="1:43" s="1" customFormat="1" x14ac:dyDescent="0.25">
      <c r="B7" s="29" t="s">
        <v>994</v>
      </c>
      <c r="C7" s="29" t="s">
        <v>995</v>
      </c>
      <c r="D7" s="30" t="s">
        <v>962</v>
      </c>
      <c r="E7" s="30" t="s">
        <v>963</v>
      </c>
      <c r="F7" s="30" t="s">
        <v>964</v>
      </c>
      <c r="G7" s="30" t="s">
        <v>965</v>
      </c>
      <c r="H7" s="30" t="s">
        <v>966</v>
      </c>
      <c r="I7" s="30" t="s">
        <v>967</v>
      </c>
      <c r="J7" s="30" t="s">
        <v>968</v>
      </c>
      <c r="K7" s="30" t="s">
        <v>969</v>
      </c>
      <c r="L7" s="30" t="s">
        <v>970</v>
      </c>
      <c r="M7" s="30" t="s">
        <v>971</v>
      </c>
      <c r="N7" s="30" t="s">
        <v>972</v>
      </c>
      <c r="O7" s="30" t="s">
        <v>973</v>
      </c>
      <c r="P7" s="30" t="s">
        <v>974</v>
      </c>
      <c r="Q7" s="30" t="s">
        <v>975</v>
      </c>
      <c r="R7" s="30" t="s">
        <v>976</v>
      </c>
      <c r="S7" s="30" t="s">
        <v>977</v>
      </c>
      <c r="T7" s="30" t="s">
        <v>978</v>
      </c>
      <c r="U7" s="30" t="s">
        <v>979</v>
      </c>
      <c r="V7" s="30" t="s">
        <v>980</v>
      </c>
      <c r="W7" s="30" t="s">
        <v>981</v>
      </c>
      <c r="X7" s="30" t="s">
        <v>982</v>
      </c>
      <c r="Y7" s="30" t="s">
        <v>983</v>
      </c>
      <c r="Z7" s="30" t="s">
        <v>984</v>
      </c>
      <c r="AA7" s="30" t="s">
        <v>985</v>
      </c>
      <c r="AB7" s="30" t="s">
        <v>986</v>
      </c>
      <c r="AC7" s="14"/>
      <c r="AD7" s="35" t="s">
        <v>1139</v>
      </c>
      <c r="AE7" s="35"/>
      <c r="AF7" s="35" t="s">
        <v>1138</v>
      </c>
      <c r="AG7" s="31" t="s">
        <v>981</v>
      </c>
      <c r="AH7" s="30" t="s">
        <v>982</v>
      </c>
      <c r="AI7" s="30" t="s">
        <v>983</v>
      </c>
      <c r="AJ7" s="30" t="s">
        <v>984</v>
      </c>
      <c r="AK7" s="30" t="s">
        <v>985</v>
      </c>
      <c r="AL7" s="1" t="s">
        <v>1142</v>
      </c>
      <c r="AM7" s="1" t="s">
        <v>1140</v>
      </c>
      <c r="AN7" s="1" t="s">
        <v>1141</v>
      </c>
      <c r="AO7" s="1" t="s">
        <v>1143</v>
      </c>
      <c r="AP7" s="14"/>
    </row>
    <row r="8" spans="1:43" hidden="1" x14ac:dyDescent="0.25">
      <c r="A8">
        <v>4</v>
      </c>
      <c r="B8" s="10">
        <v>1132</v>
      </c>
      <c r="C8" s="10" t="s">
        <v>996</v>
      </c>
      <c r="D8" s="3" t="s">
        <v>23</v>
      </c>
      <c r="E8" s="3" t="s">
        <v>23</v>
      </c>
      <c r="F8" s="3" t="s">
        <v>24</v>
      </c>
      <c r="G8" s="3" t="s">
        <v>25</v>
      </c>
      <c r="H8" s="3" t="s">
        <v>14</v>
      </c>
      <c r="I8" s="3" t="s">
        <v>6</v>
      </c>
      <c r="J8" s="3" t="s">
        <v>15</v>
      </c>
      <c r="K8" s="3" t="s">
        <v>26</v>
      </c>
      <c r="L8" s="3"/>
      <c r="M8" s="3"/>
      <c r="N8" s="3" t="s">
        <v>22</v>
      </c>
      <c r="O8" s="6" t="s">
        <v>27</v>
      </c>
      <c r="P8" s="3"/>
      <c r="Q8" s="4">
        <v>46081</v>
      </c>
      <c r="R8" s="5">
        <v>129.11000000000001</v>
      </c>
      <c r="S8" s="3">
        <v>39</v>
      </c>
      <c r="T8" s="3"/>
      <c r="U8" s="3">
        <v>0</v>
      </c>
      <c r="V8" s="3" t="s">
        <v>8</v>
      </c>
      <c r="W8" s="5">
        <v>545.41</v>
      </c>
      <c r="X8" s="3">
        <v>0</v>
      </c>
      <c r="Y8" s="3">
        <v>0</v>
      </c>
      <c r="Z8" s="3">
        <v>0</v>
      </c>
      <c r="AA8" s="3">
        <v>0</v>
      </c>
      <c r="AB8" s="5">
        <v>545.41</v>
      </c>
      <c r="AD8" s="25"/>
      <c r="AE8" s="25"/>
      <c r="AF8" s="25"/>
      <c r="AG8" s="32"/>
      <c r="AH8" s="18"/>
      <c r="AI8" s="3"/>
      <c r="AJ8" s="3"/>
      <c r="AK8" s="3"/>
      <c r="AL8" s="15">
        <f>AH8+AI8+AJ8+AK8+AG8</f>
        <v>0</v>
      </c>
      <c r="AM8" s="15">
        <f>AB8-AL8</f>
        <v>545.41</v>
      </c>
      <c r="AN8">
        <v>545.41</v>
      </c>
      <c r="AO8" s="15">
        <f>AM8-AN8</f>
        <v>0</v>
      </c>
      <c r="AQ8" s="15">
        <f>AL8-AF8</f>
        <v>0</v>
      </c>
    </row>
    <row r="9" spans="1:43" hidden="1" x14ac:dyDescent="0.25">
      <c r="A9">
        <v>5</v>
      </c>
      <c r="B9" s="10" t="s">
        <v>28</v>
      </c>
      <c r="C9" s="10" t="s">
        <v>998</v>
      </c>
      <c r="D9" s="3" t="s">
        <v>29</v>
      </c>
      <c r="E9" s="3" t="s">
        <v>30</v>
      </c>
      <c r="F9" s="3" t="s">
        <v>31</v>
      </c>
      <c r="G9" s="3" t="s">
        <v>32</v>
      </c>
      <c r="H9" s="3" t="s">
        <v>14</v>
      </c>
      <c r="I9" s="3" t="s">
        <v>6</v>
      </c>
      <c r="J9" s="3" t="s">
        <v>33</v>
      </c>
      <c r="K9" s="3" t="s">
        <v>34</v>
      </c>
      <c r="L9" s="3"/>
      <c r="M9" s="3"/>
      <c r="N9" s="3"/>
      <c r="O9" s="3">
        <v>2042</v>
      </c>
      <c r="P9" s="3"/>
      <c r="Q9" s="4">
        <v>46078</v>
      </c>
      <c r="R9" s="5">
        <v>11807.2</v>
      </c>
      <c r="S9" s="3">
        <v>153</v>
      </c>
      <c r="T9" s="3"/>
      <c r="U9" s="3">
        <v>0</v>
      </c>
      <c r="V9" s="3" t="s">
        <v>8</v>
      </c>
      <c r="W9" s="5">
        <v>11807.1</v>
      </c>
      <c r="X9" s="3">
        <v>0</v>
      </c>
      <c r="Y9" s="3">
        <v>0</v>
      </c>
      <c r="Z9" s="3">
        <v>0</v>
      </c>
      <c r="AA9" s="3">
        <v>0</v>
      </c>
      <c r="AB9" s="5">
        <v>11807.1</v>
      </c>
      <c r="AD9" s="25" t="s">
        <v>1163</v>
      </c>
      <c r="AE9" s="25" t="s">
        <v>1173</v>
      </c>
      <c r="AF9" s="26">
        <v>11807.1</v>
      </c>
      <c r="AG9" s="33">
        <f>AF9</f>
        <v>11807.1</v>
      </c>
      <c r="AH9" s="18"/>
      <c r="AI9" s="3"/>
      <c r="AJ9" s="3"/>
      <c r="AK9" s="3"/>
      <c r="AL9" s="15">
        <f>AH9+AI9+AJ9+AK9+AG9</f>
        <v>11807.1</v>
      </c>
      <c r="AM9" s="15">
        <f>AB9-AL9</f>
        <v>0</v>
      </c>
      <c r="AN9">
        <v>0</v>
      </c>
      <c r="AO9" s="15">
        <f>AM9-AN9</f>
        <v>0</v>
      </c>
      <c r="AQ9" s="15">
        <f>AL9-AF9</f>
        <v>0</v>
      </c>
    </row>
    <row r="10" spans="1:43" hidden="1" x14ac:dyDescent="0.25">
      <c r="A10">
        <v>2</v>
      </c>
      <c r="B10" s="10" t="s">
        <v>9</v>
      </c>
      <c r="C10" s="10" t="s">
        <v>997</v>
      </c>
      <c r="D10" s="3" t="s">
        <v>10</v>
      </c>
      <c r="E10" s="3" t="s">
        <v>11</v>
      </c>
      <c r="F10" s="3" t="s">
        <v>12</v>
      </c>
      <c r="G10" s="3" t="s">
        <v>13</v>
      </c>
      <c r="H10" s="3" t="s">
        <v>14</v>
      </c>
      <c r="I10" s="3" t="s">
        <v>6</v>
      </c>
      <c r="J10" s="3" t="s">
        <v>15</v>
      </c>
      <c r="K10" s="3" t="s">
        <v>16</v>
      </c>
      <c r="L10" s="3"/>
      <c r="M10" s="3"/>
      <c r="N10" s="3"/>
      <c r="O10" s="3">
        <v>1411</v>
      </c>
      <c r="P10" s="3"/>
      <c r="Q10" s="4">
        <v>46081</v>
      </c>
      <c r="R10" s="5">
        <v>836.65</v>
      </c>
      <c r="S10" s="3">
        <v>148</v>
      </c>
      <c r="T10" s="3"/>
      <c r="U10" s="3">
        <v>0</v>
      </c>
      <c r="V10" s="3" t="s">
        <v>8</v>
      </c>
      <c r="W10" s="5">
        <v>836.65</v>
      </c>
      <c r="X10" s="3">
        <v>0</v>
      </c>
      <c r="Y10" s="3">
        <v>0</v>
      </c>
      <c r="Z10" s="3">
        <v>0</v>
      </c>
      <c r="AA10" s="3">
        <v>0</v>
      </c>
      <c r="AB10" s="5">
        <v>836.65</v>
      </c>
      <c r="AD10" s="25"/>
      <c r="AE10" s="25"/>
      <c r="AF10" s="25"/>
      <c r="AG10" s="32"/>
      <c r="AH10" s="18"/>
      <c r="AI10" s="3"/>
      <c r="AJ10" s="3"/>
      <c r="AK10" s="3"/>
      <c r="AL10" s="15">
        <f>AH10+AI10+AJ10+AK10+AG10</f>
        <v>0</v>
      </c>
      <c r="AM10" s="15">
        <f>AB10-AL10</f>
        <v>836.65</v>
      </c>
      <c r="AN10">
        <v>836.65</v>
      </c>
      <c r="AO10" s="15">
        <f>AM10-AN10</f>
        <v>0</v>
      </c>
      <c r="AQ10" s="15">
        <f>AL10-AF10</f>
        <v>0</v>
      </c>
    </row>
    <row r="11" spans="1:43" hidden="1" x14ac:dyDescent="0.25">
      <c r="A11">
        <v>6</v>
      </c>
      <c r="B11" s="10">
        <v>1084</v>
      </c>
      <c r="C11" s="10" t="s">
        <v>999</v>
      </c>
      <c r="D11" s="3" t="s">
        <v>35</v>
      </c>
      <c r="E11" s="3" t="s">
        <v>36</v>
      </c>
      <c r="F11" s="3" t="s">
        <v>37</v>
      </c>
      <c r="G11" s="3" t="s">
        <v>38</v>
      </c>
      <c r="H11" s="3" t="s">
        <v>14</v>
      </c>
      <c r="I11" s="3" t="s">
        <v>6</v>
      </c>
      <c r="J11" s="3" t="s">
        <v>15</v>
      </c>
      <c r="K11" s="3" t="s">
        <v>39</v>
      </c>
      <c r="L11" s="3"/>
      <c r="M11" s="3"/>
      <c r="N11" s="3" t="s">
        <v>22</v>
      </c>
      <c r="O11" s="3"/>
      <c r="P11" s="3"/>
      <c r="Q11" s="4">
        <v>46081</v>
      </c>
      <c r="R11" s="5">
        <v>641.70000000000005</v>
      </c>
      <c r="S11" s="3">
        <v>41</v>
      </c>
      <c r="T11" s="3"/>
      <c r="U11" s="3">
        <v>0</v>
      </c>
      <c r="V11" s="3" t="s">
        <v>8</v>
      </c>
      <c r="W11" s="5">
        <v>641.70000000000005</v>
      </c>
      <c r="X11" s="3">
        <v>0</v>
      </c>
      <c r="Y11" s="3">
        <v>0</v>
      </c>
      <c r="Z11" s="3">
        <v>0</v>
      </c>
      <c r="AA11" s="3">
        <v>0</v>
      </c>
      <c r="AB11" s="5">
        <v>641.70000000000005</v>
      </c>
      <c r="AD11" s="25" t="s">
        <v>1201</v>
      </c>
      <c r="AE11" s="25" t="s">
        <v>35</v>
      </c>
      <c r="AF11" s="26">
        <v>641.70000000000005</v>
      </c>
      <c r="AG11" s="33">
        <f>AF11</f>
        <v>641.70000000000005</v>
      </c>
      <c r="AH11" s="18"/>
      <c r="AI11" s="3"/>
      <c r="AJ11" s="3"/>
      <c r="AK11" s="3"/>
      <c r="AL11" s="15">
        <f>AH11+AI11+AJ11+AK11+AG11</f>
        <v>641.70000000000005</v>
      </c>
      <c r="AM11" s="15">
        <f>AB11-AL11</f>
        <v>0</v>
      </c>
      <c r="AN11">
        <v>0</v>
      </c>
      <c r="AO11" s="15">
        <f>AM11-AN11</f>
        <v>0</v>
      </c>
      <c r="AQ11" s="15">
        <f>AL11-AF11</f>
        <v>0</v>
      </c>
    </row>
    <row r="12" spans="1:43" hidden="1" x14ac:dyDescent="0.25">
      <c r="A12">
        <v>7</v>
      </c>
      <c r="B12" s="10" t="s">
        <v>40</v>
      </c>
      <c r="C12" s="10" t="s">
        <v>1000</v>
      </c>
      <c r="D12" s="3" t="s">
        <v>41</v>
      </c>
      <c r="E12" s="3" t="s">
        <v>41</v>
      </c>
      <c r="F12" s="3" t="s">
        <v>42</v>
      </c>
      <c r="G12" s="3" t="s">
        <v>43</v>
      </c>
      <c r="H12" s="3" t="s">
        <v>14</v>
      </c>
      <c r="I12" s="3" t="s">
        <v>6</v>
      </c>
      <c r="J12" s="3"/>
      <c r="K12" s="3" t="s">
        <v>44</v>
      </c>
      <c r="L12" s="3"/>
      <c r="M12" s="3"/>
      <c r="N12" s="3" t="s">
        <v>22</v>
      </c>
      <c r="O12" s="3"/>
      <c r="P12" s="3"/>
      <c r="Q12" s="4">
        <v>46081</v>
      </c>
      <c r="R12" s="5">
        <v>255.51</v>
      </c>
      <c r="S12" s="3">
        <v>126</v>
      </c>
      <c r="T12" s="3"/>
      <c r="U12" s="3">
        <v>0</v>
      </c>
      <c r="V12" s="3" t="s">
        <v>8</v>
      </c>
      <c r="W12" s="5">
        <v>255.51</v>
      </c>
      <c r="X12" s="3">
        <v>0</v>
      </c>
      <c r="Y12" s="3">
        <v>0</v>
      </c>
      <c r="Z12" s="3">
        <v>0</v>
      </c>
      <c r="AA12" s="3">
        <v>0</v>
      </c>
      <c r="AB12" s="5">
        <v>255.51</v>
      </c>
      <c r="AD12" s="25"/>
      <c r="AE12" s="25"/>
      <c r="AF12" s="25"/>
      <c r="AG12" s="32"/>
      <c r="AH12" s="18"/>
      <c r="AI12" s="3"/>
      <c r="AJ12" s="3"/>
      <c r="AK12" s="3"/>
      <c r="AL12" s="15">
        <f>AH12+AI12+AJ12+AK12+AG12</f>
        <v>0</v>
      </c>
      <c r="AM12" s="15">
        <f>AB12-AL12</f>
        <v>255.51</v>
      </c>
      <c r="AN12">
        <v>255.51</v>
      </c>
      <c r="AO12" s="15">
        <f>AM12-AN12</f>
        <v>0</v>
      </c>
      <c r="AQ12" s="15">
        <f>AL12-AF12</f>
        <v>0</v>
      </c>
    </row>
    <row r="13" spans="1:43" hidden="1" x14ac:dyDescent="0.25">
      <c r="A13">
        <v>8</v>
      </c>
      <c r="B13" s="10" t="s">
        <v>45</v>
      </c>
      <c r="C13" s="10" t="s">
        <v>1001</v>
      </c>
      <c r="D13" s="3" t="s">
        <v>46</v>
      </c>
      <c r="E13" s="3" t="s">
        <v>47</v>
      </c>
      <c r="F13" s="3" t="s">
        <v>48</v>
      </c>
      <c r="G13" s="3" t="s">
        <v>49</v>
      </c>
      <c r="H13" s="3" t="s">
        <v>14</v>
      </c>
      <c r="I13" s="3" t="s">
        <v>6</v>
      </c>
      <c r="J13" s="3" t="s">
        <v>15</v>
      </c>
      <c r="K13" s="3" t="s">
        <v>50</v>
      </c>
      <c r="L13" s="3"/>
      <c r="M13" s="3"/>
      <c r="N13" s="3"/>
      <c r="O13" s="3">
        <v>1459</v>
      </c>
      <c r="P13" s="3"/>
      <c r="Q13" s="4">
        <v>46081</v>
      </c>
      <c r="R13" s="5">
        <v>321.32</v>
      </c>
      <c r="S13" s="3">
        <v>40</v>
      </c>
      <c r="T13" s="3"/>
      <c r="U13" s="3">
        <v>0</v>
      </c>
      <c r="V13" s="3" t="s">
        <v>8</v>
      </c>
      <c r="W13" s="5">
        <v>321.32</v>
      </c>
      <c r="X13" s="3">
        <v>0</v>
      </c>
      <c r="Y13" s="3">
        <v>0</v>
      </c>
      <c r="Z13" s="3">
        <v>0</v>
      </c>
      <c r="AA13" s="3">
        <v>0</v>
      </c>
      <c r="AB13" s="5">
        <v>321.32</v>
      </c>
      <c r="AD13" s="25" t="s">
        <v>1201</v>
      </c>
      <c r="AE13" s="25" t="s">
        <v>1244</v>
      </c>
      <c r="AF13" s="26">
        <v>321.32</v>
      </c>
      <c r="AG13" s="33">
        <f>AF13</f>
        <v>321.32</v>
      </c>
      <c r="AH13" s="18"/>
      <c r="AI13" s="3"/>
      <c r="AJ13" s="3"/>
      <c r="AK13" s="3"/>
      <c r="AL13" s="15">
        <f>AH13+AI13+AJ13+AK13+AG13</f>
        <v>321.32</v>
      </c>
      <c r="AM13" s="15">
        <f>AB13-AL13</f>
        <v>0</v>
      </c>
      <c r="AN13" s="15">
        <f>AM13</f>
        <v>0</v>
      </c>
      <c r="AO13" s="15">
        <f>AM13-AN13</f>
        <v>0</v>
      </c>
      <c r="AQ13" s="15">
        <f>AL13-AF13</f>
        <v>0</v>
      </c>
    </row>
    <row r="14" spans="1:43" hidden="1" x14ac:dyDescent="0.25">
      <c r="A14">
        <v>9</v>
      </c>
      <c r="B14" s="10" t="s">
        <v>51</v>
      </c>
      <c r="C14" s="10" t="s">
        <v>1002</v>
      </c>
      <c r="D14" s="3" t="s">
        <v>52</v>
      </c>
      <c r="E14" s="3" t="s">
        <v>53</v>
      </c>
      <c r="F14" s="3" t="s">
        <v>54</v>
      </c>
      <c r="G14" s="3" t="s">
        <v>55</v>
      </c>
      <c r="H14" s="3" t="s">
        <v>14</v>
      </c>
      <c r="I14" s="3" t="s">
        <v>6</v>
      </c>
      <c r="J14" s="3" t="s">
        <v>15</v>
      </c>
      <c r="K14" s="3" t="s">
        <v>56</v>
      </c>
      <c r="L14" s="3"/>
      <c r="M14" s="3"/>
      <c r="N14" s="3"/>
      <c r="O14" s="3">
        <v>1620</v>
      </c>
      <c r="P14" s="3"/>
      <c r="Q14" s="4">
        <v>46067</v>
      </c>
      <c r="R14" s="5">
        <v>11962.51</v>
      </c>
      <c r="S14" s="3">
        <v>203</v>
      </c>
      <c r="T14" s="3"/>
      <c r="U14" s="3">
        <v>0</v>
      </c>
      <c r="V14" s="3" t="s">
        <v>8</v>
      </c>
      <c r="W14" s="5">
        <v>11962.51</v>
      </c>
      <c r="X14" s="5">
        <v>11962.51</v>
      </c>
      <c r="Y14" s="3">
        <v>0</v>
      </c>
      <c r="Z14" s="3">
        <v>0</v>
      </c>
      <c r="AA14" s="3">
        <v>0</v>
      </c>
      <c r="AB14" s="5">
        <v>23925.02</v>
      </c>
      <c r="AD14" s="25" t="s">
        <v>1164</v>
      </c>
      <c r="AE14" s="25" t="s">
        <v>1174</v>
      </c>
      <c r="AF14" s="26">
        <v>11962.51</v>
      </c>
      <c r="AG14" s="32"/>
      <c r="AH14" s="19">
        <f>AF14</f>
        <v>11962.51</v>
      </c>
      <c r="AI14" s="3"/>
      <c r="AJ14" s="3"/>
      <c r="AK14" s="3"/>
      <c r="AL14" s="15">
        <f>AH14+AI14+AJ14+AK14+AG14</f>
        <v>11962.51</v>
      </c>
      <c r="AM14" s="15">
        <f>AB14-AL14</f>
        <v>11962.51</v>
      </c>
      <c r="AN14">
        <v>11962.51</v>
      </c>
      <c r="AO14" s="15">
        <f>AM14-AN14</f>
        <v>0</v>
      </c>
      <c r="AQ14" s="15">
        <f>AL14-AF14</f>
        <v>0</v>
      </c>
    </row>
    <row r="15" spans="1:43" hidden="1" x14ac:dyDescent="0.25">
      <c r="A15">
        <v>10</v>
      </c>
      <c r="B15" s="10" t="s">
        <v>57</v>
      </c>
      <c r="C15" s="10" t="s">
        <v>1003</v>
      </c>
      <c r="D15" s="3" t="s">
        <v>58</v>
      </c>
      <c r="E15" s="3" t="s">
        <v>59</v>
      </c>
      <c r="F15" s="3" t="s">
        <v>60</v>
      </c>
      <c r="G15" s="3" t="s">
        <v>61</v>
      </c>
      <c r="H15" s="3" t="s">
        <v>14</v>
      </c>
      <c r="I15" s="3" t="s">
        <v>6</v>
      </c>
      <c r="J15" s="3"/>
      <c r="K15" s="3" t="s">
        <v>62</v>
      </c>
      <c r="L15" s="3"/>
      <c r="M15" s="3"/>
      <c r="N15" s="3"/>
      <c r="O15" s="3">
        <v>1457</v>
      </c>
      <c r="P15" s="3"/>
      <c r="Q15" s="4">
        <v>46071</v>
      </c>
      <c r="R15" s="5">
        <v>40250</v>
      </c>
      <c r="S15" s="3">
        <v>253</v>
      </c>
      <c r="T15" s="3" t="s">
        <v>63</v>
      </c>
      <c r="U15" s="3">
        <v>0</v>
      </c>
      <c r="V15" s="3" t="s">
        <v>8</v>
      </c>
      <c r="W15" s="5">
        <v>73466.600000000006</v>
      </c>
      <c r="X15" s="5">
        <v>73466.600000000006</v>
      </c>
      <c r="Y15" s="3">
        <v>0</v>
      </c>
      <c r="Z15" s="3">
        <v>0</v>
      </c>
      <c r="AA15" s="3">
        <v>0</v>
      </c>
      <c r="AB15" s="5">
        <v>146933.20000000001</v>
      </c>
      <c r="AD15" s="25" t="s">
        <v>1147</v>
      </c>
      <c r="AE15" s="25" t="s">
        <v>57</v>
      </c>
      <c r="AF15" s="26">
        <v>73466.600000000006</v>
      </c>
      <c r="AG15" s="32"/>
      <c r="AH15" s="19">
        <f>AF15</f>
        <v>73466.600000000006</v>
      </c>
      <c r="AI15" s="3"/>
      <c r="AJ15" s="3"/>
      <c r="AK15" s="3"/>
      <c r="AL15" s="15">
        <f>AH15+AI15+AJ15+AK15+AG15</f>
        <v>73466.600000000006</v>
      </c>
      <c r="AM15" s="15">
        <f>AB15-AL15</f>
        <v>73466.600000000006</v>
      </c>
      <c r="AN15">
        <v>73466.600000000006</v>
      </c>
      <c r="AO15" s="15">
        <f>AM15-AN15</f>
        <v>0</v>
      </c>
      <c r="AQ15" s="15">
        <f>AL15-AF15</f>
        <v>0</v>
      </c>
    </row>
    <row r="16" spans="1:43" hidden="1" x14ac:dyDescent="0.25">
      <c r="A16">
        <v>11</v>
      </c>
      <c r="B16" s="10" t="s">
        <v>64</v>
      </c>
      <c r="C16" s="10" t="s">
        <v>1004</v>
      </c>
      <c r="D16" s="3" t="s">
        <v>65</v>
      </c>
      <c r="E16" s="3" t="s">
        <v>66</v>
      </c>
      <c r="F16" s="3"/>
      <c r="G16" s="3" t="s">
        <v>67</v>
      </c>
      <c r="H16" s="3" t="s">
        <v>14</v>
      </c>
      <c r="I16" s="3" t="s">
        <v>6</v>
      </c>
      <c r="J16" s="3"/>
      <c r="K16" s="3" t="s">
        <v>68</v>
      </c>
      <c r="L16" s="3"/>
      <c r="M16" s="3" t="s">
        <v>69</v>
      </c>
      <c r="N16" s="3" t="s">
        <v>22</v>
      </c>
      <c r="O16" s="3"/>
      <c r="P16" s="3"/>
      <c r="Q16" s="4">
        <v>46081</v>
      </c>
      <c r="R16" s="5">
        <v>284.67</v>
      </c>
      <c r="S16" s="3">
        <v>41</v>
      </c>
      <c r="T16" s="3"/>
      <c r="U16" s="3">
        <v>0</v>
      </c>
      <c r="V16" s="3" t="s">
        <v>8</v>
      </c>
      <c r="W16" s="5">
        <v>284.67</v>
      </c>
      <c r="X16" s="3">
        <v>0</v>
      </c>
      <c r="Y16" s="3">
        <v>0</v>
      </c>
      <c r="Z16" s="3">
        <v>0</v>
      </c>
      <c r="AA16" s="3">
        <v>0</v>
      </c>
      <c r="AB16" s="5">
        <v>284.67</v>
      </c>
      <c r="AD16" s="25"/>
      <c r="AE16" s="25"/>
      <c r="AF16" s="25"/>
      <c r="AG16" s="32"/>
      <c r="AH16" s="18"/>
      <c r="AI16" s="3"/>
      <c r="AJ16" s="3"/>
      <c r="AK16" s="3"/>
      <c r="AL16" s="15">
        <f>AH16+AI16+AJ16+AK16+AG16</f>
        <v>0</v>
      </c>
      <c r="AM16" s="15">
        <f>AB16-AL16</f>
        <v>284.67</v>
      </c>
      <c r="AN16" s="15">
        <v>284.67</v>
      </c>
      <c r="AO16" s="15">
        <f>AM16-AN16</f>
        <v>0</v>
      </c>
      <c r="AQ16" s="15">
        <f>AL16-AF16</f>
        <v>0</v>
      </c>
    </row>
    <row r="17" spans="1:43" hidden="1" x14ac:dyDescent="0.25">
      <c r="A17">
        <v>56</v>
      </c>
      <c r="B17" s="10" t="s">
        <v>299</v>
      </c>
      <c r="C17" s="10" t="s">
        <v>1035</v>
      </c>
      <c r="D17" s="3" t="s">
        <v>300</v>
      </c>
      <c r="E17" s="3" t="s">
        <v>301</v>
      </c>
      <c r="F17" s="3" t="s">
        <v>302</v>
      </c>
      <c r="G17" s="3" t="s">
        <v>303</v>
      </c>
      <c r="H17" s="3" t="s">
        <v>14</v>
      </c>
      <c r="I17" s="3" t="s">
        <v>6</v>
      </c>
      <c r="J17" s="3" t="s">
        <v>15</v>
      </c>
      <c r="K17" s="3" t="s">
        <v>304</v>
      </c>
      <c r="L17" s="3"/>
      <c r="M17" s="3"/>
      <c r="N17" s="3"/>
      <c r="O17" s="6" t="s">
        <v>305</v>
      </c>
      <c r="P17" s="3"/>
      <c r="Q17" s="4">
        <v>46081</v>
      </c>
      <c r="R17" s="5">
        <v>230.15</v>
      </c>
      <c r="S17" s="3">
        <v>40</v>
      </c>
      <c r="T17" s="3"/>
      <c r="U17" s="3">
        <v>0</v>
      </c>
      <c r="V17" s="3" t="s">
        <v>8</v>
      </c>
      <c r="W17" s="5">
        <v>230.35</v>
      </c>
      <c r="X17" s="3">
        <v>0</v>
      </c>
      <c r="Y17" s="3">
        <v>0</v>
      </c>
      <c r="Z17" s="3">
        <v>0</v>
      </c>
      <c r="AA17" s="3">
        <v>0</v>
      </c>
      <c r="AB17" s="5">
        <v>230.35</v>
      </c>
      <c r="AD17" s="25"/>
      <c r="AE17" s="25"/>
      <c r="AF17" s="25"/>
      <c r="AG17" s="32"/>
      <c r="AH17" s="18"/>
      <c r="AI17" s="3"/>
      <c r="AJ17" s="3"/>
      <c r="AK17" s="3"/>
      <c r="AL17" s="15">
        <f>AH17+AI17+AJ17+AK17+AG17</f>
        <v>0</v>
      </c>
      <c r="AM17" s="15">
        <f>AB17-AL17</f>
        <v>230.35</v>
      </c>
      <c r="AN17" s="15">
        <f>AM17</f>
        <v>230.35</v>
      </c>
      <c r="AO17" s="15">
        <f>AM17-AN17</f>
        <v>0</v>
      </c>
      <c r="AQ17" s="15">
        <f>AL17-AF17</f>
        <v>0</v>
      </c>
    </row>
    <row r="18" spans="1:43" hidden="1" x14ac:dyDescent="0.25">
      <c r="A18">
        <v>13</v>
      </c>
      <c r="B18" s="10" t="s">
        <v>77</v>
      </c>
      <c r="C18" s="10" t="s">
        <v>1005</v>
      </c>
      <c r="D18" s="3" t="s">
        <v>78</v>
      </c>
      <c r="E18" s="3" t="s">
        <v>79</v>
      </c>
      <c r="F18" s="3" t="s">
        <v>80</v>
      </c>
      <c r="G18" s="3" t="s">
        <v>81</v>
      </c>
      <c r="H18" s="3" t="s">
        <v>82</v>
      </c>
      <c r="I18" s="3" t="s">
        <v>6</v>
      </c>
      <c r="J18" s="3" t="s">
        <v>15</v>
      </c>
      <c r="K18" s="3" t="s">
        <v>83</v>
      </c>
      <c r="L18" s="3"/>
      <c r="M18" s="3"/>
      <c r="N18" s="3"/>
      <c r="O18" s="3">
        <v>2066</v>
      </c>
      <c r="P18" s="3"/>
      <c r="Q18" s="4">
        <v>45169</v>
      </c>
      <c r="R18" s="5">
        <v>342.26</v>
      </c>
      <c r="S18" s="3">
        <v>217</v>
      </c>
      <c r="T18" s="3"/>
      <c r="U18" s="3">
        <v>0</v>
      </c>
      <c r="V18" s="3" t="s">
        <v>8</v>
      </c>
      <c r="W18" s="3">
        <v>0</v>
      </c>
      <c r="X18" s="3">
        <v>0</v>
      </c>
      <c r="Y18" s="3">
        <v>0</v>
      </c>
      <c r="Z18" s="3">
        <v>0</v>
      </c>
      <c r="AA18" s="5">
        <v>0</v>
      </c>
      <c r="AB18" s="5">
        <v>0</v>
      </c>
      <c r="AD18" s="25"/>
      <c r="AE18" s="25"/>
      <c r="AF18" s="25"/>
      <c r="AG18" s="32"/>
      <c r="AH18" s="18"/>
      <c r="AI18" s="3"/>
      <c r="AJ18" s="3"/>
      <c r="AK18" s="5"/>
      <c r="AL18" s="15">
        <f>AH18+AI18+AJ18+AK18+AG18</f>
        <v>0</v>
      </c>
      <c r="AM18" s="15">
        <f>AB18-AL18</f>
        <v>0</v>
      </c>
      <c r="AN18">
        <v>0</v>
      </c>
      <c r="AO18" s="15">
        <f>AM18-AN18</f>
        <v>0</v>
      </c>
      <c r="AQ18" s="15">
        <f>AL18-AF18</f>
        <v>0</v>
      </c>
    </row>
    <row r="19" spans="1:43" hidden="1" x14ac:dyDescent="0.25">
      <c r="A19">
        <v>14</v>
      </c>
      <c r="B19" s="10" t="s">
        <v>84</v>
      </c>
      <c r="C19" s="10" t="s">
        <v>1006</v>
      </c>
      <c r="D19" s="3" t="s">
        <v>85</v>
      </c>
      <c r="E19" s="3" t="s">
        <v>86</v>
      </c>
      <c r="F19" s="3"/>
      <c r="G19" s="3" t="s">
        <v>87</v>
      </c>
      <c r="H19" s="3" t="s">
        <v>14</v>
      </c>
      <c r="I19" s="3" t="s">
        <v>6</v>
      </c>
      <c r="J19" s="3" t="s">
        <v>15</v>
      </c>
      <c r="K19" s="3" t="s">
        <v>88</v>
      </c>
      <c r="L19" s="3"/>
      <c r="M19" s="3"/>
      <c r="N19" s="3"/>
      <c r="O19" s="3">
        <v>2041</v>
      </c>
      <c r="P19" s="3"/>
      <c r="Q19" s="4">
        <v>46081</v>
      </c>
      <c r="R19" s="5">
        <v>204.7</v>
      </c>
      <c r="S19" s="3">
        <v>102</v>
      </c>
      <c r="T19" s="3"/>
      <c r="U19" s="3">
        <v>0</v>
      </c>
      <c r="V19" s="3" t="s">
        <v>8</v>
      </c>
      <c r="W19" s="5">
        <v>204.69</v>
      </c>
      <c r="X19" s="3">
        <v>0</v>
      </c>
      <c r="Y19" s="3">
        <v>0</v>
      </c>
      <c r="Z19" s="3">
        <v>0</v>
      </c>
      <c r="AA19" s="3">
        <v>0.01</v>
      </c>
      <c r="AB19" s="5">
        <v>204.7</v>
      </c>
      <c r="AD19" s="25"/>
      <c r="AE19" s="25"/>
      <c r="AF19" s="25"/>
      <c r="AG19" s="32"/>
      <c r="AH19" s="18"/>
      <c r="AI19" s="3"/>
      <c r="AJ19" s="3"/>
      <c r="AK19" s="3"/>
      <c r="AL19" s="15">
        <f>AH19+AI19+AJ19+AK19+AG19</f>
        <v>0</v>
      </c>
      <c r="AM19" s="15">
        <f>AB19-AL19</f>
        <v>204.7</v>
      </c>
      <c r="AN19" s="15">
        <f>AM19</f>
        <v>204.7</v>
      </c>
      <c r="AO19" s="15">
        <f>AM19-AN19</f>
        <v>0</v>
      </c>
      <c r="AQ19" s="15">
        <f>AL19-AF19</f>
        <v>0</v>
      </c>
    </row>
    <row r="20" spans="1:43" hidden="1" x14ac:dyDescent="0.25">
      <c r="A20">
        <v>16</v>
      </c>
      <c r="B20" s="10" t="s">
        <v>89</v>
      </c>
      <c r="C20" s="10" t="s">
        <v>1007</v>
      </c>
      <c r="D20" s="3" t="s">
        <v>90</v>
      </c>
      <c r="E20" s="3" t="s">
        <v>91</v>
      </c>
      <c r="F20" s="3" t="s">
        <v>92</v>
      </c>
      <c r="G20" s="3" t="s">
        <v>93</v>
      </c>
      <c r="H20" s="3" t="s">
        <v>14</v>
      </c>
      <c r="I20" s="3" t="s">
        <v>6</v>
      </c>
      <c r="J20" s="3" t="s">
        <v>15</v>
      </c>
      <c r="K20" s="3" t="s">
        <v>94</v>
      </c>
      <c r="L20" s="3"/>
      <c r="M20" s="3"/>
      <c r="N20" s="3"/>
      <c r="O20" s="3"/>
      <c r="P20" s="3"/>
      <c r="Q20" s="4">
        <v>46069</v>
      </c>
      <c r="R20" s="5">
        <v>189890.58</v>
      </c>
      <c r="S20" s="3">
        <v>139</v>
      </c>
      <c r="T20" s="3"/>
      <c r="U20" s="3">
        <v>0</v>
      </c>
      <c r="V20" s="3" t="s">
        <v>8</v>
      </c>
      <c r="W20" s="5">
        <v>132914.71</v>
      </c>
      <c r="X20" s="5">
        <v>237641.76</v>
      </c>
      <c r="Y20" s="3">
        <v>0</v>
      </c>
      <c r="Z20" s="3">
        <v>0</v>
      </c>
      <c r="AA20" s="3">
        <v>0</v>
      </c>
      <c r="AB20" s="5">
        <v>370556.47</v>
      </c>
      <c r="AD20" s="25" t="s">
        <v>1156</v>
      </c>
      <c r="AE20" s="25" t="s">
        <v>1190</v>
      </c>
      <c r="AF20" s="26">
        <v>37641.760000000002</v>
      </c>
      <c r="AG20" s="33">
        <f>AF21</f>
        <v>2390.2600000000002</v>
      </c>
      <c r="AH20" s="19">
        <f>AF20</f>
        <v>37641.760000000002</v>
      </c>
      <c r="AI20" s="3"/>
      <c r="AJ20" s="3"/>
      <c r="AK20" s="3"/>
      <c r="AL20" s="15">
        <f>AH20+AI20+AJ20+AK20+AG20</f>
        <v>40032.020000000004</v>
      </c>
      <c r="AM20" s="15">
        <f>AB20-AL20</f>
        <v>330524.44999999995</v>
      </c>
      <c r="AN20">
        <v>132914.71</v>
      </c>
      <c r="AO20" s="15">
        <f>AM20-AN20</f>
        <v>197609.73999999996</v>
      </c>
      <c r="AQ20" s="15">
        <f>AL20-AF20</f>
        <v>2390.260000000002</v>
      </c>
    </row>
    <row r="21" spans="1:43" hidden="1" x14ac:dyDescent="0.25">
      <c r="A21">
        <v>19</v>
      </c>
      <c r="B21" s="10" t="s">
        <v>98</v>
      </c>
      <c r="C21" s="10" t="s">
        <v>1008</v>
      </c>
      <c r="D21" s="3" t="s">
        <v>99</v>
      </c>
      <c r="E21" s="3" t="s">
        <v>100</v>
      </c>
      <c r="F21" s="3" t="s">
        <v>101</v>
      </c>
      <c r="G21" s="3" t="s">
        <v>102</v>
      </c>
      <c r="H21" s="3" t="s">
        <v>14</v>
      </c>
      <c r="I21" s="3" t="s">
        <v>6</v>
      </c>
      <c r="J21" s="3" t="s">
        <v>15</v>
      </c>
      <c r="K21" s="3" t="s">
        <v>103</v>
      </c>
      <c r="L21" s="3"/>
      <c r="M21" s="3"/>
      <c r="N21" s="3" t="s">
        <v>22</v>
      </c>
      <c r="O21" s="3"/>
      <c r="P21" s="3"/>
      <c r="Q21" s="4">
        <v>46081</v>
      </c>
      <c r="R21" s="5">
        <v>2390.2600000000002</v>
      </c>
      <c r="S21" s="3">
        <v>226</v>
      </c>
      <c r="T21" s="3"/>
      <c r="U21" s="3">
        <v>0</v>
      </c>
      <c r="V21" s="3" t="s">
        <v>8</v>
      </c>
      <c r="W21" s="5">
        <v>2390.2600000000002</v>
      </c>
      <c r="X21" s="3">
        <v>0</v>
      </c>
      <c r="Y21" s="3">
        <v>0</v>
      </c>
      <c r="Z21" s="3">
        <v>0</v>
      </c>
      <c r="AA21" s="3">
        <v>0</v>
      </c>
      <c r="AB21" s="5">
        <v>2390.2600000000002</v>
      </c>
      <c r="AD21" s="25" t="s">
        <v>1201</v>
      </c>
      <c r="AE21" s="25" t="s">
        <v>1257</v>
      </c>
      <c r="AF21" s="26">
        <v>2390.2600000000002</v>
      </c>
      <c r="AG21" s="33">
        <f>AF21</f>
        <v>2390.2600000000002</v>
      </c>
      <c r="AH21" s="18"/>
      <c r="AI21" s="3"/>
      <c r="AJ21" s="3"/>
      <c r="AK21" s="3"/>
      <c r="AL21" s="15">
        <f>AH21+AI21+AJ21+AK21+AG21</f>
        <v>2390.2600000000002</v>
      </c>
      <c r="AM21" s="15">
        <f>AB21-AL21</f>
        <v>0</v>
      </c>
      <c r="AN21" s="15">
        <f>AM21</f>
        <v>0</v>
      </c>
      <c r="AO21" s="15">
        <f>AM21-AN21</f>
        <v>0</v>
      </c>
      <c r="AQ21" s="15">
        <f>AL21-AF21</f>
        <v>0</v>
      </c>
    </row>
    <row r="22" spans="1:43" hidden="1" x14ac:dyDescent="0.25">
      <c r="A22">
        <v>20</v>
      </c>
      <c r="B22" s="10" t="s">
        <v>104</v>
      </c>
      <c r="C22" s="10" t="s">
        <v>1009</v>
      </c>
      <c r="D22" s="3" t="s">
        <v>105</v>
      </c>
      <c r="E22" s="3" t="s">
        <v>106</v>
      </c>
      <c r="F22" s="3" t="s">
        <v>107</v>
      </c>
      <c r="G22" s="3" t="s">
        <v>108</v>
      </c>
      <c r="H22" s="3" t="s">
        <v>14</v>
      </c>
      <c r="I22" s="3" t="s">
        <v>6</v>
      </c>
      <c r="J22" s="3" t="s">
        <v>15</v>
      </c>
      <c r="K22" s="3" t="s">
        <v>109</v>
      </c>
      <c r="L22" s="3"/>
      <c r="M22" s="3"/>
      <c r="N22" s="3" t="s">
        <v>22</v>
      </c>
      <c r="O22" s="3"/>
      <c r="P22" s="3"/>
      <c r="Q22" s="4">
        <v>46081</v>
      </c>
      <c r="R22" s="5">
        <v>1940.51</v>
      </c>
      <c r="S22" s="3">
        <v>67</v>
      </c>
      <c r="T22" s="3"/>
      <c r="U22" s="3">
        <v>0</v>
      </c>
      <c r="V22" s="3" t="s">
        <v>8</v>
      </c>
      <c r="W22" s="5">
        <v>1940.51</v>
      </c>
      <c r="X22" s="3">
        <v>0</v>
      </c>
      <c r="Y22" s="3">
        <v>0</v>
      </c>
      <c r="Z22" s="3">
        <v>0</v>
      </c>
      <c r="AA22" s="3">
        <v>0</v>
      </c>
      <c r="AB22" s="5">
        <v>1940.51</v>
      </c>
      <c r="AD22" s="25" t="s">
        <v>1201</v>
      </c>
      <c r="AE22" s="25" t="s">
        <v>1255</v>
      </c>
      <c r="AF22" s="26">
        <v>1940.51</v>
      </c>
      <c r="AG22" s="33">
        <f>AF22</f>
        <v>1940.51</v>
      </c>
      <c r="AH22" s="18"/>
      <c r="AI22" s="3"/>
      <c r="AJ22" s="3"/>
      <c r="AK22" s="3"/>
      <c r="AL22" s="15">
        <f>AH22+AI22+AJ22+AK22+AG22</f>
        <v>1940.51</v>
      </c>
      <c r="AM22" s="15">
        <f>AB22-AL22</f>
        <v>0</v>
      </c>
      <c r="AN22" s="15">
        <f>AM22</f>
        <v>0</v>
      </c>
      <c r="AO22" s="15">
        <f>AM22-AN22</f>
        <v>0</v>
      </c>
      <c r="AQ22" s="15">
        <f>AL22-AF22</f>
        <v>0</v>
      </c>
    </row>
    <row r="23" spans="1:43" hidden="1" x14ac:dyDescent="0.25">
      <c r="A23">
        <v>24</v>
      </c>
      <c r="B23" s="10" t="s">
        <v>123</v>
      </c>
      <c r="C23" s="10" t="s">
        <v>1011</v>
      </c>
      <c r="D23" s="3" t="s">
        <v>124</v>
      </c>
      <c r="E23" s="3" t="s">
        <v>125</v>
      </c>
      <c r="F23" s="3" t="s">
        <v>126</v>
      </c>
      <c r="G23" s="3" t="s">
        <v>127</v>
      </c>
      <c r="H23" s="3" t="s">
        <v>14</v>
      </c>
      <c r="I23" s="3" t="s">
        <v>6</v>
      </c>
      <c r="J23" s="3" t="s">
        <v>15</v>
      </c>
      <c r="K23" s="3" t="s">
        <v>128</v>
      </c>
      <c r="L23" s="3"/>
      <c r="M23" s="3"/>
      <c r="N23" s="3"/>
      <c r="O23" s="3">
        <v>1715</v>
      </c>
      <c r="P23" s="3"/>
      <c r="Q23" s="4">
        <v>46081</v>
      </c>
      <c r="R23" s="5">
        <v>1949.08</v>
      </c>
      <c r="S23" s="3">
        <v>122</v>
      </c>
      <c r="T23" s="3"/>
      <c r="U23" s="3">
        <v>0</v>
      </c>
      <c r="V23" s="3" t="s">
        <v>8</v>
      </c>
      <c r="W23" s="5">
        <v>1949.08</v>
      </c>
      <c r="X23" s="3">
        <v>0</v>
      </c>
      <c r="Y23" s="3">
        <v>0</v>
      </c>
      <c r="Z23" s="3">
        <v>0</v>
      </c>
      <c r="AA23" s="3">
        <v>0</v>
      </c>
      <c r="AB23" s="5">
        <v>1949.08</v>
      </c>
      <c r="AD23" s="25" t="s">
        <v>1201</v>
      </c>
      <c r="AE23" s="25" t="s">
        <v>1256</v>
      </c>
      <c r="AF23" s="26">
        <v>1949.08</v>
      </c>
      <c r="AG23" s="33">
        <f>AF23</f>
        <v>1949.08</v>
      </c>
      <c r="AH23" s="18"/>
      <c r="AI23" s="3"/>
      <c r="AJ23" s="3"/>
      <c r="AK23" s="3"/>
      <c r="AL23" s="15">
        <f>AH23+AI23+AJ23+AK23+AG23</f>
        <v>1949.08</v>
      </c>
      <c r="AM23" s="15">
        <f>AB23-AL23</f>
        <v>0</v>
      </c>
      <c r="AN23" s="15">
        <f>AM23</f>
        <v>0</v>
      </c>
      <c r="AO23" s="15">
        <f>AM23-AN23</f>
        <v>0</v>
      </c>
      <c r="AQ23" s="15">
        <f>AL23-AF23</f>
        <v>0</v>
      </c>
    </row>
    <row r="24" spans="1:43" hidden="1" x14ac:dyDescent="0.25">
      <c r="A24">
        <v>23</v>
      </c>
      <c r="B24" s="10" t="s">
        <v>119</v>
      </c>
      <c r="C24" s="10" t="s">
        <v>1010</v>
      </c>
      <c r="D24" s="3" t="s">
        <v>120</v>
      </c>
      <c r="E24" s="3" t="s">
        <v>120</v>
      </c>
      <c r="F24" s="3"/>
      <c r="G24" s="3" t="s">
        <v>121</v>
      </c>
      <c r="H24" s="3" t="s">
        <v>14</v>
      </c>
      <c r="I24" s="3" t="s">
        <v>6</v>
      </c>
      <c r="J24" s="3" t="s">
        <v>15</v>
      </c>
      <c r="K24" s="3" t="s">
        <v>122</v>
      </c>
      <c r="L24" s="3"/>
      <c r="M24" s="3"/>
      <c r="N24" s="3" t="s">
        <v>22</v>
      </c>
      <c r="O24" s="3"/>
      <c r="P24" s="3"/>
      <c r="Q24" s="4">
        <v>46079</v>
      </c>
      <c r="R24" s="5">
        <v>79.349999999999994</v>
      </c>
      <c r="S24" s="3">
        <v>46</v>
      </c>
      <c r="T24" s="3"/>
      <c r="U24" s="3">
        <v>0</v>
      </c>
      <c r="V24" s="3" t="s">
        <v>8</v>
      </c>
      <c r="W24" s="3">
        <v>0</v>
      </c>
      <c r="X24" s="3">
        <v>0</v>
      </c>
      <c r="Y24" s="3">
        <v>0</v>
      </c>
      <c r="Z24" s="3">
        <v>0</v>
      </c>
      <c r="AA24" s="5">
        <v>79.349999999999994</v>
      </c>
      <c r="AB24" s="5">
        <v>79.349999999999994</v>
      </c>
      <c r="AD24" s="25"/>
      <c r="AE24" s="25"/>
      <c r="AF24" s="25"/>
      <c r="AG24" s="32"/>
      <c r="AH24" s="18"/>
      <c r="AI24" s="3"/>
      <c r="AJ24" s="3"/>
      <c r="AK24" s="5"/>
      <c r="AL24" s="15">
        <f>AH24+AI24+AJ24+AK24+AG24</f>
        <v>0</v>
      </c>
      <c r="AM24" s="15">
        <f>AB24-AL24</f>
        <v>79.349999999999994</v>
      </c>
      <c r="AN24" s="15">
        <f>AM24</f>
        <v>79.349999999999994</v>
      </c>
      <c r="AO24" s="15">
        <f>AM24-AN24</f>
        <v>0</v>
      </c>
      <c r="AQ24" s="15">
        <f>AL24-AF24</f>
        <v>0</v>
      </c>
    </row>
    <row r="25" spans="1:43" hidden="1" x14ac:dyDescent="0.25">
      <c r="A25">
        <v>27</v>
      </c>
      <c r="B25" s="10" t="s">
        <v>139</v>
      </c>
      <c r="C25" s="10" t="s">
        <v>1013</v>
      </c>
      <c r="D25" s="3" t="s">
        <v>140</v>
      </c>
      <c r="E25" s="3" t="s">
        <v>140</v>
      </c>
      <c r="F25" s="3" t="s">
        <v>141</v>
      </c>
      <c r="G25" s="3" t="s">
        <v>142</v>
      </c>
      <c r="H25" s="3" t="s">
        <v>14</v>
      </c>
      <c r="I25" s="3" t="s">
        <v>6</v>
      </c>
      <c r="J25" s="3" t="s">
        <v>15</v>
      </c>
      <c r="K25" s="3" t="s">
        <v>143</v>
      </c>
      <c r="L25" s="3"/>
      <c r="M25" s="3"/>
      <c r="N25" s="3" t="s">
        <v>22</v>
      </c>
      <c r="O25" s="3"/>
      <c r="P25" s="3"/>
      <c r="Q25" s="4">
        <v>46010</v>
      </c>
      <c r="R25" s="5">
        <v>2000</v>
      </c>
      <c r="S25" s="3">
        <v>84</v>
      </c>
      <c r="T25" s="3"/>
      <c r="U25" s="3">
        <v>0</v>
      </c>
      <c r="V25" s="3" t="s">
        <v>8</v>
      </c>
      <c r="W25" s="5">
        <v>655.49</v>
      </c>
      <c r="X25" s="5">
        <v>655.49</v>
      </c>
      <c r="Y25" s="5">
        <v>640.51</v>
      </c>
      <c r="Z25" s="3">
        <v>0</v>
      </c>
      <c r="AA25" s="3">
        <v>0</v>
      </c>
      <c r="AB25" s="5">
        <v>1951.49</v>
      </c>
      <c r="AD25" s="25"/>
      <c r="AE25" s="25"/>
      <c r="AF25" s="25"/>
      <c r="AG25" s="32"/>
      <c r="AH25" s="19"/>
      <c r="AI25" s="5"/>
      <c r="AJ25" s="3"/>
      <c r="AK25" s="3"/>
      <c r="AL25" s="15">
        <f>AH25+AI25+AJ25+AK25+AG25</f>
        <v>0</v>
      </c>
      <c r="AM25" s="15">
        <f>AB25-AL25</f>
        <v>1951.49</v>
      </c>
      <c r="AN25" s="15">
        <f>AM25</f>
        <v>1951.49</v>
      </c>
      <c r="AO25" s="15">
        <f>AM25-AN25</f>
        <v>0</v>
      </c>
      <c r="AQ25" s="15">
        <f>AL25-AF25</f>
        <v>0</v>
      </c>
    </row>
    <row r="26" spans="1:43" hidden="1" x14ac:dyDescent="0.25">
      <c r="A26">
        <v>26</v>
      </c>
      <c r="B26" s="10">
        <v>1126</v>
      </c>
      <c r="C26" s="10" t="s">
        <v>1012</v>
      </c>
      <c r="D26" s="3" t="s">
        <v>134</v>
      </c>
      <c r="E26" s="3" t="s">
        <v>135</v>
      </c>
      <c r="F26" s="3" t="s">
        <v>136</v>
      </c>
      <c r="G26" s="3" t="s">
        <v>137</v>
      </c>
      <c r="H26" s="3" t="s">
        <v>14</v>
      </c>
      <c r="I26" s="3" t="s">
        <v>6</v>
      </c>
      <c r="J26" s="3" t="s">
        <v>15</v>
      </c>
      <c r="K26" s="3" t="s">
        <v>138</v>
      </c>
      <c r="L26" s="3" t="s">
        <v>76</v>
      </c>
      <c r="M26" s="3" t="s">
        <v>69</v>
      </c>
      <c r="N26" s="3" t="s">
        <v>22</v>
      </c>
      <c r="O26" s="3">
        <v>1401</v>
      </c>
      <c r="P26" s="3"/>
      <c r="Q26" s="4">
        <v>46081</v>
      </c>
      <c r="R26" s="5">
        <v>354.66</v>
      </c>
      <c r="S26" s="3">
        <v>67</v>
      </c>
      <c r="T26" s="3"/>
      <c r="U26" s="3">
        <v>0</v>
      </c>
      <c r="V26" s="3" t="s">
        <v>8</v>
      </c>
      <c r="W26" s="5">
        <v>354.66</v>
      </c>
      <c r="X26" s="3">
        <v>0</v>
      </c>
      <c r="Y26" s="3">
        <v>0</v>
      </c>
      <c r="Z26" s="3">
        <v>0</v>
      </c>
      <c r="AA26" s="3">
        <v>0</v>
      </c>
      <c r="AB26" s="5">
        <v>354.66</v>
      </c>
      <c r="AD26" s="25" t="s">
        <v>1201</v>
      </c>
      <c r="AE26" s="25" t="s">
        <v>1246</v>
      </c>
      <c r="AF26" s="26">
        <v>354.66</v>
      </c>
      <c r="AG26" s="33">
        <f>AF26</f>
        <v>354.66</v>
      </c>
      <c r="AH26" s="18"/>
      <c r="AI26" s="3"/>
      <c r="AJ26" s="3"/>
      <c r="AK26" s="3"/>
      <c r="AL26" s="15">
        <f>AH26+AI26+AJ26+AK26+AG26</f>
        <v>354.66</v>
      </c>
      <c r="AM26" s="15">
        <f>AB26-AL26</f>
        <v>0</v>
      </c>
      <c r="AN26" s="15">
        <f>AM26</f>
        <v>0</v>
      </c>
      <c r="AO26" s="15">
        <f>AM26-AN26</f>
        <v>0</v>
      </c>
      <c r="AQ26" s="15">
        <f>AL26-AF26</f>
        <v>0</v>
      </c>
    </row>
    <row r="27" spans="1:43" hidden="1" x14ac:dyDescent="0.25">
      <c r="A27">
        <v>175</v>
      </c>
      <c r="B27" s="10" t="s">
        <v>903</v>
      </c>
      <c r="C27" s="10" t="s">
        <v>1273</v>
      </c>
      <c r="D27" s="3" t="s">
        <v>904</v>
      </c>
      <c r="E27" s="3" t="s">
        <v>905</v>
      </c>
      <c r="F27" s="3" t="s">
        <v>906</v>
      </c>
      <c r="G27" s="3" t="s">
        <v>907</v>
      </c>
      <c r="H27" s="3" t="s">
        <v>14</v>
      </c>
      <c r="I27" s="3" t="s">
        <v>6</v>
      </c>
      <c r="J27" s="3" t="s">
        <v>33</v>
      </c>
      <c r="K27" s="3" t="s">
        <v>908</v>
      </c>
      <c r="L27" s="3"/>
      <c r="M27" s="3"/>
      <c r="N27" s="3"/>
      <c r="O27" s="3">
        <v>2055</v>
      </c>
      <c r="P27" s="3"/>
      <c r="Q27" s="4">
        <v>46008</v>
      </c>
      <c r="R27" s="5">
        <v>115</v>
      </c>
      <c r="S27" s="3">
        <v>602</v>
      </c>
      <c r="T27" s="3"/>
      <c r="U27" s="3">
        <v>0</v>
      </c>
      <c r="V27" s="3" t="s">
        <v>8</v>
      </c>
      <c r="W27" s="5">
        <v>115</v>
      </c>
      <c r="X27" s="5">
        <v>115</v>
      </c>
      <c r="Y27" s="5">
        <v>115</v>
      </c>
      <c r="Z27" s="3">
        <v>0</v>
      </c>
      <c r="AA27" s="3">
        <v>0</v>
      </c>
      <c r="AB27" s="5">
        <v>345</v>
      </c>
      <c r="AD27" s="25"/>
      <c r="AE27" s="25"/>
      <c r="AF27" s="25"/>
      <c r="AG27" s="32"/>
      <c r="AH27" s="19"/>
      <c r="AI27" s="5"/>
      <c r="AJ27" s="3"/>
      <c r="AK27" s="3"/>
      <c r="AL27" s="15">
        <f>AH27+AI27+AJ27+AK27+AG27</f>
        <v>0</v>
      </c>
      <c r="AM27" s="15">
        <f>AB27-AL27</f>
        <v>345</v>
      </c>
      <c r="AN27" s="15">
        <f>AM27</f>
        <v>345</v>
      </c>
      <c r="AO27" s="15">
        <f>AM27-AN27</f>
        <v>0</v>
      </c>
      <c r="AQ27" s="15">
        <f>AL27-AF27</f>
        <v>0</v>
      </c>
    </row>
    <row r="28" spans="1:43" hidden="1" x14ac:dyDescent="0.25">
      <c r="A28">
        <v>28</v>
      </c>
      <c r="B28" s="10" t="s">
        <v>144</v>
      </c>
      <c r="C28" s="10" t="s">
        <v>1014</v>
      </c>
      <c r="D28" s="3" t="s">
        <v>145</v>
      </c>
      <c r="E28" s="3" t="s">
        <v>145</v>
      </c>
      <c r="F28" s="3" t="s">
        <v>146</v>
      </c>
      <c r="G28" s="3" t="s">
        <v>147</v>
      </c>
      <c r="H28" s="3" t="s">
        <v>14</v>
      </c>
      <c r="I28" s="3" t="s">
        <v>6</v>
      </c>
      <c r="J28" s="3" t="s">
        <v>15</v>
      </c>
      <c r="K28" s="3" t="s">
        <v>148</v>
      </c>
      <c r="L28" s="3"/>
      <c r="M28" s="3"/>
      <c r="N28" s="3" t="s">
        <v>22</v>
      </c>
      <c r="O28" s="3"/>
      <c r="P28" s="3"/>
      <c r="Q28" s="4">
        <v>45772</v>
      </c>
      <c r="R28" s="3">
        <v>0</v>
      </c>
      <c r="S28" s="3">
        <v>60</v>
      </c>
      <c r="T28" s="3"/>
      <c r="U28" s="3">
        <v>0</v>
      </c>
      <c r="V28" s="3" t="s">
        <v>8</v>
      </c>
      <c r="W28" s="5">
        <v>967.52</v>
      </c>
      <c r="X28" s="5">
        <v>857.11</v>
      </c>
      <c r="Y28" s="3">
        <v>0</v>
      </c>
      <c r="Z28" s="3">
        <v>0</v>
      </c>
      <c r="AA28" s="5">
        <v>0</v>
      </c>
      <c r="AB28" s="5">
        <f>SUM(W28:AA28)</f>
        <v>1824.63</v>
      </c>
      <c r="AD28" s="25"/>
      <c r="AE28" s="25"/>
      <c r="AF28" s="59">
        <v>857.11</v>
      </c>
      <c r="AG28" s="32"/>
      <c r="AH28" s="19">
        <f>AF28</f>
        <v>857.11</v>
      </c>
      <c r="AI28" s="3"/>
      <c r="AJ28" s="3"/>
      <c r="AK28" s="5"/>
      <c r="AL28" s="15">
        <f>AH28+AI28+AJ28+AK28+AG28</f>
        <v>857.11</v>
      </c>
      <c r="AM28" s="15">
        <f>AB28-AL28</f>
        <v>967.5200000000001</v>
      </c>
      <c r="AN28" s="15">
        <f>AM28</f>
        <v>967.5200000000001</v>
      </c>
      <c r="AO28" s="15">
        <f>AM28-AN28</f>
        <v>0</v>
      </c>
      <c r="AQ28" s="15">
        <f>AL28-AF28</f>
        <v>0</v>
      </c>
    </row>
    <row r="29" spans="1:43" hidden="1" x14ac:dyDescent="0.25">
      <c r="A29">
        <v>84</v>
      </c>
      <c r="B29" s="10" t="s">
        <v>454</v>
      </c>
      <c r="C29" s="10" t="s">
        <v>1271</v>
      </c>
      <c r="D29" s="3" t="s">
        <v>455</v>
      </c>
      <c r="E29" s="3" t="s">
        <v>456</v>
      </c>
      <c r="F29" s="3" t="s">
        <v>457</v>
      </c>
      <c r="G29" s="3" t="s">
        <v>458</v>
      </c>
      <c r="H29" s="3" t="s">
        <v>249</v>
      </c>
      <c r="I29" s="3" t="s">
        <v>6</v>
      </c>
      <c r="J29" s="3"/>
      <c r="K29" s="3" t="s">
        <v>459</v>
      </c>
      <c r="L29" s="3"/>
      <c r="M29" s="3"/>
      <c r="N29" s="3"/>
      <c r="O29" s="6" t="s">
        <v>460</v>
      </c>
      <c r="P29" s="3"/>
      <c r="Q29" s="4">
        <v>45811</v>
      </c>
      <c r="R29" s="5">
        <v>758.65</v>
      </c>
      <c r="S29" s="3">
        <v>17</v>
      </c>
      <c r="T29" s="3"/>
      <c r="U29" s="3">
        <v>0</v>
      </c>
      <c r="V29" s="3" t="s">
        <v>8</v>
      </c>
      <c r="W29" s="3">
        <v>0</v>
      </c>
      <c r="X29" s="3">
        <v>0</v>
      </c>
      <c r="Y29" s="3">
        <v>0</v>
      </c>
      <c r="Z29" s="3">
        <v>0</v>
      </c>
      <c r="AA29" s="5">
        <v>0</v>
      </c>
      <c r="AB29" s="5">
        <v>0</v>
      </c>
      <c r="AD29" s="25"/>
      <c r="AE29" s="25"/>
      <c r="AF29" s="25"/>
      <c r="AG29" s="32"/>
      <c r="AH29" s="18"/>
      <c r="AI29" s="3"/>
      <c r="AJ29" s="3"/>
      <c r="AK29" s="5"/>
      <c r="AL29" s="15">
        <f>AH29+AI29+AJ29+AK29+AG29</f>
        <v>0</v>
      </c>
      <c r="AM29" s="15">
        <f>AB29-AL29</f>
        <v>0</v>
      </c>
      <c r="AO29" s="15">
        <f>AM29-AN29</f>
        <v>0</v>
      </c>
      <c r="AQ29" s="15">
        <f>AL29-AF29</f>
        <v>0</v>
      </c>
    </row>
    <row r="30" spans="1:43" hidden="1" x14ac:dyDescent="0.25">
      <c r="A30">
        <v>136</v>
      </c>
      <c r="B30" s="10" t="s">
        <v>707</v>
      </c>
      <c r="C30" s="10" t="s">
        <v>1271</v>
      </c>
      <c r="D30" s="3" t="s">
        <v>708</v>
      </c>
      <c r="E30" s="3" t="s">
        <v>709</v>
      </c>
      <c r="F30" s="3" t="s">
        <v>710</v>
      </c>
      <c r="G30" s="3" t="s">
        <v>711</v>
      </c>
      <c r="H30" s="3" t="s">
        <v>249</v>
      </c>
      <c r="I30" s="3" t="s">
        <v>6</v>
      </c>
      <c r="J30" s="3" t="s">
        <v>15</v>
      </c>
      <c r="K30" s="3" t="s">
        <v>712</v>
      </c>
      <c r="L30" s="3"/>
      <c r="M30" s="3"/>
      <c r="N30" s="3" t="s">
        <v>22</v>
      </c>
      <c r="O30" s="3"/>
      <c r="P30" s="3"/>
      <c r="Q30" s="4">
        <v>45716</v>
      </c>
      <c r="R30" s="5">
        <v>154.88999999999999</v>
      </c>
      <c r="S30" s="3">
        <v>53</v>
      </c>
      <c r="T30" s="3"/>
      <c r="U30" s="3">
        <v>0</v>
      </c>
      <c r="V30" s="3" t="s">
        <v>8</v>
      </c>
      <c r="W30" s="3">
        <v>0</v>
      </c>
      <c r="X30" s="3">
        <v>0</v>
      </c>
      <c r="Y30" s="3">
        <v>0</v>
      </c>
      <c r="Z30" s="3">
        <v>0</v>
      </c>
      <c r="AA30" s="5">
        <v>0</v>
      </c>
      <c r="AB30" s="5">
        <v>0</v>
      </c>
      <c r="AD30" s="25"/>
      <c r="AE30" s="25"/>
      <c r="AF30" s="25"/>
      <c r="AG30" s="32"/>
      <c r="AH30" s="18"/>
      <c r="AI30" s="3"/>
      <c r="AJ30" s="3"/>
      <c r="AK30" s="5"/>
      <c r="AL30" s="15">
        <f>AH30+AI30+AJ30+AK30+AG30</f>
        <v>0</v>
      </c>
      <c r="AM30" s="15">
        <v>0</v>
      </c>
      <c r="AN30">
        <v>0</v>
      </c>
      <c r="AO30" s="15">
        <f>AM30-AN30</f>
        <v>0</v>
      </c>
      <c r="AQ30" s="15">
        <f>AL30-AF30</f>
        <v>0</v>
      </c>
    </row>
    <row r="31" spans="1:43" hidden="1" x14ac:dyDescent="0.25">
      <c r="A31">
        <v>143</v>
      </c>
      <c r="B31" s="10">
        <v>1119</v>
      </c>
      <c r="C31" s="10" t="s">
        <v>1271</v>
      </c>
      <c r="D31" s="3" t="s">
        <v>748</v>
      </c>
      <c r="E31" s="3" t="s">
        <v>749</v>
      </c>
      <c r="F31" s="3" t="s">
        <v>750</v>
      </c>
      <c r="G31" s="3" t="s">
        <v>751</v>
      </c>
      <c r="H31" s="3" t="s">
        <v>14</v>
      </c>
      <c r="I31" s="3" t="s">
        <v>6</v>
      </c>
      <c r="J31" s="3" t="s">
        <v>33</v>
      </c>
      <c r="K31" s="3" t="s">
        <v>752</v>
      </c>
      <c r="L31" s="3" t="s">
        <v>753</v>
      </c>
      <c r="M31" s="3" t="s">
        <v>754</v>
      </c>
      <c r="N31" s="3"/>
      <c r="O31" s="3">
        <v>3910</v>
      </c>
      <c r="P31" s="3"/>
      <c r="Q31" s="4">
        <v>45847</v>
      </c>
      <c r="R31" s="5">
        <v>5000</v>
      </c>
      <c r="S31" s="3">
        <v>300</v>
      </c>
      <c r="T31" s="3"/>
      <c r="U31" s="3">
        <v>0</v>
      </c>
      <c r="V31" s="3" t="s">
        <v>8</v>
      </c>
      <c r="W31" s="3">
        <v>0</v>
      </c>
      <c r="X31" s="3">
        <v>0</v>
      </c>
      <c r="Y31" s="3">
        <v>0</v>
      </c>
      <c r="Z31" s="3">
        <v>0</v>
      </c>
      <c r="AA31" s="5">
        <v>88002.8</v>
      </c>
      <c r="AB31" s="5">
        <v>88002.8</v>
      </c>
      <c r="AD31" s="25"/>
      <c r="AE31" s="25"/>
      <c r="AF31" s="25"/>
      <c r="AG31" s="32"/>
      <c r="AH31" s="18"/>
      <c r="AI31" s="3"/>
      <c r="AJ31" s="3"/>
      <c r="AK31" s="5"/>
      <c r="AL31" s="15">
        <f>AH31+AI31+AJ31+AK31+AG31</f>
        <v>0</v>
      </c>
      <c r="AM31" s="15">
        <f>AB31-AL31</f>
        <v>88002.8</v>
      </c>
      <c r="AN31" s="15">
        <f>AM31</f>
        <v>88002.8</v>
      </c>
      <c r="AO31" s="15">
        <f>AM31-AN31</f>
        <v>0</v>
      </c>
      <c r="AQ31" s="15">
        <f>AL31-AF31</f>
        <v>0</v>
      </c>
    </row>
    <row r="32" spans="1:43" hidden="1" x14ac:dyDescent="0.25">
      <c r="A32">
        <v>145</v>
      </c>
      <c r="B32" s="10" t="s">
        <v>756</v>
      </c>
      <c r="C32" s="10" t="s">
        <v>1271</v>
      </c>
      <c r="D32" s="3" t="s">
        <v>757</v>
      </c>
      <c r="E32" s="3" t="s">
        <v>758</v>
      </c>
      <c r="F32" s="3" t="s">
        <v>759</v>
      </c>
      <c r="G32" s="3" t="s">
        <v>760</v>
      </c>
      <c r="H32" s="3" t="s">
        <v>236</v>
      </c>
      <c r="I32" s="3" t="s">
        <v>6</v>
      </c>
      <c r="J32" s="3" t="s">
        <v>33</v>
      </c>
      <c r="K32" s="3" t="s">
        <v>761</v>
      </c>
      <c r="L32" s="3"/>
      <c r="M32" s="3"/>
      <c r="N32" s="3"/>
      <c r="O32" s="3">
        <v>2128</v>
      </c>
      <c r="P32" s="3"/>
      <c r="Q32" s="4">
        <v>43231</v>
      </c>
      <c r="R32" s="5">
        <v>164934.66</v>
      </c>
      <c r="S32" s="3">
        <v>1540</v>
      </c>
      <c r="T32" s="3"/>
      <c r="U32" s="3">
        <v>0</v>
      </c>
      <c r="V32" s="3" t="s">
        <v>8</v>
      </c>
      <c r="W32" s="3">
        <v>0</v>
      </c>
      <c r="X32" s="3">
        <v>0</v>
      </c>
      <c r="Y32" s="3">
        <v>0</v>
      </c>
      <c r="Z32" s="3">
        <v>0</v>
      </c>
      <c r="AA32" s="5">
        <v>0</v>
      </c>
      <c r="AB32" s="5">
        <v>0</v>
      </c>
      <c r="AD32" s="25"/>
      <c r="AE32" s="25"/>
      <c r="AF32" s="25"/>
      <c r="AG32" s="32"/>
      <c r="AH32" s="18"/>
      <c r="AI32" s="3"/>
      <c r="AJ32" s="3"/>
      <c r="AK32" s="5"/>
      <c r="AL32" s="15">
        <f>AH32+AI32+AJ32+AK32+AG32</f>
        <v>0</v>
      </c>
      <c r="AM32" s="15">
        <f>AB32-AL32</f>
        <v>0</v>
      </c>
      <c r="AO32" s="15">
        <f>AM32-AN32</f>
        <v>0</v>
      </c>
      <c r="AQ32" s="15">
        <f>AL32-AF32</f>
        <v>0</v>
      </c>
    </row>
    <row r="33" spans="1:43" hidden="1" x14ac:dyDescent="0.25">
      <c r="A33">
        <v>152</v>
      </c>
      <c r="B33" s="10" t="s">
        <v>786</v>
      </c>
      <c r="C33" s="10" t="s">
        <v>1271</v>
      </c>
      <c r="D33" s="3" t="s">
        <v>787</v>
      </c>
      <c r="E33" s="3" t="s">
        <v>788</v>
      </c>
      <c r="F33" s="3" t="s">
        <v>789</v>
      </c>
      <c r="G33" s="3" t="s">
        <v>790</v>
      </c>
      <c r="H33" s="3" t="s">
        <v>82</v>
      </c>
      <c r="I33" s="3" t="s">
        <v>6</v>
      </c>
      <c r="J33" s="3" t="s">
        <v>15</v>
      </c>
      <c r="K33" s="3" t="s">
        <v>791</v>
      </c>
      <c r="L33" s="3"/>
      <c r="M33" s="3"/>
      <c r="N33" s="3"/>
      <c r="O33" s="6" t="s">
        <v>792</v>
      </c>
      <c r="P33" s="3"/>
      <c r="Q33" s="4">
        <v>43565</v>
      </c>
      <c r="R33" s="3">
        <v>0</v>
      </c>
      <c r="S33" s="3">
        <v>432</v>
      </c>
      <c r="T33" s="3" t="s">
        <v>793</v>
      </c>
      <c r="U33" s="3">
        <v>0</v>
      </c>
      <c r="V33" s="3" t="s">
        <v>8</v>
      </c>
      <c r="W33" s="3">
        <v>0</v>
      </c>
      <c r="X33" s="3">
        <v>0</v>
      </c>
      <c r="Y33" s="3">
        <v>0</v>
      </c>
      <c r="Z33" s="3">
        <v>0</v>
      </c>
      <c r="AA33" s="3">
        <v>0.01</v>
      </c>
      <c r="AB33" s="3">
        <v>0.01</v>
      </c>
      <c r="AD33" s="25"/>
      <c r="AE33" s="25"/>
      <c r="AF33" s="25"/>
      <c r="AG33" s="32"/>
      <c r="AH33" s="18"/>
      <c r="AI33" s="3"/>
      <c r="AJ33" s="3"/>
      <c r="AK33" s="3"/>
      <c r="AL33" s="15">
        <f>AH33+AI33+AJ33+AK33+AG33</f>
        <v>0</v>
      </c>
      <c r="AM33" s="15">
        <f>AB33-AL33</f>
        <v>0.01</v>
      </c>
      <c r="AO33" s="15">
        <f>AM33-AN33</f>
        <v>0.01</v>
      </c>
      <c r="AQ33" s="15">
        <f>AL33-AF33</f>
        <v>0</v>
      </c>
    </row>
    <row r="34" spans="1:43" hidden="1" x14ac:dyDescent="0.25">
      <c r="A34">
        <v>171</v>
      </c>
      <c r="B34" s="10" t="s">
        <v>884</v>
      </c>
      <c r="C34" s="10" t="s">
        <v>1271</v>
      </c>
      <c r="D34" s="3" t="s">
        <v>885</v>
      </c>
      <c r="E34" s="3" t="s">
        <v>885</v>
      </c>
      <c r="F34" s="3" t="s">
        <v>886</v>
      </c>
      <c r="G34" s="3" t="s">
        <v>887</v>
      </c>
      <c r="H34" s="3" t="s">
        <v>14</v>
      </c>
      <c r="I34" s="3" t="s">
        <v>6</v>
      </c>
      <c r="J34" s="3" t="s">
        <v>15</v>
      </c>
      <c r="K34" s="3" t="s">
        <v>888</v>
      </c>
      <c r="L34" s="3"/>
      <c r="M34" s="3"/>
      <c r="N34" s="3" t="s">
        <v>22</v>
      </c>
      <c r="O34" s="3"/>
      <c r="P34" s="3"/>
      <c r="Q34" s="4">
        <v>46060</v>
      </c>
      <c r="R34" s="5">
        <v>589.95000000000005</v>
      </c>
      <c r="S34" s="3">
        <v>200</v>
      </c>
      <c r="T34" s="3"/>
      <c r="U34" s="3">
        <v>0</v>
      </c>
      <c r="V34" s="3" t="s">
        <v>8</v>
      </c>
      <c r="W34" s="3">
        <v>0</v>
      </c>
      <c r="X34" s="5">
        <v>589.95000000000005</v>
      </c>
      <c r="Y34" s="3">
        <v>0</v>
      </c>
      <c r="Z34" s="3">
        <v>0</v>
      </c>
      <c r="AA34" s="3">
        <v>0</v>
      </c>
      <c r="AB34" s="5">
        <v>589.95000000000005</v>
      </c>
      <c r="AD34" s="25" t="s">
        <v>1151</v>
      </c>
      <c r="AE34" s="25" t="s">
        <v>885</v>
      </c>
      <c r="AF34" s="26">
        <v>589.95000000000005</v>
      </c>
      <c r="AG34" s="32"/>
      <c r="AH34" s="19">
        <f>AF34</f>
        <v>589.95000000000005</v>
      </c>
      <c r="AI34" s="3"/>
      <c r="AJ34" s="3"/>
      <c r="AK34" s="3"/>
      <c r="AL34" s="15">
        <f>AH34+AI34+AJ34+AK34+AG34</f>
        <v>589.95000000000005</v>
      </c>
      <c r="AM34" s="15">
        <f>AB34-AL34</f>
        <v>0</v>
      </c>
      <c r="AN34">
        <v>0</v>
      </c>
      <c r="AO34" s="15">
        <f>AM34-AN34</f>
        <v>0</v>
      </c>
      <c r="AQ34" s="15">
        <f>AL34-AF34</f>
        <v>0</v>
      </c>
    </row>
    <row r="35" spans="1:43" hidden="1" x14ac:dyDescent="0.25">
      <c r="A35">
        <v>29</v>
      </c>
      <c r="B35" s="10" t="s">
        <v>149</v>
      </c>
      <c r="C35" s="10" t="s">
        <v>1015</v>
      </c>
      <c r="D35" s="3" t="s">
        <v>150</v>
      </c>
      <c r="E35" s="3" t="s">
        <v>151</v>
      </c>
      <c r="F35" s="3"/>
      <c r="G35" s="3" t="s">
        <v>152</v>
      </c>
      <c r="H35" s="3" t="s">
        <v>14</v>
      </c>
      <c r="I35" s="3" t="s">
        <v>6</v>
      </c>
      <c r="J35" s="3"/>
      <c r="K35" s="3" t="s">
        <v>153</v>
      </c>
      <c r="L35" s="3"/>
      <c r="M35" s="3"/>
      <c r="N35" s="3" t="s">
        <v>22</v>
      </c>
      <c r="O35" s="3"/>
      <c r="P35" s="3"/>
      <c r="Q35" s="4">
        <v>46060</v>
      </c>
      <c r="R35" s="5">
        <v>13511</v>
      </c>
      <c r="S35" s="3">
        <v>79</v>
      </c>
      <c r="T35" s="3"/>
      <c r="U35" s="3">
        <v>0</v>
      </c>
      <c r="V35" s="3" t="s">
        <v>8</v>
      </c>
      <c r="W35" s="5">
        <v>13511</v>
      </c>
      <c r="X35" s="5">
        <v>13511</v>
      </c>
      <c r="Y35" s="3">
        <v>0</v>
      </c>
      <c r="Z35" s="3">
        <v>0</v>
      </c>
      <c r="AA35" s="3">
        <v>0</v>
      </c>
      <c r="AB35" s="5">
        <v>27022</v>
      </c>
      <c r="AD35" s="25" t="s">
        <v>1151</v>
      </c>
      <c r="AE35" s="25" t="s">
        <v>150</v>
      </c>
      <c r="AF35" s="26">
        <v>13511</v>
      </c>
      <c r="AG35" s="32"/>
      <c r="AH35" s="19">
        <f>AF35</f>
        <v>13511</v>
      </c>
      <c r="AI35" s="3"/>
      <c r="AJ35" s="3"/>
      <c r="AK35" s="3"/>
      <c r="AL35" s="15">
        <f>AH35+AI35+AJ35+AK35+AG35</f>
        <v>13511</v>
      </c>
      <c r="AM35" s="15">
        <f>AB35-AL35</f>
        <v>13511</v>
      </c>
      <c r="AN35">
        <v>13511</v>
      </c>
      <c r="AO35" s="15">
        <f>AM35-AN35</f>
        <v>0</v>
      </c>
      <c r="AQ35" s="15">
        <f>AL35-AF35</f>
        <v>0</v>
      </c>
    </row>
    <row r="36" spans="1:43" hidden="1" x14ac:dyDescent="0.25">
      <c r="A36">
        <v>30</v>
      </c>
      <c r="B36" s="10" t="s">
        <v>154</v>
      </c>
      <c r="C36" s="10" t="s">
        <v>1016</v>
      </c>
      <c r="D36" s="3" t="s">
        <v>155</v>
      </c>
      <c r="E36" s="3" t="s">
        <v>156</v>
      </c>
      <c r="F36" s="3" t="s">
        <v>157</v>
      </c>
      <c r="G36" s="3" t="s">
        <v>158</v>
      </c>
      <c r="H36" s="3" t="s">
        <v>14</v>
      </c>
      <c r="I36" s="3" t="s">
        <v>6</v>
      </c>
      <c r="J36" s="3"/>
      <c r="K36" s="3" t="s">
        <v>159</v>
      </c>
      <c r="L36" s="3"/>
      <c r="M36" s="3"/>
      <c r="N36" s="3" t="s">
        <v>22</v>
      </c>
      <c r="O36" s="3"/>
      <c r="P36" s="3"/>
      <c r="Q36" s="4">
        <v>46058</v>
      </c>
      <c r="R36" s="5">
        <v>6877</v>
      </c>
      <c r="S36" s="3">
        <v>89</v>
      </c>
      <c r="T36" s="3"/>
      <c r="U36" s="3">
        <v>0</v>
      </c>
      <c r="V36" s="3" t="s">
        <v>8</v>
      </c>
      <c r="W36" s="5">
        <v>10597.25</v>
      </c>
      <c r="X36" s="3">
        <v>0</v>
      </c>
      <c r="Y36" s="3">
        <v>0</v>
      </c>
      <c r="Z36" s="3">
        <v>0</v>
      </c>
      <c r="AA36" s="3">
        <v>0</v>
      </c>
      <c r="AB36" s="5">
        <v>10597.25</v>
      </c>
      <c r="AD36" s="25" t="s">
        <v>1154</v>
      </c>
      <c r="AE36" s="25" t="s">
        <v>154</v>
      </c>
      <c r="AF36" s="26">
        <v>3438.5</v>
      </c>
      <c r="AG36" s="33">
        <f>AF36</f>
        <v>3438.5</v>
      </c>
      <c r="AH36" s="18"/>
      <c r="AI36" s="3"/>
      <c r="AJ36" s="3"/>
      <c r="AK36" s="3"/>
      <c r="AL36" s="15">
        <f>AH36+AI36+AJ36+AK36+AG36</f>
        <v>3438.5</v>
      </c>
      <c r="AM36" s="15">
        <f>AB36-AL36</f>
        <v>7158.75</v>
      </c>
      <c r="AN36">
        <v>7158.75</v>
      </c>
      <c r="AO36" s="15">
        <f>AM36-AN36</f>
        <v>0</v>
      </c>
      <c r="AQ36" s="15">
        <f>AL36-AF36</f>
        <v>0</v>
      </c>
    </row>
    <row r="37" spans="1:43" x14ac:dyDescent="0.25">
      <c r="A37">
        <v>1</v>
      </c>
      <c r="B37" s="10" t="s">
        <v>0</v>
      </c>
      <c r="C37" s="10" t="s">
        <v>1272</v>
      </c>
      <c r="D37" s="3" t="s">
        <v>1</v>
      </c>
      <c r="E37" s="3" t="s">
        <v>2</v>
      </c>
      <c r="F37" s="3" t="s">
        <v>3</v>
      </c>
      <c r="G37" s="3" t="s">
        <v>4</v>
      </c>
      <c r="H37" s="3" t="s">
        <v>5</v>
      </c>
      <c r="I37" s="3" t="s">
        <v>6</v>
      </c>
      <c r="J37" s="3"/>
      <c r="K37" s="3" t="s">
        <v>7</v>
      </c>
      <c r="L37" s="3"/>
      <c r="M37" s="3"/>
      <c r="N37" s="3"/>
      <c r="O37" s="3">
        <v>1609</v>
      </c>
      <c r="P37" s="3"/>
      <c r="Q37" s="4">
        <v>45472</v>
      </c>
      <c r="R37" s="5">
        <v>113.85</v>
      </c>
      <c r="S37" s="3">
        <v>2500</v>
      </c>
      <c r="T37" s="3"/>
      <c r="U37" s="3">
        <v>0</v>
      </c>
      <c r="V37" s="3" t="s">
        <v>8</v>
      </c>
      <c r="W37" s="3">
        <v>0</v>
      </c>
      <c r="X37" s="3">
        <v>0</v>
      </c>
      <c r="Y37" s="3">
        <v>0</v>
      </c>
      <c r="Z37" s="3">
        <v>0</v>
      </c>
      <c r="AA37" s="5">
        <v>0</v>
      </c>
      <c r="AB37" s="5">
        <v>0</v>
      </c>
      <c r="AD37" s="25"/>
      <c r="AE37" s="25"/>
      <c r="AF37" s="25"/>
      <c r="AG37" s="32"/>
      <c r="AH37" s="18"/>
      <c r="AI37" s="3"/>
      <c r="AJ37" s="3"/>
      <c r="AK37" s="5"/>
      <c r="AL37" s="15">
        <f>AH37+AI37+AJ37+AK37+AG37</f>
        <v>0</v>
      </c>
      <c r="AM37" s="15">
        <f>AB37-AL37</f>
        <v>0</v>
      </c>
      <c r="AN37">
        <v>0</v>
      </c>
      <c r="AO37" s="15">
        <f>AM37-AN37</f>
        <v>0</v>
      </c>
      <c r="AQ37" s="15">
        <f>AL37-AF37</f>
        <v>0</v>
      </c>
    </row>
    <row r="38" spans="1:43" x14ac:dyDescent="0.25">
      <c r="A38">
        <v>3</v>
      </c>
      <c r="B38" s="10" t="s">
        <v>17</v>
      </c>
      <c r="C38" s="87" t="s">
        <v>1272</v>
      </c>
      <c r="D38" s="3" t="s">
        <v>18</v>
      </c>
      <c r="E38" s="3" t="s">
        <v>19</v>
      </c>
      <c r="F38" s="3"/>
      <c r="G38" s="3" t="s">
        <v>20</v>
      </c>
      <c r="H38" s="3" t="s">
        <v>14</v>
      </c>
      <c r="I38" s="3" t="s">
        <v>6</v>
      </c>
      <c r="J38" s="3"/>
      <c r="K38" s="3" t="s">
        <v>21</v>
      </c>
      <c r="L38" s="3"/>
      <c r="M38" s="3"/>
      <c r="N38" s="3" t="s">
        <v>22</v>
      </c>
      <c r="O38" s="3"/>
      <c r="P38" s="3"/>
      <c r="Q38" s="3"/>
      <c r="R38" s="3">
        <v>0</v>
      </c>
      <c r="S38" s="3">
        <v>50</v>
      </c>
      <c r="T38" s="3"/>
      <c r="U38" s="3">
        <v>0</v>
      </c>
      <c r="V38" s="3" t="s">
        <v>8</v>
      </c>
      <c r="W38" s="5">
        <v>7631.26</v>
      </c>
      <c r="X38" s="3">
        <v>0</v>
      </c>
      <c r="Y38" s="3">
        <v>0</v>
      </c>
      <c r="Z38" s="3">
        <v>0</v>
      </c>
      <c r="AA38" s="3">
        <v>0</v>
      </c>
      <c r="AB38" s="5">
        <v>7631.26</v>
      </c>
      <c r="AD38" s="25"/>
      <c r="AE38" s="25"/>
      <c r="AF38" s="25"/>
      <c r="AG38" s="32"/>
      <c r="AH38" s="18"/>
      <c r="AI38" s="3"/>
      <c r="AJ38" s="3"/>
      <c r="AK38" s="3"/>
      <c r="AL38" s="15">
        <f>AH38+AI38+AJ38+AK38+AG38</f>
        <v>0</v>
      </c>
      <c r="AM38" s="15">
        <f>AB38-AL38</f>
        <v>7631.26</v>
      </c>
      <c r="AN38">
        <v>7631.26</v>
      </c>
      <c r="AO38" s="15">
        <f>AM38-AN38</f>
        <v>0</v>
      </c>
      <c r="AQ38" s="15">
        <f>AL38-AF38</f>
        <v>0</v>
      </c>
    </row>
    <row r="39" spans="1:43" x14ac:dyDescent="0.25">
      <c r="A39">
        <v>12</v>
      </c>
      <c r="B39" s="10" t="s">
        <v>70</v>
      </c>
      <c r="C39" s="10" t="s">
        <v>1272</v>
      </c>
      <c r="D39" s="3" t="s">
        <v>71</v>
      </c>
      <c r="E39" s="3" t="s">
        <v>72</v>
      </c>
      <c r="F39" s="3" t="s">
        <v>73</v>
      </c>
      <c r="G39" s="3" t="s">
        <v>74</v>
      </c>
      <c r="H39" s="3" t="s">
        <v>14</v>
      </c>
      <c r="I39" s="3" t="s">
        <v>6</v>
      </c>
      <c r="J39" s="3" t="s">
        <v>15</v>
      </c>
      <c r="K39" s="3" t="s">
        <v>75</v>
      </c>
      <c r="L39" s="3" t="s">
        <v>76</v>
      </c>
      <c r="M39" s="3" t="s">
        <v>69</v>
      </c>
      <c r="N39" s="3" t="s">
        <v>22</v>
      </c>
      <c r="O39" s="3">
        <v>2094</v>
      </c>
      <c r="P39" s="3"/>
      <c r="Q39" s="4">
        <v>46079</v>
      </c>
      <c r="R39" s="5">
        <v>147.16999999999999</v>
      </c>
      <c r="S39" s="3">
        <v>39</v>
      </c>
      <c r="T39" s="3"/>
      <c r="U39" s="3">
        <v>0</v>
      </c>
      <c r="V39" s="3" t="s">
        <v>8</v>
      </c>
      <c r="W39" s="5">
        <v>147.16999999999999</v>
      </c>
      <c r="X39" s="3">
        <v>0</v>
      </c>
      <c r="Y39" s="3">
        <v>0</v>
      </c>
      <c r="Z39" s="3">
        <v>0</v>
      </c>
      <c r="AA39" s="3">
        <v>0</v>
      </c>
      <c r="AB39" s="5">
        <v>147.16999999999999</v>
      </c>
      <c r="AD39" s="25"/>
      <c r="AE39" s="25"/>
      <c r="AF39" s="25"/>
      <c r="AG39" s="32"/>
      <c r="AH39" s="18"/>
      <c r="AI39" s="3"/>
      <c r="AJ39" s="3"/>
      <c r="AK39" s="3"/>
      <c r="AL39" s="15">
        <f>AH39+AI39+AJ39+AK39+AG39</f>
        <v>0</v>
      </c>
      <c r="AM39" s="15">
        <f>AB39-AL39</f>
        <v>147.16999999999999</v>
      </c>
      <c r="AN39" s="15">
        <f>AM39</f>
        <v>147.16999999999999</v>
      </c>
      <c r="AO39" s="15">
        <f>AM39-AN39</f>
        <v>0</v>
      </c>
      <c r="AQ39" s="15">
        <f>AL39-AF39</f>
        <v>0</v>
      </c>
    </row>
    <row r="40" spans="1:43" x14ac:dyDescent="0.25">
      <c r="A40">
        <v>15</v>
      </c>
      <c r="B40" s="10"/>
      <c r="C40" s="10" t="s">
        <v>1272</v>
      </c>
      <c r="D40" s="3" t="str">
        <f>[1]nedredc!$B$35</f>
        <v>AUMA SOUTH AFRICA (PTY)LTD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4"/>
      <c r="R40" s="5"/>
      <c r="S40" s="3"/>
      <c r="T40" s="3"/>
      <c r="U40" s="3"/>
      <c r="V40" s="3"/>
      <c r="W40" s="5"/>
      <c r="X40" s="3"/>
      <c r="Y40" s="3"/>
      <c r="Z40" s="3"/>
      <c r="AA40" s="3"/>
      <c r="AB40" s="5"/>
      <c r="AD40" s="25" t="s">
        <v>1167</v>
      </c>
      <c r="AE40" s="25" t="s">
        <v>1186</v>
      </c>
      <c r="AF40" s="26">
        <v>26226.81</v>
      </c>
      <c r="AG40" s="33">
        <f>AF40</f>
        <v>26226.81</v>
      </c>
      <c r="AH40" s="18"/>
      <c r="AI40" s="3"/>
      <c r="AJ40" s="3"/>
      <c r="AK40" s="3"/>
      <c r="AL40" s="15">
        <f>AH40+AI40+AJ40+AK40+AG40</f>
        <v>26226.81</v>
      </c>
      <c r="AM40" s="15">
        <f>AB40-AL40</f>
        <v>-26226.81</v>
      </c>
      <c r="AN40">
        <v>-26226.81</v>
      </c>
      <c r="AO40" s="15">
        <f>AM40-AN40</f>
        <v>0</v>
      </c>
      <c r="AQ40" s="15">
        <f>AL40-AF40</f>
        <v>0</v>
      </c>
    </row>
    <row r="41" spans="1:43" x14ac:dyDescent="0.25">
      <c r="A41">
        <v>18</v>
      </c>
      <c r="B41" s="10" t="s">
        <v>95</v>
      </c>
      <c r="C41" s="10" t="s">
        <v>1272</v>
      </c>
      <c r="D41" s="3" t="s">
        <v>96</v>
      </c>
      <c r="E41" s="3" t="s">
        <v>97</v>
      </c>
      <c r="F41" s="3" t="s">
        <v>92</v>
      </c>
      <c r="G41" s="3" t="s">
        <v>93</v>
      </c>
      <c r="H41" s="3" t="s">
        <v>14</v>
      </c>
      <c r="I41" s="3" t="s">
        <v>6</v>
      </c>
      <c r="J41" s="3"/>
      <c r="K41" s="3" t="s">
        <v>94</v>
      </c>
      <c r="L41" s="3"/>
      <c r="M41" s="3"/>
      <c r="N41" s="3" t="s">
        <v>22</v>
      </c>
      <c r="O41" s="3"/>
      <c r="P41" s="3"/>
      <c r="Q41" s="4">
        <v>46081</v>
      </c>
      <c r="R41" s="5">
        <v>1122.4000000000001</v>
      </c>
      <c r="S41" s="3">
        <v>116</v>
      </c>
      <c r="T41" s="3"/>
      <c r="U41" s="3">
        <v>0</v>
      </c>
      <c r="V41" s="3" t="s">
        <v>8</v>
      </c>
      <c r="W41" s="5">
        <v>1122.4000000000001</v>
      </c>
      <c r="X41" s="3">
        <v>0</v>
      </c>
      <c r="Y41" s="3">
        <v>0</v>
      </c>
      <c r="Z41" s="3">
        <v>0</v>
      </c>
      <c r="AA41" s="3">
        <v>0</v>
      </c>
      <c r="AB41" s="5">
        <v>1122.4000000000001</v>
      </c>
      <c r="AD41" s="25"/>
      <c r="AE41" s="25"/>
      <c r="AF41" s="25"/>
      <c r="AG41" s="32"/>
      <c r="AH41" s="18"/>
      <c r="AI41" s="3"/>
      <c r="AJ41" s="3"/>
      <c r="AK41" s="3"/>
      <c r="AL41" s="15">
        <f>AH41+AI41+AJ41+AK41+AG41</f>
        <v>0</v>
      </c>
      <c r="AM41" s="15">
        <f>AB41-AL41</f>
        <v>1122.4000000000001</v>
      </c>
      <c r="AN41" s="15">
        <f>AM41</f>
        <v>1122.4000000000001</v>
      </c>
      <c r="AO41" s="15">
        <f>AM41-AN41</f>
        <v>0</v>
      </c>
      <c r="AQ41" s="15">
        <f>AL41-AF41</f>
        <v>0</v>
      </c>
    </row>
    <row r="42" spans="1:43" x14ac:dyDescent="0.25">
      <c r="A42">
        <v>21</v>
      </c>
      <c r="B42" s="10" t="s">
        <v>110</v>
      </c>
      <c r="C42" s="10" t="s">
        <v>1272</v>
      </c>
      <c r="D42" s="3" t="s">
        <v>111</v>
      </c>
      <c r="E42" s="3" t="s">
        <v>111</v>
      </c>
      <c r="F42" s="3"/>
      <c r="G42" s="3" t="s">
        <v>112</v>
      </c>
      <c r="H42" s="3" t="s">
        <v>14</v>
      </c>
      <c r="I42" s="3" t="s">
        <v>6</v>
      </c>
      <c r="J42" s="3"/>
      <c r="K42" s="3" t="s">
        <v>113</v>
      </c>
      <c r="L42" s="3"/>
      <c r="M42" s="3"/>
      <c r="N42" s="3" t="s">
        <v>22</v>
      </c>
      <c r="O42" s="3"/>
      <c r="P42" s="3"/>
      <c r="Q42" s="4">
        <v>46079</v>
      </c>
      <c r="R42" s="5">
        <v>79.349999999999994</v>
      </c>
      <c r="S42" s="3">
        <v>64</v>
      </c>
      <c r="T42" s="3"/>
      <c r="U42" s="3">
        <v>0</v>
      </c>
      <c r="V42" s="3" t="s">
        <v>8</v>
      </c>
      <c r="W42" s="5">
        <v>79.349999999999994</v>
      </c>
      <c r="X42" s="3">
        <v>0</v>
      </c>
      <c r="Y42" s="3">
        <v>0</v>
      </c>
      <c r="Z42" s="3">
        <v>0</v>
      </c>
      <c r="AA42" s="3">
        <v>0</v>
      </c>
      <c r="AB42" s="5">
        <v>79.349999999999994</v>
      </c>
      <c r="AD42" s="25"/>
      <c r="AE42" s="25"/>
      <c r="AF42" s="25"/>
      <c r="AG42" s="32"/>
      <c r="AH42" s="18"/>
      <c r="AI42" s="3"/>
      <c r="AJ42" s="3"/>
      <c r="AK42" s="3"/>
      <c r="AL42" s="15">
        <f>AH42+AI42+AJ42+AK42+AG42</f>
        <v>0</v>
      </c>
      <c r="AM42" s="15">
        <f>AB42-AL42</f>
        <v>79.349999999999994</v>
      </c>
      <c r="AN42" s="15">
        <f>AM42</f>
        <v>79.349999999999994</v>
      </c>
      <c r="AO42" s="15">
        <f>AM42-AN42</f>
        <v>0</v>
      </c>
      <c r="AQ42" s="15">
        <f>AL42-AF42</f>
        <v>0</v>
      </c>
    </row>
    <row r="43" spans="1:43" x14ac:dyDescent="0.25">
      <c r="A43">
        <v>22</v>
      </c>
      <c r="B43" s="10" t="s">
        <v>114</v>
      </c>
      <c r="C43" s="10" t="s">
        <v>1272</v>
      </c>
      <c r="D43" s="3" t="s">
        <v>115</v>
      </c>
      <c r="E43" s="3" t="s">
        <v>115</v>
      </c>
      <c r="F43" s="6" t="s">
        <v>116</v>
      </c>
      <c r="G43" s="3" t="s">
        <v>117</v>
      </c>
      <c r="H43" s="3" t="s">
        <v>14</v>
      </c>
      <c r="I43" s="3" t="s">
        <v>6</v>
      </c>
      <c r="J43" s="3" t="s">
        <v>15</v>
      </c>
      <c r="K43" s="3" t="s">
        <v>118</v>
      </c>
      <c r="L43" s="3"/>
      <c r="M43" s="3"/>
      <c r="N43" s="3"/>
      <c r="O43" s="3"/>
      <c r="P43" s="3"/>
      <c r="Q43" s="4">
        <v>46081</v>
      </c>
      <c r="R43" s="5">
        <v>734.3</v>
      </c>
      <c r="S43" s="3">
        <v>73</v>
      </c>
      <c r="T43" s="3"/>
      <c r="U43" s="3">
        <v>0</v>
      </c>
      <c r="V43" s="3" t="s">
        <v>8</v>
      </c>
      <c r="W43" s="5">
        <v>734.3</v>
      </c>
      <c r="X43" s="3">
        <v>0</v>
      </c>
      <c r="Y43" s="3">
        <v>0</v>
      </c>
      <c r="Z43" s="3">
        <v>0</v>
      </c>
      <c r="AA43" s="3">
        <v>0</v>
      </c>
      <c r="AB43" s="5">
        <v>734.3</v>
      </c>
      <c r="AD43" s="25" t="s">
        <v>1201</v>
      </c>
      <c r="AE43" s="25" t="s">
        <v>115</v>
      </c>
      <c r="AF43" s="26">
        <v>734.3</v>
      </c>
      <c r="AG43" s="33">
        <f>AF43</f>
        <v>734.3</v>
      </c>
      <c r="AH43" s="18"/>
      <c r="AI43" s="3"/>
      <c r="AJ43" s="3"/>
      <c r="AK43" s="3"/>
      <c r="AL43" s="15">
        <f>AH43+AI43+AJ43+AK43+AG43</f>
        <v>734.3</v>
      </c>
      <c r="AM43" s="15">
        <f>AB43-AL43</f>
        <v>0</v>
      </c>
      <c r="AN43" s="15">
        <f>AM43</f>
        <v>0</v>
      </c>
      <c r="AO43" s="15">
        <f>AM43-AN43</f>
        <v>0</v>
      </c>
      <c r="AQ43" s="15">
        <f>AL43-AF43</f>
        <v>0</v>
      </c>
    </row>
    <row r="44" spans="1:43" x14ac:dyDescent="0.25">
      <c r="A44">
        <v>25</v>
      </c>
      <c r="B44" s="10" t="s">
        <v>129</v>
      </c>
      <c r="C44" s="10" t="s">
        <v>1272</v>
      </c>
      <c r="D44" s="3" t="s">
        <v>130</v>
      </c>
      <c r="E44" s="3" t="s">
        <v>130</v>
      </c>
      <c r="F44" s="3" t="s">
        <v>131</v>
      </c>
      <c r="G44" s="3" t="s">
        <v>132</v>
      </c>
      <c r="H44" s="3" t="s">
        <v>14</v>
      </c>
      <c r="I44" s="3" t="s">
        <v>6</v>
      </c>
      <c r="J44" s="3" t="s">
        <v>15</v>
      </c>
      <c r="K44" s="3" t="s">
        <v>133</v>
      </c>
      <c r="L44" s="3"/>
      <c r="M44" s="3"/>
      <c r="N44" s="3" t="s">
        <v>22</v>
      </c>
      <c r="O44" s="3"/>
      <c r="P44" s="3"/>
      <c r="Q44" s="4">
        <v>46081</v>
      </c>
      <c r="R44" s="5">
        <v>153.53</v>
      </c>
      <c r="S44" s="3">
        <v>57</v>
      </c>
      <c r="T44" s="3"/>
      <c r="U44" s="3">
        <v>0</v>
      </c>
      <c r="V44" s="3" t="s">
        <v>8</v>
      </c>
      <c r="W44" s="5">
        <v>153.53</v>
      </c>
      <c r="X44" s="3">
        <v>0</v>
      </c>
      <c r="Y44" s="3">
        <v>0</v>
      </c>
      <c r="Z44" s="3">
        <v>0</v>
      </c>
      <c r="AA44" s="3">
        <v>0</v>
      </c>
      <c r="AB44" s="5">
        <v>153.53</v>
      </c>
      <c r="AD44" s="25"/>
      <c r="AE44" s="25"/>
      <c r="AF44" s="25"/>
      <c r="AG44" s="32"/>
      <c r="AH44" s="18"/>
      <c r="AI44" s="3"/>
      <c r="AJ44" s="3"/>
      <c r="AK44" s="3"/>
      <c r="AL44" s="15">
        <f>AH44+AI44+AJ44+AK44+AG44</f>
        <v>0</v>
      </c>
      <c r="AM44" s="15">
        <f>AB44-AL44</f>
        <v>153.53</v>
      </c>
      <c r="AN44" s="15">
        <f>AM44</f>
        <v>153.53</v>
      </c>
      <c r="AO44" s="15">
        <f>AM44-AN44</f>
        <v>0</v>
      </c>
      <c r="AQ44" s="15">
        <f>AL44-AF44</f>
        <v>0</v>
      </c>
    </row>
    <row r="45" spans="1:43" x14ac:dyDescent="0.25">
      <c r="A45">
        <v>32</v>
      </c>
      <c r="B45" s="10">
        <v>1128</v>
      </c>
      <c r="C45" s="10" t="s">
        <v>1272</v>
      </c>
      <c r="D45" s="3" t="s">
        <v>164</v>
      </c>
      <c r="E45" s="3" t="s">
        <v>165</v>
      </c>
      <c r="F45" s="3" t="s">
        <v>166</v>
      </c>
      <c r="G45" s="3" t="s">
        <v>167</v>
      </c>
      <c r="H45" s="3" t="s">
        <v>14</v>
      </c>
      <c r="I45" s="3" t="s">
        <v>168</v>
      </c>
      <c r="J45" s="3" t="s">
        <v>33</v>
      </c>
      <c r="K45" s="3" t="s">
        <v>169</v>
      </c>
      <c r="L45" s="3" t="s">
        <v>170</v>
      </c>
      <c r="M45" s="3"/>
      <c r="N45" s="3"/>
      <c r="O45" s="3"/>
      <c r="P45" s="3"/>
      <c r="Q45" s="4">
        <v>45933</v>
      </c>
      <c r="R45" s="5">
        <v>57221.7</v>
      </c>
      <c r="S45" s="3">
        <v>259</v>
      </c>
      <c r="T45" s="3"/>
      <c r="U45" s="3">
        <v>0</v>
      </c>
      <c r="V45" s="3" t="s">
        <v>8</v>
      </c>
      <c r="W45" s="3">
        <v>0</v>
      </c>
      <c r="X45" s="3">
        <v>0</v>
      </c>
      <c r="Y45" s="3">
        <v>0</v>
      </c>
      <c r="Z45" s="3">
        <v>0</v>
      </c>
      <c r="AA45" s="5">
        <v>87149.85</v>
      </c>
      <c r="AB45" s="5">
        <v>87149.85</v>
      </c>
      <c r="AD45" s="25"/>
      <c r="AE45" s="25"/>
      <c r="AF45" s="25"/>
      <c r="AG45" s="32"/>
      <c r="AH45" s="18"/>
      <c r="AI45" s="3"/>
      <c r="AJ45" s="3"/>
      <c r="AK45" s="5"/>
      <c r="AL45" s="15">
        <f>AH45+AI45+AJ45+AK45+AG45</f>
        <v>0</v>
      </c>
      <c r="AM45" s="15">
        <f>AB45-AL45</f>
        <v>87149.85</v>
      </c>
      <c r="AN45" s="15">
        <f>AM45</f>
        <v>87149.85</v>
      </c>
      <c r="AO45" s="15">
        <f>AM45-AN45</f>
        <v>0</v>
      </c>
      <c r="AQ45" s="15">
        <f>AL45-AF45</f>
        <v>0</v>
      </c>
    </row>
    <row r="46" spans="1:43" x14ac:dyDescent="0.25">
      <c r="A46">
        <v>35</v>
      </c>
      <c r="B46" s="10">
        <v>1148</v>
      </c>
      <c r="C46" s="10" t="s">
        <v>1272</v>
      </c>
      <c r="D46" s="3" t="s">
        <v>183</v>
      </c>
      <c r="E46" s="3" t="s">
        <v>183</v>
      </c>
      <c r="F46" s="3"/>
      <c r="G46" s="3" t="s">
        <v>184</v>
      </c>
      <c r="H46" s="3" t="s">
        <v>14</v>
      </c>
      <c r="I46" s="3" t="s">
        <v>6</v>
      </c>
      <c r="J46" s="3"/>
      <c r="K46" s="3" t="s">
        <v>185</v>
      </c>
      <c r="L46" s="3"/>
      <c r="M46" s="3"/>
      <c r="N46" s="3" t="s">
        <v>22</v>
      </c>
      <c r="O46" s="3"/>
      <c r="P46" s="3"/>
      <c r="Q46" s="4">
        <v>45971</v>
      </c>
      <c r="R46" s="5">
        <v>1984.74</v>
      </c>
      <c r="S46" s="3">
        <v>43</v>
      </c>
      <c r="T46" s="3"/>
      <c r="U46" s="3">
        <v>0</v>
      </c>
      <c r="V46" s="3" t="s">
        <v>8</v>
      </c>
      <c r="W46" s="5">
        <v>661.18</v>
      </c>
      <c r="X46" s="5">
        <v>660.38</v>
      </c>
      <c r="Y46" s="3">
        <v>0</v>
      </c>
      <c r="Z46" s="46">
        <v>0</v>
      </c>
      <c r="AA46" s="3">
        <v>0</v>
      </c>
      <c r="AB46" s="5">
        <v>1321.56</v>
      </c>
      <c r="AD46" s="25"/>
      <c r="AE46" s="25"/>
      <c r="AF46" s="25"/>
      <c r="AG46" s="32"/>
      <c r="AH46" s="19"/>
      <c r="AI46" s="3"/>
      <c r="AJ46" s="3"/>
      <c r="AK46" s="3"/>
      <c r="AL46" s="15">
        <f>AH46+AI46+AJ46+AK46+AG46</f>
        <v>0</v>
      </c>
      <c r="AM46" s="15">
        <f>AB46-AL46</f>
        <v>1321.56</v>
      </c>
      <c r="AN46" s="15">
        <f>AM46</f>
        <v>1321.56</v>
      </c>
      <c r="AO46" s="15">
        <f>AM46-AN46</f>
        <v>0</v>
      </c>
      <c r="AQ46" s="15">
        <f>AL46-AF46</f>
        <v>0</v>
      </c>
    </row>
    <row r="47" spans="1:43" x14ac:dyDescent="0.25">
      <c r="A47">
        <v>36</v>
      </c>
      <c r="B47" s="10" t="s">
        <v>186</v>
      </c>
      <c r="C47" s="10" t="s">
        <v>1272</v>
      </c>
      <c r="D47" s="3" t="s">
        <v>187</v>
      </c>
      <c r="E47" s="3" t="s">
        <v>188</v>
      </c>
      <c r="F47" s="3" t="s">
        <v>189</v>
      </c>
      <c r="G47" s="3" t="s">
        <v>190</v>
      </c>
      <c r="H47" s="3" t="s">
        <v>14</v>
      </c>
      <c r="I47" s="3" t="s">
        <v>6</v>
      </c>
      <c r="J47" s="3"/>
      <c r="K47" s="3" t="s">
        <v>191</v>
      </c>
      <c r="L47" s="3"/>
      <c r="M47" s="3"/>
      <c r="N47" s="3" t="s">
        <v>22</v>
      </c>
      <c r="O47" s="3"/>
      <c r="P47" s="3"/>
      <c r="Q47" s="4">
        <v>46055</v>
      </c>
      <c r="R47" s="5">
        <v>30925.8</v>
      </c>
      <c r="S47" s="3">
        <v>28</v>
      </c>
      <c r="T47" s="3"/>
      <c r="U47" s="3">
        <v>0</v>
      </c>
      <c r="V47" s="3" t="s">
        <v>8</v>
      </c>
      <c r="W47" s="5">
        <v>1017.75</v>
      </c>
      <c r="X47" s="16">
        <v>1293.75</v>
      </c>
      <c r="Y47" s="3">
        <v>0</v>
      </c>
      <c r="Z47" s="3">
        <v>0</v>
      </c>
      <c r="AA47" s="3">
        <v>0</v>
      </c>
      <c r="AB47" s="5">
        <v>2311.5</v>
      </c>
      <c r="AD47" s="25" t="s">
        <v>1147</v>
      </c>
      <c r="AE47" s="25" t="s">
        <v>1160</v>
      </c>
      <c r="AF47" s="26">
        <v>1293.75</v>
      </c>
      <c r="AG47" s="32"/>
      <c r="AH47" s="20">
        <f>AF47</f>
        <v>1293.75</v>
      </c>
      <c r="AI47" s="3"/>
      <c r="AJ47" s="3"/>
      <c r="AK47" s="3"/>
      <c r="AL47" s="15">
        <f>AH47+AI47+AJ47+AK47+AG47</f>
        <v>1293.75</v>
      </c>
      <c r="AM47" s="15">
        <f>AB47-AL47</f>
        <v>1017.75</v>
      </c>
      <c r="AN47">
        <v>1017.75</v>
      </c>
      <c r="AO47" s="15">
        <f>AM47-AN47</f>
        <v>0</v>
      </c>
      <c r="AQ47" s="15">
        <f>AL47-AF47</f>
        <v>0</v>
      </c>
    </row>
    <row r="48" spans="1:43" x14ac:dyDescent="0.25">
      <c r="A48">
        <v>45</v>
      </c>
      <c r="B48" s="10" t="s">
        <v>231</v>
      </c>
      <c r="C48" s="10" t="s">
        <v>1272</v>
      </c>
      <c r="D48" s="3" t="s">
        <v>232</v>
      </c>
      <c r="E48" s="3" t="s">
        <v>233</v>
      </c>
      <c r="F48" s="3" t="s">
        <v>234</v>
      </c>
      <c r="G48" s="3" t="s">
        <v>235</v>
      </c>
      <c r="H48" s="3" t="s">
        <v>236</v>
      </c>
      <c r="I48" s="3" t="s">
        <v>6</v>
      </c>
      <c r="J48" s="3"/>
      <c r="K48" s="3" t="s">
        <v>237</v>
      </c>
      <c r="L48" s="3"/>
      <c r="M48" s="3"/>
      <c r="N48" s="3"/>
      <c r="O48" s="3"/>
      <c r="P48" s="3"/>
      <c r="Q48" s="3"/>
      <c r="R48" s="3">
        <v>0</v>
      </c>
      <c r="S48" s="3">
        <v>2901</v>
      </c>
      <c r="T48" s="3"/>
      <c r="U48" s="3">
        <v>0</v>
      </c>
      <c r="V48" s="3" t="s">
        <v>8</v>
      </c>
      <c r="W48" s="3">
        <v>0</v>
      </c>
      <c r="X48" s="3">
        <v>0</v>
      </c>
      <c r="Y48" s="3">
        <v>0</v>
      </c>
      <c r="Z48" s="3">
        <v>0</v>
      </c>
      <c r="AA48" s="5">
        <v>78856.67</v>
      </c>
      <c r="AB48" s="5">
        <v>78856.67</v>
      </c>
      <c r="AD48" s="25"/>
      <c r="AE48" s="25"/>
      <c r="AF48" s="25"/>
      <c r="AG48" s="32"/>
      <c r="AH48" s="18"/>
      <c r="AI48" s="3"/>
      <c r="AJ48" s="3"/>
      <c r="AK48" s="5"/>
      <c r="AL48" s="15">
        <f>AH48+AI48+AJ48+AK48+AG48</f>
        <v>0</v>
      </c>
      <c r="AM48" s="15">
        <f>AB48-AL48</f>
        <v>78856.67</v>
      </c>
      <c r="AN48" s="15">
        <v>78856.67</v>
      </c>
      <c r="AO48" s="15">
        <f>AM48-AN48</f>
        <v>0</v>
      </c>
      <c r="AQ48" s="15">
        <f>AL48-AF48</f>
        <v>0</v>
      </c>
    </row>
    <row r="49" spans="1:43" x14ac:dyDescent="0.25">
      <c r="A49">
        <v>47</v>
      </c>
      <c r="B49" s="10" t="s">
        <v>244</v>
      </c>
      <c r="C49" s="10" t="s">
        <v>1272</v>
      </c>
      <c r="D49" s="3" t="s">
        <v>245</v>
      </c>
      <c r="E49" s="3" t="s">
        <v>246</v>
      </c>
      <c r="F49" s="3" t="s">
        <v>247</v>
      </c>
      <c r="G49" s="3" t="s">
        <v>248</v>
      </c>
      <c r="H49" s="3" t="s">
        <v>249</v>
      </c>
      <c r="I49" s="3" t="s">
        <v>6</v>
      </c>
      <c r="J49" s="3" t="s">
        <v>15</v>
      </c>
      <c r="K49" s="3" t="s">
        <v>250</v>
      </c>
      <c r="L49" s="3"/>
      <c r="M49" s="3"/>
      <c r="N49" s="3"/>
      <c r="O49" s="3">
        <v>2310</v>
      </c>
      <c r="P49" s="3"/>
      <c r="Q49" s="4">
        <v>43645</v>
      </c>
      <c r="R49" s="5">
        <v>8618.0400000000009</v>
      </c>
      <c r="S49" s="3">
        <v>282</v>
      </c>
      <c r="T49" s="3"/>
      <c r="U49" s="3">
        <v>0</v>
      </c>
      <c r="V49" s="3" t="s">
        <v>8</v>
      </c>
      <c r="W49" s="3">
        <v>0</v>
      </c>
      <c r="X49" s="3">
        <v>0</v>
      </c>
      <c r="Y49" s="3">
        <v>0</v>
      </c>
      <c r="Z49" s="3">
        <v>0</v>
      </c>
      <c r="AA49" s="3">
        <v>0.01</v>
      </c>
      <c r="AB49" s="3">
        <v>0.01</v>
      </c>
      <c r="AD49" s="25"/>
      <c r="AE49" s="25"/>
      <c r="AF49" s="25"/>
      <c r="AG49" s="32"/>
      <c r="AH49" s="18"/>
      <c r="AI49" s="3"/>
      <c r="AJ49" s="3"/>
      <c r="AK49" s="3"/>
      <c r="AL49" s="15">
        <f>AH49+AI49+AJ49+AK49+AG49</f>
        <v>0</v>
      </c>
      <c r="AM49" s="15">
        <f>AB49-AL49</f>
        <v>0.01</v>
      </c>
      <c r="AN49" s="15">
        <f>AM49</f>
        <v>0.01</v>
      </c>
      <c r="AO49" s="15">
        <f>AM49-AN49</f>
        <v>0</v>
      </c>
      <c r="AQ49" s="15">
        <f>AL49-AF49</f>
        <v>0</v>
      </c>
    </row>
    <row r="50" spans="1:43" x14ac:dyDescent="0.25">
      <c r="A50">
        <v>51</v>
      </c>
      <c r="B50" s="10" t="s">
        <v>268</v>
      </c>
      <c r="C50" s="10" t="s">
        <v>1272</v>
      </c>
      <c r="D50" s="3" t="s">
        <v>269</v>
      </c>
      <c r="E50" s="3" t="s">
        <v>270</v>
      </c>
      <c r="F50" s="3" t="s">
        <v>271</v>
      </c>
      <c r="G50" s="3" t="s">
        <v>272</v>
      </c>
      <c r="H50" s="3" t="s">
        <v>14</v>
      </c>
      <c r="I50" s="3" t="s">
        <v>6</v>
      </c>
      <c r="J50" s="3"/>
      <c r="K50" s="3" t="s">
        <v>273</v>
      </c>
      <c r="L50" s="3"/>
      <c r="M50" s="3" t="s">
        <v>69</v>
      </c>
      <c r="N50" s="3" t="s">
        <v>22</v>
      </c>
      <c r="O50" s="3"/>
      <c r="P50" s="3"/>
      <c r="Q50" s="4">
        <v>46053</v>
      </c>
      <c r="R50" s="5">
        <v>484.15</v>
      </c>
      <c r="S50" s="3">
        <v>62</v>
      </c>
      <c r="T50" s="3"/>
      <c r="U50" s="3">
        <v>0</v>
      </c>
      <c r="V50" s="3" t="s">
        <v>8</v>
      </c>
      <c r="W50" s="3">
        <v>0</v>
      </c>
      <c r="X50" s="5">
        <v>-279.45</v>
      </c>
      <c r="Y50" s="3">
        <v>0</v>
      </c>
      <c r="Z50" s="3">
        <v>0</v>
      </c>
      <c r="AA50" s="3">
        <v>0</v>
      </c>
      <c r="AB50" s="5">
        <v>-279.45</v>
      </c>
      <c r="AD50" s="25"/>
      <c r="AE50" s="25"/>
      <c r="AF50" s="25"/>
      <c r="AG50" s="32"/>
      <c r="AH50" s="19"/>
      <c r="AI50" s="3"/>
      <c r="AJ50" s="3"/>
      <c r="AK50" s="3"/>
      <c r="AL50" s="15">
        <f>AH50+AI50+AJ50+AK50+AG50</f>
        <v>0</v>
      </c>
      <c r="AM50" s="15">
        <f>AB50-AL50</f>
        <v>-279.45</v>
      </c>
      <c r="AN50">
        <v>-279.45</v>
      </c>
      <c r="AO50" s="15">
        <f>AM50-AN50</f>
        <v>0</v>
      </c>
      <c r="AQ50" s="15">
        <f>AL50-AF50</f>
        <v>0</v>
      </c>
    </row>
    <row r="51" spans="1:43" x14ac:dyDescent="0.25">
      <c r="A51">
        <v>59</v>
      </c>
      <c r="B51" s="10">
        <v>1091</v>
      </c>
      <c r="C51" s="10" t="s">
        <v>1272</v>
      </c>
      <c r="D51" s="3" t="s">
        <v>319</v>
      </c>
      <c r="E51" s="3" t="s">
        <v>319</v>
      </c>
      <c r="F51" s="3" t="s">
        <v>320</v>
      </c>
      <c r="G51" s="3" t="s">
        <v>321</v>
      </c>
      <c r="H51" s="3" t="s">
        <v>14</v>
      </c>
      <c r="I51" s="3" t="s">
        <v>6</v>
      </c>
      <c r="J51" s="3"/>
      <c r="K51" s="3" t="s">
        <v>322</v>
      </c>
      <c r="L51" s="3"/>
      <c r="M51" s="3"/>
      <c r="N51" s="3" t="s">
        <v>22</v>
      </c>
      <c r="O51" s="3"/>
      <c r="P51" s="3"/>
      <c r="Q51" s="4">
        <v>46081</v>
      </c>
      <c r="R51" s="5">
        <v>126.72</v>
      </c>
      <c r="S51" s="3">
        <v>42</v>
      </c>
      <c r="T51" s="3"/>
      <c r="U51" s="3">
        <v>0</v>
      </c>
      <c r="V51" s="3" t="s">
        <v>8</v>
      </c>
      <c r="W51" s="5">
        <v>126.72</v>
      </c>
      <c r="X51" s="3">
        <v>0</v>
      </c>
      <c r="Y51" s="3">
        <v>0</v>
      </c>
      <c r="Z51" s="3">
        <v>0</v>
      </c>
      <c r="AA51" s="3">
        <v>0</v>
      </c>
      <c r="AB51" s="5">
        <v>126.72</v>
      </c>
      <c r="AD51" s="25"/>
      <c r="AE51" s="25"/>
      <c r="AF51" s="25"/>
      <c r="AG51" s="32"/>
      <c r="AH51" s="18"/>
      <c r="AI51" s="3"/>
      <c r="AJ51" s="3"/>
      <c r="AK51" s="3"/>
      <c r="AL51" s="15">
        <f>AH51+AI51+AJ51+AK51+AG51</f>
        <v>0</v>
      </c>
      <c r="AM51" s="15">
        <f>AB51-AL51</f>
        <v>126.72</v>
      </c>
      <c r="AN51" s="15">
        <f>AM51</f>
        <v>126.72</v>
      </c>
      <c r="AO51" s="15">
        <f>AM51-AN51</f>
        <v>0</v>
      </c>
      <c r="AQ51" s="15">
        <f>AL51-AF51</f>
        <v>0</v>
      </c>
    </row>
    <row r="52" spans="1:43" x14ac:dyDescent="0.25">
      <c r="A52">
        <v>60</v>
      </c>
      <c r="B52" s="10" t="s">
        <v>323</v>
      </c>
      <c r="C52" s="10" t="s">
        <v>1272</v>
      </c>
      <c r="D52" s="3" t="s">
        <v>324</v>
      </c>
      <c r="E52" s="3" t="s">
        <v>325</v>
      </c>
      <c r="F52" s="3" t="s">
        <v>326</v>
      </c>
      <c r="G52" s="3" t="s">
        <v>327</v>
      </c>
      <c r="H52" s="3" t="s">
        <v>328</v>
      </c>
      <c r="I52" s="3" t="s">
        <v>6</v>
      </c>
      <c r="J52" s="3" t="s">
        <v>33</v>
      </c>
      <c r="K52" s="3" t="s">
        <v>329</v>
      </c>
      <c r="L52" s="3"/>
      <c r="M52" s="3"/>
      <c r="N52" s="3"/>
      <c r="O52" s="3">
        <v>8300</v>
      </c>
      <c r="P52" s="3"/>
      <c r="Q52" s="4">
        <v>43364</v>
      </c>
      <c r="R52" s="5">
        <v>40097.620000000003</v>
      </c>
      <c r="S52" s="3">
        <v>1635</v>
      </c>
      <c r="T52" s="3"/>
      <c r="U52" s="3">
        <v>0</v>
      </c>
      <c r="V52" s="3" t="s">
        <v>8</v>
      </c>
      <c r="W52" s="3">
        <v>0</v>
      </c>
      <c r="X52" s="3">
        <v>0</v>
      </c>
      <c r="Y52" s="3">
        <v>0</v>
      </c>
      <c r="Z52" s="3">
        <v>0</v>
      </c>
      <c r="AA52" s="3">
        <v>0.02</v>
      </c>
      <c r="AB52" s="3">
        <v>0.02</v>
      </c>
      <c r="AD52" s="25"/>
      <c r="AE52" s="25"/>
      <c r="AF52" s="25"/>
      <c r="AG52" s="32"/>
      <c r="AH52" s="18"/>
      <c r="AI52" s="3"/>
      <c r="AJ52" s="3"/>
      <c r="AK52" s="3"/>
      <c r="AL52" s="15">
        <f>AH52+AI52+AJ52+AK52+AG52</f>
        <v>0</v>
      </c>
      <c r="AM52" s="15">
        <f>AB52-AL52</f>
        <v>0.02</v>
      </c>
      <c r="AN52">
        <v>0</v>
      </c>
      <c r="AO52" s="15">
        <f>AM52-AN52</f>
        <v>0.02</v>
      </c>
      <c r="AQ52" s="15">
        <f>AL52-AF52</f>
        <v>0</v>
      </c>
    </row>
    <row r="53" spans="1:43" x14ac:dyDescent="0.25">
      <c r="A53">
        <v>66</v>
      </c>
      <c r="B53" s="10" t="s">
        <v>359</v>
      </c>
      <c r="C53" s="10" t="s">
        <v>1272</v>
      </c>
      <c r="D53" s="3" t="s">
        <v>360</v>
      </c>
      <c r="E53" s="3" t="s">
        <v>361</v>
      </c>
      <c r="F53" s="3" t="s">
        <v>362</v>
      </c>
      <c r="G53" s="3" t="s">
        <v>363</v>
      </c>
      <c r="H53" s="3" t="s">
        <v>14</v>
      </c>
      <c r="I53" s="3" t="s">
        <v>6</v>
      </c>
      <c r="J53" s="3" t="s">
        <v>15</v>
      </c>
      <c r="K53" s="3" t="s">
        <v>364</v>
      </c>
      <c r="L53" s="3"/>
      <c r="M53" s="3"/>
      <c r="N53" s="3"/>
      <c r="O53" s="3">
        <v>1641</v>
      </c>
      <c r="P53" s="3"/>
      <c r="Q53" s="4">
        <v>45230</v>
      </c>
      <c r="R53" s="5">
        <v>759.1</v>
      </c>
      <c r="S53" s="3">
        <v>232</v>
      </c>
      <c r="T53" s="3"/>
      <c r="U53" s="3">
        <v>0</v>
      </c>
      <c r="V53" s="3" t="s">
        <v>8</v>
      </c>
      <c r="W53" s="3">
        <v>0</v>
      </c>
      <c r="X53" s="3">
        <v>0</v>
      </c>
      <c r="Y53" s="3">
        <v>0</v>
      </c>
      <c r="Z53" s="3">
        <v>0</v>
      </c>
      <c r="AA53" s="5">
        <v>-0.01</v>
      </c>
      <c r="AB53" s="5">
        <v>-0.01</v>
      </c>
      <c r="AD53" s="25"/>
      <c r="AE53" s="25"/>
      <c r="AF53" s="25"/>
      <c r="AG53" s="32"/>
      <c r="AH53" s="18"/>
      <c r="AI53" s="3"/>
      <c r="AJ53" s="3"/>
      <c r="AK53" s="5"/>
      <c r="AL53" s="15">
        <f>AH53+AI53+AJ53+AK53+AG53</f>
        <v>0</v>
      </c>
      <c r="AM53" s="15">
        <f>AB53-AL53</f>
        <v>-0.01</v>
      </c>
      <c r="AO53" s="15">
        <f>AM53-AN53</f>
        <v>-0.01</v>
      </c>
      <c r="AQ53" s="15">
        <f>AL53-AF53</f>
        <v>0</v>
      </c>
    </row>
    <row r="54" spans="1:43" x14ac:dyDescent="0.25">
      <c r="A54">
        <v>74</v>
      </c>
      <c r="B54" s="10" t="s">
        <v>406</v>
      </c>
      <c r="C54" s="10" t="s">
        <v>1272</v>
      </c>
      <c r="D54" s="3" t="s">
        <v>407</v>
      </c>
      <c r="E54" s="3" t="s">
        <v>408</v>
      </c>
      <c r="F54" s="3" t="s">
        <v>409</v>
      </c>
      <c r="G54" s="3" t="s">
        <v>410</v>
      </c>
      <c r="H54" s="3" t="s">
        <v>236</v>
      </c>
      <c r="I54" s="3" t="s">
        <v>6</v>
      </c>
      <c r="J54" s="3"/>
      <c r="K54" s="3" t="s">
        <v>411</v>
      </c>
      <c r="L54" s="3"/>
      <c r="M54" s="3"/>
      <c r="N54" s="3" t="s">
        <v>22</v>
      </c>
      <c r="O54" s="3"/>
      <c r="P54" s="3"/>
      <c r="Q54" s="4">
        <v>45925</v>
      </c>
      <c r="R54" s="5">
        <v>1000</v>
      </c>
      <c r="S54" s="3">
        <v>473</v>
      </c>
      <c r="T54" s="3"/>
      <c r="U54" s="3">
        <v>0</v>
      </c>
      <c r="V54" s="3" t="s">
        <v>8</v>
      </c>
      <c r="W54" s="3">
        <v>0</v>
      </c>
      <c r="X54" s="3">
        <v>0</v>
      </c>
      <c r="Y54" s="3">
        <v>0</v>
      </c>
      <c r="Z54" s="3">
        <v>0</v>
      </c>
      <c r="AA54" s="5">
        <v>57222.48</v>
      </c>
      <c r="AB54" s="5">
        <v>57222.48</v>
      </c>
      <c r="AD54" s="25"/>
      <c r="AE54" s="25"/>
      <c r="AF54" s="25"/>
      <c r="AG54" s="32"/>
      <c r="AH54" s="18"/>
      <c r="AI54" s="3"/>
      <c r="AJ54" s="3"/>
      <c r="AK54" s="5"/>
      <c r="AL54" s="15">
        <f>AH54+AI54+AJ54+AK54+AG54</f>
        <v>0</v>
      </c>
      <c r="AM54" s="15">
        <f>AB54-AL54</f>
        <v>57222.48</v>
      </c>
      <c r="AN54" s="15">
        <f>AM54</f>
        <v>57222.48</v>
      </c>
      <c r="AO54" s="15">
        <f>AM54-AN54</f>
        <v>0</v>
      </c>
      <c r="AQ54" s="15">
        <f>AL54-AF54</f>
        <v>0</v>
      </c>
    </row>
    <row r="55" spans="1:43" x14ac:dyDescent="0.25">
      <c r="A55">
        <v>90</v>
      </c>
      <c r="B55" s="10" t="s">
        <v>490</v>
      </c>
      <c r="C55" s="10" t="s">
        <v>1272</v>
      </c>
      <c r="D55" s="3" t="s">
        <v>491</v>
      </c>
      <c r="E55" s="3" t="s">
        <v>492</v>
      </c>
      <c r="F55" s="3"/>
      <c r="G55" s="3" t="s">
        <v>493</v>
      </c>
      <c r="H55" s="3" t="s">
        <v>328</v>
      </c>
      <c r="I55" s="3" t="s">
        <v>6</v>
      </c>
      <c r="J55" s="3"/>
      <c r="K55" s="3" t="s">
        <v>494</v>
      </c>
      <c r="L55" s="3"/>
      <c r="M55" s="3"/>
      <c r="N55" s="3" t="s">
        <v>22</v>
      </c>
      <c r="O55" s="3"/>
      <c r="P55" s="3"/>
      <c r="Q55" s="4">
        <v>45841</v>
      </c>
      <c r="R55" s="5">
        <v>-12749.13</v>
      </c>
      <c r="S55" s="3">
        <v>167</v>
      </c>
      <c r="T55" s="3"/>
      <c r="U55" s="3">
        <v>0</v>
      </c>
      <c r="V55" s="3" t="s">
        <v>8</v>
      </c>
      <c r="W55" s="3">
        <v>0</v>
      </c>
      <c r="X55" s="3">
        <v>0</v>
      </c>
      <c r="Y55" s="3">
        <v>0</v>
      </c>
      <c r="Z55" s="3">
        <v>0</v>
      </c>
      <c r="AA55" s="5">
        <v>50996.52</v>
      </c>
      <c r="AB55" s="5">
        <v>50996.52</v>
      </c>
      <c r="AD55" s="25"/>
      <c r="AE55" s="25"/>
      <c r="AF55" s="25"/>
      <c r="AG55" s="32"/>
      <c r="AH55" s="18"/>
      <c r="AI55" s="3"/>
      <c r="AJ55" s="3"/>
      <c r="AK55" s="5"/>
      <c r="AL55" s="15">
        <f>AH55+AI55+AJ55+AK55+AG55</f>
        <v>0</v>
      </c>
      <c r="AM55" s="15">
        <f>AB55-AL55</f>
        <v>50996.52</v>
      </c>
      <c r="AN55" s="15">
        <v>50996.52</v>
      </c>
      <c r="AO55" s="15">
        <f>AM55-AN55</f>
        <v>0</v>
      </c>
      <c r="AQ55" s="15">
        <f>AL55-AF55</f>
        <v>0</v>
      </c>
    </row>
    <row r="56" spans="1:43" x14ac:dyDescent="0.25">
      <c r="A56">
        <v>93</v>
      </c>
      <c r="B56" s="10" t="s">
        <v>504</v>
      </c>
      <c r="C56" s="10" t="s">
        <v>1272</v>
      </c>
      <c r="D56" s="3" t="s">
        <v>505</v>
      </c>
      <c r="E56" s="3" t="s">
        <v>506</v>
      </c>
      <c r="F56" s="3"/>
      <c r="G56" s="3" t="s">
        <v>507</v>
      </c>
      <c r="H56" s="3" t="s">
        <v>14</v>
      </c>
      <c r="I56" s="3" t="s">
        <v>6</v>
      </c>
      <c r="J56" s="3"/>
      <c r="K56" s="3" t="s">
        <v>508</v>
      </c>
      <c r="L56" s="3"/>
      <c r="M56" s="3"/>
      <c r="N56" s="3" t="s">
        <v>22</v>
      </c>
      <c r="O56" s="3"/>
      <c r="P56" s="3"/>
      <c r="Q56" s="4">
        <v>46081</v>
      </c>
      <c r="R56" s="5">
        <v>3908.2</v>
      </c>
      <c r="S56" s="3">
        <v>227</v>
      </c>
      <c r="T56" s="3"/>
      <c r="U56" s="3">
        <v>0</v>
      </c>
      <c r="V56" s="3" t="s">
        <v>8</v>
      </c>
      <c r="W56" s="5">
        <v>3908.2</v>
      </c>
      <c r="X56" s="3">
        <v>0</v>
      </c>
      <c r="Y56" s="3">
        <v>0</v>
      </c>
      <c r="Z56" s="3">
        <v>0</v>
      </c>
      <c r="AA56" s="3">
        <v>0</v>
      </c>
      <c r="AB56" s="5">
        <v>3908.2</v>
      </c>
      <c r="AD56" s="25" t="s">
        <v>1201</v>
      </c>
      <c r="AE56" s="25" t="s">
        <v>1261</v>
      </c>
      <c r="AF56" s="26">
        <v>3908.2</v>
      </c>
      <c r="AG56" s="88">
        <f>AF56</f>
        <v>3908.2</v>
      </c>
      <c r="AH56" s="25"/>
      <c r="AI56" s="3"/>
      <c r="AJ56" s="3"/>
      <c r="AK56" s="3"/>
      <c r="AL56" s="15">
        <f>AH56+AI56+AJ56+AK56+AG56</f>
        <v>3908.2</v>
      </c>
      <c r="AM56" s="15">
        <f>AB56-AL56</f>
        <v>0</v>
      </c>
      <c r="AN56" s="15">
        <f>AM56</f>
        <v>0</v>
      </c>
      <c r="AO56" s="15">
        <f>AM56-AN56</f>
        <v>0</v>
      </c>
      <c r="AQ56" s="15">
        <f>AL56-AF56</f>
        <v>0</v>
      </c>
    </row>
    <row r="57" spans="1:43" x14ac:dyDescent="0.25">
      <c r="A57">
        <v>103</v>
      </c>
      <c r="B57" s="10" t="s">
        <v>551</v>
      </c>
      <c r="C57" s="10" t="s">
        <v>1272</v>
      </c>
      <c r="D57" s="3" t="s">
        <v>552</v>
      </c>
      <c r="E57" s="3" t="s">
        <v>314</v>
      </c>
      <c r="F57" s="3" t="s">
        <v>553</v>
      </c>
      <c r="G57" s="3" t="s">
        <v>316</v>
      </c>
      <c r="H57" s="3" t="s">
        <v>14</v>
      </c>
      <c r="I57" s="3" t="s">
        <v>6</v>
      </c>
      <c r="J57" s="3" t="s">
        <v>33</v>
      </c>
      <c r="K57" s="3" t="s">
        <v>554</v>
      </c>
      <c r="L57" s="3"/>
      <c r="M57" s="3"/>
      <c r="N57" s="3"/>
      <c r="O57" s="3">
        <v>1960</v>
      </c>
      <c r="P57" s="3"/>
      <c r="Q57" s="4">
        <v>46081</v>
      </c>
      <c r="R57" s="5">
        <v>6778.22</v>
      </c>
      <c r="S57" s="3">
        <v>183</v>
      </c>
      <c r="T57" s="3"/>
      <c r="U57" s="3">
        <v>0</v>
      </c>
      <c r="V57" s="3" t="s">
        <v>8</v>
      </c>
      <c r="W57" s="5">
        <v>14691.38</v>
      </c>
      <c r="X57" s="3">
        <v>0</v>
      </c>
      <c r="Y57" s="3">
        <v>0</v>
      </c>
      <c r="Z57" s="3">
        <v>0</v>
      </c>
      <c r="AA57" s="3">
        <v>0</v>
      </c>
      <c r="AB57" s="5">
        <v>14691.38</v>
      </c>
      <c r="AD57" s="25"/>
      <c r="AE57" s="25"/>
      <c r="AF57" s="25"/>
      <c r="AG57" s="32"/>
      <c r="AH57" s="18"/>
      <c r="AI57" s="3"/>
      <c r="AJ57" s="3"/>
      <c r="AK57" s="3"/>
      <c r="AL57" s="15">
        <f>AH57+AI57+AJ57+AK57+AG57</f>
        <v>0</v>
      </c>
      <c r="AM57" s="15">
        <f>AB57-AL57</f>
        <v>14691.38</v>
      </c>
      <c r="AN57" s="15">
        <f>AM57</f>
        <v>14691.38</v>
      </c>
      <c r="AO57" s="15">
        <f>AM57-AN57</f>
        <v>0</v>
      </c>
      <c r="AQ57" s="15">
        <f>AL57-AF57</f>
        <v>0</v>
      </c>
    </row>
    <row r="58" spans="1:43" x14ac:dyDescent="0.25">
      <c r="A58">
        <v>109</v>
      </c>
      <c r="B58" s="10" t="s">
        <v>575</v>
      </c>
      <c r="C58" s="10" t="s">
        <v>1272</v>
      </c>
      <c r="D58" s="3" t="s">
        <v>576</v>
      </c>
      <c r="E58" s="3" t="s">
        <v>314</v>
      </c>
      <c r="F58" s="3" t="s">
        <v>577</v>
      </c>
      <c r="G58" s="3" t="s">
        <v>316</v>
      </c>
      <c r="H58" s="3" t="s">
        <v>14</v>
      </c>
      <c r="I58" s="3" t="s">
        <v>6</v>
      </c>
      <c r="J58" s="3" t="s">
        <v>33</v>
      </c>
      <c r="K58" s="3" t="s">
        <v>578</v>
      </c>
      <c r="L58" s="3"/>
      <c r="M58" s="3"/>
      <c r="N58" s="3"/>
      <c r="O58" s="3">
        <v>1422</v>
      </c>
      <c r="P58" s="3"/>
      <c r="Q58" s="4">
        <v>46081</v>
      </c>
      <c r="R58" s="5">
        <v>10931.65</v>
      </c>
      <c r="S58" s="3">
        <v>240</v>
      </c>
      <c r="T58" s="3" t="s">
        <v>579</v>
      </c>
      <c r="U58" s="3">
        <v>0</v>
      </c>
      <c r="V58" s="3" t="s">
        <v>8</v>
      </c>
      <c r="W58" s="5">
        <v>10931.65</v>
      </c>
      <c r="X58" s="3">
        <v>0</v>
      </c>
      <c r="Y58" s="3">
        <v>0</v>
      </c>
      <c r="Z58" s="3">
        <v>0</v>
      </c>
      <c r="AA58" s="5">
        <v>-0.02</v>
      </c>
      <c r="AB58" s="5">
        <v>10931.63</v>
      </c>
      <c r="AD58" s="25"/>
      <c r="AE58" s="25"/>
      <c r="AF58" s="25"/>
      <c r="AG58" s="32"/>
      <c r="AH58" s="18"/>
      <c r="AI58" s="3"/>
      <c r="AJ58" s="3"/>
      <c r="AK58" s="5"/>
      <c r="AL58" s="15">
        <f>AH58+AI58+AJ58+AK58+AG58</f>
        <v>0</v>
      </c>
      <c r="AM58" s="15">
        <f>AB58-AL58</f>
        <v>10931.63</v>
      </c>
      <c r="AN58" s="15">
        <f>AM58</f>
        <v>10931.63</v>
      </c>
      <c r="AO58" s="15">
        <f>AM58-AN58</f>
        <v>0</v>
      </c>
      <c r="AQ58" s="15">
        <f>AL58-AF58</f>
        <v>0</v>
      </c>
    </row>
    <row r="59" spans="1:43" x14ac:dyDescent="0.25">
      <c r="A59">
        <v>115</v>
      </c>
      <c r="B59" s="10" t="s">
        <v>606</v>
      </c>
      <c r="C59" s="10" t="s">
        <v>1272</v>
      </c>
      <c r="D59" s="3" t="s">
        <v>607</v>
      </c>
      <c r="E59" s="3" t="s">
        <v>608</v>
      </c>
      <c r="F59" s="3"/>
      <c r="G59" s="3" t="s">
        <v>609</v>
      </c>
      <c r="H59" s="3" t="s">
        <v>14</v>
      </c>
      <c r="I59" s="3" t="s">
        <v>6</v>
      </c>
      <c r="J59" s="3"/>
      <c r="K59" s="3" t="s">
        <v>610</v>
      </c>
      <c r="L59" s="3"/>
      <c r="M59" s="3"/>
      <c r="N59" s="3"/>
      <c r="O59" s="3"/>
      <c r="P59" s="3"/>
      <c r="Q59" s="4">
        <v>46080</v>
      </c>
      <c r="R59" s="5">
        <v>131.80000000000001</v>
      </c>
      <c r="S59" s="3">
        <v>23</v>
      </c>
      <c r="T59" s="3"/>
      <c r="U59" s="3">
        <v>0</v>
      </c>
      <c r="V59" s="3" t="s">
        <v>8</v>
      </c>
      <c r="W59" s="5">
        <v>131.80000000000001</v>
      </c>
      <c r="X59" s="3">
        <v>0</v>
      </c>
      <c r="Y59" s="3">
        <v>0</v>
      </c>
      <c r="Z59" s="3">
        <v>0</v>
      </c>
      <c r="AA59" s="3">
        <v>0</v>
      </c>
      <c r="AB59" s="5">
        <v>131.80000000000001</v>
      </c>
      <c r="AD59" s="25"/>
      <c r="AE59" s="25"/>
      <c r="AF59" s="25"/>
      <c r="AG59" s="32"/>
      <c r="AH59" s="18"/>
      <c r="AI59" s="3"/>
      <c r="AJ59" s="3"/>
      <c r="AK59" s="3"/>
      <c r="AL59" s="15">
        <f>AH59+AI59+AJ59+AK59+AG59</f>
        <v>0</v>
      </c>
      <c r="AM59" s="15">
        <f>AB59-AL59</f>
        <v>131.80000000000001</v>
      </c>
      <c r="AN59" s="15">
        <f>AM59</f>
        <v>131.80000000000001</v>
      </c>
      <c r="AO59" s="15">
        <f>AM59-AN59</f>
        <v>0</v>
      </c>
      <c r="AQ59" s="15">
        <f>AL59-AF59</f>
        <v>0</v>
      </c>
    </row>
    <row r="60" spans="1:43" x14ac:dyDescent="0.25">
      <c r="A60">
        <v>116</v>
      </c>
      <c r="B60" s="10">
        <v>1110</v>
      </c>
      <c r="C60" s="10" t="s">
        <v>1272</v>
      </c>
      <c r="D60" s="3" t="s">
        <v>611</v>
      </c>
      <c r="E60" s="3"/>
      <c r="F60" s="3" t="s">
        <v>612</v>
      </c>
      <c r="G60" s="3" t="s">
        <v>613</v>
      </c>
      <c r="H60" s="3" t="s">
        <v>14</v>
      </c>
      <c r="I60" s="3" t="s">
        <v>6</v>
      </c>
      <c r="J60" s="3" t="s">
        <v>15</v>
      </c>
      <c r="K60" s="3" t="s">
        <v>614</v>
      </c>
      <c r="L60" s="3"/>
      <c r="M60" s="3"/>
      <c r="N60" s="3"/>
      <c r="O60" s="3">
        <v>1657</v>
      </c>
      <c r="P60" s="3"/>
      <c r="Q60" s="4">
        <v>46053</v>
      </c>
      <c r="R60" s="5">
        <v>600</v>
      </c>
      <c r="S60" s="3">
        <v>20</v>
      </c>
      <c r="T60" s="3"/>
      <c r="U60" s="3">
        <v>0</v>
      </c>
      <c r="V60" s="3" t="s">
        <v>8</v>
      </c>
      <c r="W60" s="5">
        <v>251.05</v>
      </c>
      <c r="X60" s="5">
        <v>-600</v>
      </c>
      <c r="Y60" s="3">
        <v>0</v>
      </c>
      <c r="Z60" s="5">
        <v>251.05</v>
      </c>
      <c r="AA60" s="3">
        <v>0</v>
      </c>
      <c r="AB60" s="5">
        <v>-97.9</v>
      </c>
      <c r="AD60" s="25"/>
      <c r="AE60" s="25"/>
      <c r="AF60" s="25"/>
      <c r="AG60" s="32"/>
      <c r="AH60" s="19"/>
      <c r="AI60" s="3"/>
      <c r="AJ60" s="5"/>
      <c r="AK60" s="3"/>
      <c r="AL60" s="15">
        <f>AH60+AI60+AJ60+AK60+AG60</f>
        <v>0</v>
      </c>
      <c r="AM60" s="15">
        <f>AB60-AL60</f>
        <v>-97.9</v>
      </c>
      <c r="AN60">
        <v>-97.9</v>
      </c>
      <c r="AO60" s="15">
        <f>AM60-AN60</f>
        <v>0</v>
      </c>
      <c r="AQ60" s="15">
        <f>AL60-AF60</f>
        <v>0</v>
      </c>
    </row>
    <row r="61" spans="1:43" s="43" customFormat="1" x14ac:dyDescent="0.25">
      <c r="A61">
        <v>118</v>
      </c>
      <c r="B61" s="10" t="s">
        <v>621</v>
      </c>
      <c r="C61" s="10" t="s">
        <v>1272</v>
      </c>
      <c r="D61" s="3" t="s">
        <v>622</v>
      </c>
      <c r="E61" s="3" t="s">
        <v>622</v>
      </c>
      <c r="F61" s="3"/>
      <c r="G61" s="3" t="s">
        <v>623</v>
      </c>
      <c r="H61" s="3" t="s">
        <v>14</v>
      </c>
      <c r="I61" s="3" t="s">
        <v>6</v>
      </c>
      <c r="J61" s="3"/>
      <c r="K61" s="3" t="s">
        <v>624</v>
      </c>
      <c r="L61" s="3"/>
      <c r="M61" s="3"/>
      <c r="N61" s="3" t="s">
        <v>22</v>
      </c>
      <c r="O61" s="3"/>
      <c r="P61" s="3"/>
      <c r="Q61" s="4">
        <v>46081</v>
      </c>
      <c r="R61" s="5">
        <v>128.80000000000001</v>
      </c>
      <c r="S61" s="3">
        <v>42</v>
      </c>
      <c r="T61" s="3"/>
      <c r="U61" s="3">
        <v>0</v>
      </c>
      <c r="V61" s="3" t="s">
        <v>8</v>
      </c>
      <c r="W61" s="5">
        <v>128.80000000000001</v>
      </c>
      <c r="X61" s="3">
        <v>0</v>
      </c>
      <c r="Y61" s="3">
        <v>0</v>
      </c>
      <c r="Z61" s="3">
        <v>0</v>
      </c>
      <c r="AA61" s="3">
        <v>0</v>
      </c>
      <c r="AB61" s="5">
        <v>128.80000000000001</v>
      </c>
      <c r="AC61" s="13"/>
      <c r="AD61" s="25"/>
      <c r="AE61" s="25"/>
      <c r="AF61" s="25"/>
      <c r="AG61" s="32"/>
      <c r="AH61" s="18"/>
      <c r="AI61" s="3"/>
      <c r="AJ61" s="3"/>
      <c r="AK61" s="3"/>
      <c r="AL61" s="15">
        <f>AH61+AI61+AJ61+AK61+AG61</f>
        <v>0</v>
      </c>
      <c r="AM61" s="15">
        <f>AB61-AL61</f>
        <v>128.80000000000001</v>
      </c>
      <c r="AN61" s="15">
        <f>AM61</f>
        <v>128.80000000000001</v>
      </c>
      <c r="AO61" s="15">
        <f>AM61-AN61</f>
        <v>0</v>
      </c>
      <c r="AP61" s="13"/>
      <c r="AQ61" s="15">
        <f>AL61-AF61</f>
        <v>0</v>
      </c>
    </row>
    <row r="62" spans="1:43" x14ac:dyDescent="0.25">
      <c r="A62">
        <v>121</v>
      </c>
      <c r="B62" s="10" t="s">
        <v>634</v>
      </c>
      <c r="C62" s="10" t="s">
        <v>1272</v>
      </c>
      <c r="D62" s="3" t="s">
        <v>635</v>
      </c>
      <c r="E62" s="3" t="s">
        <v>636</v>
      </c>
      <c r="F62" s="3" t="s">
        <v>637</v>
      </c>
      <c r="G62" s="3"/>
      <c r="H62" s="3" t="s">
        <v>14</v>
      </c>
      <c r="I62" s="3" t="s">
        <v>6</v>
      </c>
      <c r="J62" s="3" t="s">
        <v>33</v>
      </c>
      <c r="K62" s="3" t="s">
        <v>638</v>
      </c>
      <c r="L62" s="3"/>
      <c r="M62" s="3"/>
      <c r="N62" s="3"/>
      <c r="O62" s="3">
        <v>1686</v>
      </c>
      <c r="P62" s="3"/>
      <c r="Q62" s="4">
        <v>46074</v>
      </c>
      <c r="R62" s="5">
        <v>5531.5</v>
      </c>
      <c r="S62" s="3">
        <v>66</v>
      </c>
      <c r="T62" s="3"/>
      <c r="U62" s="3">
        <v>0</v>
      </c>
      <c r="V62" s="3" t="s">
        <v>8</v>
      </c>
      <c r="W62" s="5">
        <v>4634.5</v>
      </c>
      <c r="X62" s="3">
        <v>0</v>
      </c>
      <c r="Y62" s="5"/>
      <c r="Z62" s="5">
        <v>149.5</v>
      </c>
      <c r="AA62" s="5">
        <v>544.54999999999995</v>
      </c>
      <c r="AB62" s="5">
        <f>SUM(W62:AA62)</f>
        <v>5328.55</v>
      </c>
      <c r="AD62" s="25"/>
      <c r="AE62" s="25"/>
      <c r="AF62" s="25"/>
      <c r="AG62" s="32"/>
      <c r="AH62" s="18"/>
      <c r="AI62" s="5"/>
      <c r="AJ62" s="5"/>
      <c r="AK62" s="5"/>
      <c r="AL62" s="15">
        <f>AH62+AI62+AJ62+AK62+AG62</f>
        <v>0</v>
      </c>
      <c r="AM62" s="15">
        <f>AB62-AL62</f>
        <v>5328.55</v>
      </c>
      <c r="AN62" s="15">
        <v>5328.55</v>
      </c>
      <c r="AO62" s="15">
        <f>AM62-AN62</f>
        <v>0</v>
      </c>
      <c r="AQ62" s="15">
        <f>AL62-AF62</f>
        <v>0</v>
      </c>
    </row>
    <row r="63" spans="1:43" x14ac:dyDescent="0.25">
      <c r="A63">
        <v>125</v>
      </c>
      <c r="B63" s="10" t="s">
        <v>650</v>
      </c>
      <c r="C63" s="10" t="s">
        <v>1272</v>
      </c>
      <c r="D63" s="3" t="s">
        <v>651</v>
      </c>
      <c r="E63" s="3" t="s">
        <v>652</v>
      </c>
      <c r="F63" s="3" t="s">
        <v>653</v>
      </c>
      <c r="G63" s="3"/>
      <c r="H63" s="3" t="s">
        <v>14</v>
      </c>
      <c r="I63" s="3" t="s">
        <v>6</v>
      </c>
      <c r="J63" s="3"/>
      <c r="K63" s="3" t="s">
        <v>654</v>
      </c>
      <c r="L63" s="3"/>
      <c r="M63" s="3"/>
      <c r="N63" s="3"/>
      <c r="O63" s="3">
        <v>1400</v>
      </c>
      <c r="P63" s="3"/>
      <c r="Q63" s="4">
        <v>46058</v>
      </c>
      <c r="R63" s="5">
        <v>340000</v>
      </c>
      <c r="S63" s="3">
        <v>1456</v>
      </c>
      <c r="T63" s="3"/>
      <c r="U63" s="3">
        <v>0</v>
      </c>
      <c r="V63" s="3" t="s">
        <v>8</v>
      </c>
      <c r="W63" s="3">
        <v>0</v>
      </c>
      <c r="X63" s="5">
        <v>895</v>
      </c>
      <c r="Y63" s="3">
        <v>0</v>
      </c>
      <c r="Z63" s="3">
        <v>0</v>
      </c>
      <c r="AA63" s="3">
        <v>0</v>
      </c>
      <c r="AB63" s="5">
        <v>895</v>
      </c>
      <c r="AD63" s="25"/>
      <c r="AE63" s="25"/>
      <c r="AF63" s="25"/>
      <c r="AG63" s="32"/>
      <c r="AH63" s="19"/>
      <c r="AI63" s="3"/>
      <c r="AJ63" s="3"/>
      <c r="AK63" s="3"/>
      <c r="AL63" s="15">
        <f>AH63+AI63+AJ63+AK63+AG63</f>
        <v>0</v>
      </c>
      <c r="AM63" s="15">
        <f>AB63-AL63</f>
        <v>895</v>
      </c>
      <c r="AN63" s="15">
        <f>AM63</f>
        <v>895</v>
      </c>
      <c r="AO63" s="15">
        <f>AM63-AN63</f>
        <v>0</v>
      </c>
      <c r="AQ63" s="15">
        <f>AL63-AF63</f>
        <v>0</v>
      </c>
    </row>
    <row r="64" spans="1:43" x14ac:dyDescent="0.25">
      <c r="A64">
        <v>127</v>
      </c>
      <c r="B64" s="10">
        <v>1137</v>
      </c>
      <c r="C64" s="10" t="s">
        <v>1272</v>
      </c>
      <c r="D64" s="3" t="s">
        <v>661</v>
      </c>
      <c r="E64" s="3" t="s">
        <v>662</v>
      </c>
      <c r="F64" s="3"/>
      <c r="G64" s="3" t="s">
        <v>663</v>
      </c>
      <c r="H64" s="3" t="s">
        <v>14</v>
      </c>
      <c r="I64" s="3" t="s">
        <v>6</v>
      </c>
      <c r="J64" s="3" t="s">
        <v>15</v>
      </c>
      <c r="K64" s="3" t="s">
        <v>664</v>
      </c>
      <c r="L64" s="3"/>
      <c r="M64" s="3"/>
      <c r="N64" s="3" t="s">
        <v>22</v>
      </c>
      <c r="O64" s="3"/>
      <c r="P64" s="3"/>
      <c r="Q64" s="4">
        <v>46081</v>
      </c>
      <c r="R64" s="5">
        <v>2458.6999999999998</v>
      </c>
      <c r="S64" s="3">
        <v>279</v>
      </c>
      <c r="T64" s="3"/>
      <c r="U64" s="3">
        <v>0</v>
      </c>
      <c r="V64" s="3" t="s">
        <v>8</v>
      </c>
      <c r="W64" s="5">
        <v>2458.6999999999998</v>
      </c>
      <c r="X64" s="3">
        <v>0</v>
      </c>
      <c r="Y64" s="3">
        <v>0</v>
      </c>
      <c r="Z64" s="3">
        <v>0</v>
      </c>
      <c r="AA64" s="3">
        <v>0</v>
      </c>
      <c r="AB64" s="5">
        <v>2458.6999999999998</v>
      </c>
      <c r="AD64" s="25" t="s">
        <v>1201</v>
      </c>
      <c r="AE64" s="25" t="s">
        <v>1258</v>
      </c>
      <c r="AF64" s="26">
        <v>2458.6999999999998</v>
      </c>
      <c r="AG64" s="33">
        <f>AF64</f>
        <v>2458.6999999999998</v>
      </c>
      <c r="AH64" s="18"/>
      <c r="AI64" s="3"/>
      <c r="AJ64" s="3"/>
      <c r="AK64" s="3"/>
      <c r="AL64" s="15">
        <f>AH64+AI64+AJ64+AK64+AG64</f>
        <v>2458.6999999999998</v>
      </c>
      <c r="AM64" s="15">
        <f>AB64-AL64</f>
        <v>0</v>
      </c>
      <c r="AN64" s="15">
        <f>AM64</f>
        <v>0</v>
      </c>
      <c r="AO64" s="15">
        <f>AM64-AN64</f>
        <v>0</v>
      </c>
      <c r="AQ64" s="15">
        <f>AL64-AF64</f>
        <v>0</v>
      </c>
    </row>
    <row r="65" spans="1:43" x14ac:dyDescent="0.25">
      <c r="A65">
        <v>128</v>
      </c>
      <c r="B65" s="10" t="s">
        <v>665</v>
      </c>
      <c r="C65" s="10" t="s">
        <v>1272</v>
      </c>
      <c r="D65" s="3" t="s">
        <v>666</v>
      </c>
      <c r="E65" s="3" t="s">
        <v>667</v>
      </c>
      <c r="F65" s="3" t="s">
        <v>668</v>
      </c>
      <c r="G65" s="3" t="s">
        <v>669</v>
      </c>
      <c r="H65" s="3" t="s">
        <v>14</v>
      </c>
      <c r="I65" s="3" t="s">
        <v>6</v>
      </c>
      <c r="J65" s="3" t="s">
        <v>15</v>
      </c>
      <c r="K65" s="3" t="s">
        <v>670</v>
      </c>
      <c r="L65" s="3"/>
      <c r="M65" s="3"/>
      <c r="N65" s="3" t="s">
        <v>22</v>
      </c>
      <c r="O65" s="3"/>
      <c r="P65" s="3"/>
      <c r="Q65" s="4">
        <v>45625</v>
      </c>
      <c r="R65" s="5">
        <v>19285.5</v>
      </c>
      <c r="S65" s="3">
        <v>200</v>
      </c>
      <c r="T65" s="3"/>
      <c r="U65" s="3">
        <v>0</v>
      </c>
      <c r="V65" s="3" t="s">
        <v>8</v>
      </c>
      <c r="W65" s="3">
        <v>0</v>
      </c>
      <c r="X65" s="3">
        <v>0</v>
      </c>
      <c r="Y65" s="3">
        <v>0</v>
      </c>
      <c r="Z65" s="3">
        <v>0</v>
      </c>
      <c r="AA65" s="5">
        <v>38548</v>
      </c>
      <c r="AB65" s="5">
        <v>38548</v>
      </c>
      <c r="AD65" s="25"/>
      <c r="AE65" s="25"/>
      <c r="AF65" s="25"/>
      <c r="AG65" s="32"/>
      <c r="AH65" s="18"/>
      <c r="AI65" s="3"/>
      <c r="AJ65" s="3"/>
      <c r="AK65" s="5"/>
      <c r="AL65" s="15">
        <f>AH65+AI65+AJ65+AK65+AG65</f>
        <v>0</v>
      </c>
      <c r="AM65" s="15">
        <f>AB65-AL65</f>
        <v>38548</v>
      </c>
      <c r="AN65" s="15">
        <f>AM65</f>
        <v>38548</v>
      </c>
      <c r="AO65" s="15">
        <f>AM65-AN65</f>
        <v>0</v>
      </c>
      <c r="AQ65" s="15">
        <f>AL65-AF65</f>
        <v>0</v>
      </c>
    </row>
    <row r="66" spans="1:43" x14ac:dyDescent="0.25">
      <c r="A66">
        <v>129</v>
      </c>
      <c r="B66" s="10" t="s">
        <v>671</v>
      </c>
      <c r="C66" s="10" t="s">
        <v>1272</v>
      </c>
      <c r="D66" s="3" t="s">
        <v>672</v>
      </c>
      <c r="E66" s="3" t="s">
        <v>672</v>
      </c>
      <c r="F66" s="6" t="s">
        <v>673</v>
      </c>
      <c r="G66" s="3" t="s">
        <v>674</v>
      </c>
      <c r="H66" s="3" t="s">
        <v>14</v>
      </c>
      <c r="I66" s="3" t="s">
        <v>6</v>
      </c>
      <c r="J66" s="3"/>
      <c r="K66" s="3" t="s">
        <v>675</v>
      </c>
      <c r="L66" s="3"/>
      <c r="M66" s="3"/>
      <c r="N66" s="3"/>
      <c r="O66" s="3"/>
      <c r="P66" s="3"/>
      <c r="Q66" s="4">
        <v>46055</v>
      </c>
      <c r="R66" s="5">
        <v>113.85</v>
      </c>
      <c r="S66" s="3">
        <v>54</v>
      </c>
      <c r="T66" s="3"/>
      <c r="U66" s="3">
        <v>0</v>
      </c>
      <c r="V66" s="3" t="s">
        <v>8</v>
      </c>
      <c r="W66" s="16">
        <v>113.85</v>
      </c>
      <c r="X66" s="3">
        <v>0</v>
      </c>
      <c r="Y66" s="3">
        <v>0</v>
      </c>
      <c r="Z66" s="3">
        <v>0</v>
      </c>
      <c r="AA66" s="5">
        <v>-113.79</v>
      </c>
      <c r="AB66" s="3">
        <v>0.06</v>
      </c>
      <c r="AD66" s="25" t="s">
        <v>1147</v>
      </c>
      <c r="AE66" s="25" t="s">
        <v>1150</v>
      </c>
      <c r="AF66" s="26">
        <v>113.85</v>
      </c>
      <c r="AG66" s="33"/>
      <c r="AH66" s="20">
        <f>AF66</f>
        <v>113.85</v>
      </c>
      <c r="AI66" s="3"/>
      <c r="AJ66" s="3"/>
      <c r="AK66" s="5"/>
      <c r="AL66" s="15">
        <f>AH66+AI66+AJ66+AK66+AG66</f>
        <v>113.85</v>
      </c>
      <c r="AM66" s="15">
        <f>AB66-AL66</f>
        <v>-113.78999999999999</v>
      </c>
      <c r="AN66">
        <v>-113.79</v>
      </c>
      <c r="AO66" s="15">
        <f>AM66-AN66</f>
        <v>0</v>
      </c>
      <c r="AQ66" s="15">
        <f>AL66-AF66</f>
        <v>0</v>
      </c>
    </row>
    <row r="67" spans="1:43" x14ac:dyDescent="0.25">
      <c r="A67">
        <v>135</v>
      </c>
      <c r="B67" s="10" t="s">
        <v>701</v>
      </c>
      <c r="C67" s="10" t="s">
        <v>1272</v>
      </c>
      <c r="D67" s="3" t="s">
        <v>702</v>
      </c>
      <c r="E67" s="3" t="s">
        <v>703</v>
      </c>
      <c r="F67" s="3" t="s">
        <v>704</v>
      </c>
      <c r="G67" s="3" t="s">
        <v>705</v>
      </c>
      <c r="H67" s="3" t="s">
        <v>14</v>
      </c>
      <c r="I67" s="3" t="s">
        <v>6</v>
      </c>
      <c r="J67" s="3"/>
      <c r="K67" s="3" t="s">
        <v>706</v>
      </c>
      <c r="L67" s="3"/>
      <c r="M67" s="3"/>
      <c r="N67" s="3"/>
      <c r="O67" s="3"/>
      <c r="P67" s="3"/>
      <c r="Q67" s="4">
        <v>46056</v>
      </c>
      <c r="R67" s="5">
        <v>583.03</v>
      </c>
      <c r="S67" s="3">
        <v>113</v>
      </c>
      <c r="T67" s="3"/>
      <c r="U67" s="3">
        <v>0</v>
      </c>
      <c r="V67" s="3" t="s">
        <v>8</v>
      </c>
      <c r="W67" s="16">
        <v>583.03</v>
      </c>
      <c r="X67" s="3">
        <v>0</v>
      </c>
      <c r="Y67" s="3">
        <v>0</v>
      </c>
      <c r="Z67" s="3">
        <v>0</v>
      </c>
      <c r="AA67" s="3">
        <v>0</v>
      </c>
      <c r="AB67" s="5">
        <v>583.03</v>
      </c>
      <c r="AD67" s="25" t="s">
        <v>1149</v>
      </c>
      <c r="AE67" s="25" t="s">
        <v>1150</v>
      </c>
      <c r="AF67" s="26">
        <v>583.03</v>
      </c>
      <c r="AG67" s="34">
        <f>AF67</f>
        <v>583.03</v>
      </c>
      <c r="AH67" s="18"/>
      <c r="AI67" s="3"/>
      <c r="AJ67" s="3"/>
      <c r="AK67" s="3"/>
      <c r="AL67" s="15">
        <f>AH67+AI67+AJ67+AK67+AG67</f>
        <v>583.03</v>
      </c>
      <c r="AM67" s="15">
        <f>AB67-AL67</f>
        <v>0</v>
      </c>
      <c r="AN67">
        <v>0</v>
      </c>
      <c r="AO67" s="15">
        <f>AM67-AN67</f>
        <v>0</v>
      </c>
      <c r="AQ67" s="15">
        <f>AL67-AF67</f>
        <v>0</v>
      </c>
    </row>
    <row r="68" spans="1:43" x14ac:dyDescent="0.25">
      <c r="A68">
        <v>162</v>
      </c>
      <c r="B68" s="10">
        <v>1113</v>
      </c>
      <c r="C68" s="10" t="s">
        <v>1272</v>
      </c>
      <c r="D68" s="3" t="s">
        <v>845</v>
      </c>
      <c r="E68" s="3" t="s">
        <v>846</v>
      </c>
      <c r="F68" s="3" t="s">
        <v>847</v>
      </c>
      <c r="G68" s="3" t="s">
        <v>848</v>
      </c>
      <c r="H68" s="3" t="s">
        <v>14</v>
      </c>
      <c r="I68" s="3" t="s">
        <v>6</v>
      </c>
      <c r="J68" s="3"/>
      <c r="K68" s="3" t="s">
        <v>849</v>
      </c>
      <c r="L68" s="3"/>
      <c r="M68" s="3"/>
      <c r="N68" s="3" t="s">
        <v>22</v>
      </c>
      <c r="O68" s="3"/>
      <c r="P68" s="3"/>
      <c r="Q68" s="4">
        <v>46077</v>
      </c>
      <c r="R68" s="5">
        <v>655.56</v>
      </c>
      <c r="S68" s="3">
        <v>96</v>
      </c>
      <c r="T68" s="3"/>
      <c r="U68" s="3">
        <v>0</v>
      </c>
      <c r="V68" s="3" t="s">
        <v>8</v>
      </c>
      <c r="W68" s="5">
        <v>165</v>
      </c>
      <c r="X68" s="3">
        <v>0</v>
      </c>
      <c r="Y68" s="3">
        <v>0</v>
      </c>
      <c r="Z68" s="3">
        <v>0</v>
      </c>
      <c r="AA68" s="3">
        <v>0</v>
      </c>
      <c r="AB68" s="5">
        <v>165</v>
      </c>
      <c r="AD68" s="25"/>
      <c r="AE68" s="25"/>
      <c r="AF68" s="25"/>
      <c r="AG68" s="32"/>
      <c r="AH68" s="18"/>
      <c r="AI68" s="3"/>
      <c r="AJ68" s="3"/>
      <c r="AK68" s="3"/>
      <c r="AL68" s="15">
        <f>AH68+AI68+AJ68+AK68+AG68</f>
        <v>0</v>
      </c>
      <c r="AM68" s="15">
        <f>AB68-AL68</f>
        <v>165</v>
      </c>
      <c r="AN68" s="15">
        <f>AM68</f>
        <v>165</v>
      </c>
      <c r="AO68" s="15">
        <f>AM68-AN68</f>
        <v>0</v>
      </c>
      <c r="AQ68" s="15">
        <f>AL68-AF68</f>
        <v>0</v>
      </c>
    </row>
    <row r="69" spans="1:43" x14ac:dyDescent="0.25">
      <c r="A69">
        <v>161</v>
      </c>
      <c r="B69" s="10" t="s">
        <v>839</v>
      </c>
      <c r="C69" s="10" t="s">
        <v>1274</v>
      </c>
      <c r="D69" s="3" t="s">
        <v>840</v>
      </c>
      <c r="E69" s="3" t="s">
        <v>841</v>
      </c>
      <c r="F69" s="3" t="s">
        <v>842</v>
      </c>
      <c r="G69" s="3" t="s">
        <v>843</v>
      </c>
      <c r="H69" s="3" t="s">
        <v>14</v>
      </c>
      <c r="I69" s="3"/>
      <c r="J69" s="3" t="s">
        <v>15</v>
      </c>
      <c r="K69" s="3" t="s">
        <v>844</v>
      </c>
      <c r="L69" s="3"/>
      <c r="M69" s="3" t="s">
        <v>69</v>
      </c>
      <c r="N69" s="3"/>
      <c r="O69" s="3">
        <v>1501</v>
      </c>
      <c r="P69" s="3"/>
      <c r="Q69" s="4">
        <v>46081</v>
      </c>
      <c r="R69" s="5">
        <v>165.8</v>
      </c>
      <c r="S69" s="3">
        <v>108</v>
      </c>
      <c r="T69" s="3"/>
      <c r="U69" s="3">
        <v>0</v>
      </c>
      <c r="V69" s="3" t="s">
        <v>8</v>
      </c>
      <c r="W69" s="5">
        <v>165.8</v>
      </c>
      <c r="X69" s="3">
        <v>0.01</v>
      </c>
      <c r="Y69" s="3">
        <v>0</v>
      </c>
      <c r="Z69" s="3">
        <v>0</v>
      </c>
      <c r="AA69" s="5">
        <v>-0.01</v>
      </c>
      <c r="AB69" s="5">
        <v>165.8</v>
      </c>
      <c r="AD69" s="25"/>
      <c r="AE69" s="25"/>
      <c r="AF69" s="25"/>
      <c r="AG69" s="32"/>
      <c r="AH69" s="18"/>
      <c r="AI69" s="3"/>
      <c r="AJ69" s="3"/>
      <c r="AK69" s="5"/>
      <c r="AL69" s="15">
        <f>AH69+AI69+AJ69+AK69+AG69</f>
        <v>0</v>
      </c>
      <c r="AM69" s="15">
        <f>AB69-AL69</f>
        <v>165.8</v>
      </c>
      <c r="AN69" s="15">
        <f>AM69</f>
        <v>165.8</v>
      </c>
      <c r="AO69" s="15">
        <f>AM69-AN69</f>
        <v>0</v>
      </c>
      <c r="AQ69" s="15">
        <f>AL69-AF69</f>
        <v>0</v>
      </c>
    </row>
    <row r="70" spans="1:43" hidden="1" x14ac:dyDescent="0.25">
      <c r="A70">
        <v>31</v>
      </c>
      <c r="B70" s="10" t="s">
        <v>160</v>
      </c>
      <c r="C70" s="10" t="s">
        <v>1017</v>
      </c>
      <c r="D70" s="3" t="s">
        <v>161</v>
      </c>
      <c r="E70" s="3" t="s">
        <v>161</v>
      </c>
      <c r="F70" s="3"/>
      <c r="G70" s="3" t="s">
        <v>162</v>
      </c>
      <c r="H70" s="3" t="s">
        <v>14</v>
      </c>
      <c r="I70" s="3" t="s">
        <v>6</v>
      </c>
      <c r="J70" s="3"/>
      <c r="K70" s="3" t="s">
        <v>163</v>
      </c>
      <c r="L70" s="3"/>
      <c r="M70" s="3"/>
      <c r="N70" s="3"/>
      <c r="O70" s="3"/>
      <c r="P70" s="3"/>
      <c r="Q70" s="4">
        <v>46081</v>
      </c>
      <c r="R70" s="5">
        <v>79.349999999999994</v>
      </c>
      <c r="S70" s="3">
        <v>28</v>
      </c>
      <c r="T70" s="3"/>
      <c r="U70" s="3">
        <v>0</v>
      </c>
      <c r="V70" s="3" t="s">
        <v>8</v>
      </c>
      <c r="W70" s="5">
        <v>1442.1</v>
      </c>
      <c r="X70" s="3">
        <v>0</v>
      </c>
      <c r="Y70" s="3">
        <v>0</v>
      </c>
      <c r="Z70" s="3">
        <v>0</v>
      </c>
      <c r="AA70" s="3">
        <v>0</v>
      </c>
      <c r="AB70" s="5">
        <v>1442.1</v>
      </c>
      <c r="AD70" s="25" t="s">
        <v>1201</v>
      </c>
      <c r="AE70" s="25" t="s">
        <v>1251</v>
      </c>
      <c r="AF70" s="26">
        <v>1442.1</v>
      </c>
      <c r="AG70" s="33">
        <f>AF70</f>
        <v>1442.1</v>
      </c>
      <c r="AH70" s="18"/>
      <c r="AI70" s="3"/>
      <c r="AJ70" s="3"/>
      <c r="AK70" s="3"/>
      <c r="AL70" s="15">
        <f>AH70+AI70+AJ70+AK70+AG70</f>
        <v>1442.1</v>
      </c>
      <c r="AM70" s="15">
        <f>AB70-AL70</f>
        <v>0</v>
      </c>
      <c r="AN70" s="15">
        <f>AM70</f>
        <v>0</v>
      </c>
      <c r="AO70" s="15">
        <f>AM70-AN70</f>
        <v>0</v>
      </c>
      <c r="AQ70" s="15">
        <f>AL70-AF70</f>
        <v>0</v>
      </c>
    </row>
    <row r="71" spans="1:43" hidden="1" x14ac:dyDescent="0.25">
      <c r="A71">
        <v>34</v>
      </c>
      <c r="B71" s="10" t="s">
        <v>177</v>
      </c>
      <c r="C71" s="10" t="s">
        <v>1019</v>
      </c>
      <c r="D71" s="3" t="s">
        <v>178</v>
      </c>
      <c r="E71" s="3" t="s">
        <v>179</v>
      </c>
      <c r="F71" s="3" t="s">
        <v>180</v>
      </c>
      <c r="G71" s="3" t="s">
        <v>181</v>
      </c>
      <c r="H71" s="3" t="s">
        <v>14</v>
      </c>
      <c r="I71" s="3" t="s">
        <v>6</v>
      </c>
      <c r="J71" s="3" t="s">
        <v>15</v>
      </c>
      <c r="K71" s="3" t="s">
        <v>182</v>
      </c>
      <c r="L71" s="3"/>
      <c r="M71" s="3"/>
      <c r="N71" s="3"/>
      <c r="O71" s="3">
        <v>2051</v>
      </c>
      <c r="P71" s="3"/>
      <c r="Q71" s="4">
        <v>46081</v>
      </c>
      <c r="R71" s="5">
        <v>6204.14</v>
      </c>
      <c r="S71" s="3">
        <v>140</v>
      </c>
      <c r="T71" s="3"/>
      <c r="U71" s="3">
        <v>0</v>
      </c>
      <c r="V71" s="3" t="s">
        <v>8</v>
      </c>
      <c r="W71" s="5">
        <v>6204.14</v>
      </c>
      <c r="X71" s="3">
        <v>0</v>
      </c>
      <c r="Y71" s="3">
        <v>0.01</v>
      </c>
      <c r="Z71" s="3">
        <v>0</v>
      </c>
      <c r="AA71" s="5">
        <v>-0.01</v>
      </c>
      <c r="AB71" s="5">
        <v>6204.14</v>
      </c>
      <c r="AD71" s="25"/>
      <c r="AE71" s="25"/>
      <c r="AF71" s="25"/>
      <c r="AG71" s="32"/>
      <c r="AH71" s="18"/>
      <c r="AI71" s="3"/>
      <c r="AJ71" s="3"/>
      <c r="AK71" s="5"/>
      <c r="AL71" s="15">
        <f>AH71+AI71+AJ71+AK71+AG71</f>
        <v>0</v>
      </c>
      <c r="AM71" s="15">
        <f>AB71-AL71</f>
        <v>6204.14</v>
      </c>
      <c r="AN71" s="15">
        <f>AM71</f>
        <v>6204.14</v>
      </c>
      <c r="AO71" s="15">
        <f>AM71-AN71</f>
        <v>0</v>
      </c>
      <c r="AQ71" s="15">
        <f>AL71-AF71</f>
        <v>0</v>
      </c>
    </row>
    <row r="72" spans="1:43" hidden="1" x14ac:dyDescent="0.25">
      <c r="A72">
        <v>37</v>
      </c>
      <c r="B72" s="10" t="s">
        <v>192</v>
      </c>
      <c r="C72" s="10" t="s">
        <v>1020</v>
      </c>
      <c r="D72" s="3" t="s">
        <v>193</v>
      </c>
      <c r="E72" s="3" t="s">
        <v>194</v>
      </c>
      <c r="F72" s="3"/>
      <c r="G72" s="3" t="s">
        <v>195</v>
      </c>
      <c r="H72" s="3" t="s">
        <v>14</v>
      </c>
      <c r="I72" s="3" t="s">
        <v>6</v>
      </c>
      <c r="J72" s="3"/>
      <c r="K72" s="3" t="s">
        <v>196</v>
      </c>
      <c r="L72" s="3"/>
      <c r="M72" s="3"/>
      <c r="N72" s="3" t="s">
        <v>22</v>
      </c>
      <c r="O72" s="3"/>
      <c r="P72" s="3"/>
      <c r="Q72" s="4">
        <v>46081</v>
      </c>
      <c r="R72" s="5">
        <v>6944.85</v>
      </c>
      <c r="S72" s="3">
        <v>293</v>
      </c>
      <c r="T72" s="3"/>
      <c r="U72" s="3">
        <v>0</v>
      </c>
      <c r="V72" s="3" t="s">
        <v>8</v>
      </c>
      <c r="W72" s="5">
        <v>6944.85</v>
      </c>
      <c r="X72" s="3">
        <v>0</v>
      </c>
      <c r="Y72" s="3">
        <v>0</v>
      </c>
      <c r="Z72" s="3">
        <v>0</v>
      </c>
      <c r="AA72" s="3">
        <v>0</v>
      </c>
      <c r="AB72" s="5">
        <v>6944.85</v>
      </c>
      <c r="AD72" s="25" t="s">
        <v>1201</v>
      </c>
      <c r="AE72" s="25" t="s">
        <v>193</v>
      </c>
      <c r="AF72" s="26">
        <v>6944.85</v>
      </c>
      <c r="AG72" s="33">
        <f>AF72</f>
        <v>6944.85</v>
      </c>
      <c r="AH72" s="18"/>
      <c r="AI72" s="3"/>
      <c r="AJ72" s="3"/>
      <c r="AK72" s="3"/>
      <c r="AL72" s="15">
        <f>AH72+AI72+AJ72+AK72+AG72</f>
        <v>6944.85</v>
      </c>
      <c r="AM72" s="15">
        <f>AB72-AL72</f>
        <v>0</v>
      </c>
      <c r="AN72" s="15">
        <f>AM72</f>
        <v>0</v>
      </c>
      <c r="AO72" s="15">
        <f>AM72-AN72</f>
        <v>0</v>
      </c>
      <c r="AQ72" s="15">
        <f>AL72-AF72</f>
        <v>0</v>
      </c>
    </row>
    <row r="73" spans="1:43" hidden="1" x14ac:dyDescent="0.25">
      <c r="A73">
        <v>137</v>
      </c>
      <c r="B73" s="10" t="s">
        <v>713</v>
      </c>
      <c r="C73" s="10" t="s">
        <v>1275</v>
      </c>
      <c r="D73" s="3" t="s">
        <v>714</v>
      </c>
      <c r="E73" s="3" t="s">
        <v>715</v>
      </c>
      <c r="F73" s="3" t="s">
        <v>716</v>
      </c>
      <c r="G73" s="3" t="s">
        <v>717</v>
      </c>
      <c r="H73" s="3" t="s">
        <v>14</v>
      </c>
      <c r="I73" s="3" t="s">
        <v>6</v>
      </c>
      <c r="J73" s="3" t="s">
        <v>33</v>
      </c>
      <c r="K73" s="3" t="s">
        <v>718</v>
      </c>
      <c r="L73" s="3"/>
      <c r="M73" s="3"/>
      <c r="N73" s="3" t="s">
        <v>22</v>
      </c>
      <c r="O73" s="3"/>
      <c r="P73" s="3"/>
      <c r="Q73" s="3"/>
      <c r="R73" s="3">
        <v>0</v>
      </c>
      <c r="S73" s="3">
        <v>523</v>
      </c>
      <c r="T73" s="3"/>
      <c r="U73" s="3">
        <v>0</v>
      </c>
      <c r="V73" s="3" t="s">
        <v>8</v>
      </c>
      <c r="W73" s="3">
        <v>0</v>
      </c>
      <c r="X73" s="3">
        <v>0</v>
      </c>
      <c r="Y73" s="3">
        <v>0</v>
      </c>
      <c r="Z73" s="5">
        <v>1505.1</v>
      </c>
      <c r="AA73" s="3">
        <v>0</v>
      </c>
      <c r="AB73" s="5">
        <v>1505.1</v>
      </c>
      <c r="AD73" s="25"/>
      <c r="AE73" s="25"/>
      <c r="AF73" s="25"/>
      <c r="AG73" s="32"/>
      <c r="AH73" s="18"/>
      <c r="AI73" s="3"/>
      <c r="AJ73" s="5"/>
      <c r="AK73" s="3"/>
      <c r="AL73" s="15">
        <f>AH73+AI73+AJ73+AK73+AG73</f>
        <v>0</v>
      </c>
      <c r="AM73" s="15">
        <f>AB73-AL73</f>
        <v>1505.1</v>
      </c>
      <c r="AN73" s="15">
        <f>AM73</f>
        <v>1505.1</v>
      </c>
      <c r="AO73" s="15">
        <f>AM73-AN73</f>
        <v>0</v>
      </c>
      <c r="AQ73" s="15">
        <f>AL73-AF73</f>
        <v>0</v>
      </c>
    </row>
    <row r="74" spans="1:43" hidden="1" x14ac:dyDescent="0.25">
      <c r="A74">
        <v>122</v>
      </c>
      <c r="B74" s="10" t="s">
        <v>634</v>
      </c>
      <c r="C74" s="10" t="s">
        <v>1276</v>
      </c>
      <c r="D74" s="3" t="s">
        <v>635</v>
      </c>
      <c r="E74" s="3" t="s">
        <v>636</v>
      </c>
      <c r="F74" s="3" t="s">
        <v>637</v>
      </c>
      <c r="G74" s="3"/>
      <c r="H74" s="3" t="s">
        <v>14</v>
      </c>
      <c r="I74" s="3" t="s">
        <v>6</v>
      </c>
      <c r="J74" s="3" t="s">
        <v>33</v>
      </c>
      <c r="K74" s="3" t="s">
        <v>638</v>
      </c>
      <c r="L74" s="3"/>
      <c r="M74" s="3"/>
      <c r="N74" s="3"/>
      <c r="O74" s="3">
        <v>1686</v>
      </c>
      <c r="P74" s="3"/>
      <c r="Q74" s="4">
        <v>46074</v>
      </c>
      <c r="R74" s="5">
        <v>5531.5</v>
      </c>
      <c r="S74" s="3">
        <v>66</v>
      </c>
      <c r="T74" s="3"/>
      <c r="U74" s="3">
        <v>0</v>
      </c>
      <c r="V74" s="3" t="s">
        <v>639</v>
      </c>
      <c r="W74" s="3">
        <v>0</v>
      </c>
      <c r="X74" s="3">
        <v>0</v>
      </c>
      <c r="Y74" s="3">
        <v>0</v>
      </c>
      <c r="Z74" s="5">
        <v>0</v>
      </c>
      <c r="AA74" s="5">
        <v>0</v>
      </c>
      <c r="AB74" s="5">
        <v>0</v>
      </c>
      <c r="AD74" s="25"/>
      <c r="AE74" s="25"/>
      <c r="AF74" s="25"/>
      <c r="AG74" s="32"/>
      <c r="AH74" s="18"/>
      <c r="AI74" s="3"/>
      <c r="AJ74" s="5"/>
      <c r="AK74" s="5"/>
      <c r="AL74" s="15">
        <f>AH74+AI74+AJ74+AK74+AG74</f>
        <v>0</v>
      </c>
      <c r="AM74" s="15">
        <f>AB74-AL74</f>
        <v>0</v>
      </c>
      <c r="AN74">
        <v>0</v>
      </c>
      <c r="AO74" s="15">
        <f>AM74-AN74</f>
        <v>0</v>
      </c>
      <c r="AQ74" s="15">
        <f>AL74-AF74</f>
        <v>0</v>
      </c>
    </row>
    <row r="75" spans="1:43" hidden="1" x14ac:dyDescent="0.25">
      <c r="A75">
        <v>38</v>
      </c>
      <c r="B75" s="10" t="s">
        <v>197</v>
      </c>
      <c r="C75" s="10" t="s">
        <v>1021</v>
      </c>
      <c r="D75" s="3" t="s">
        <v>198</v>
      </c>
      <c r="E75" s="3" t="s">
        <v>199</v>
      </c>
      <c r="F75" s="6" t="s">
        <v>200</v>
      </c>
      <c r="G75" s="3" t="s">
        <v>201</v>
      </c>
      <c r="H75" s="3" t="s">
        <v>14</v>
      </c>
      <c r="I75" s="3" t="s">
        <v>6</v>
      </c>
      <c r="J75" s="3" t="s">
        <v>33</v>
      </c>
      <c r="K75" s="3" t="s">
        <v>202</v>
      </c>
      <c r="L75" s="3"/>
      <c r="M75" s="3"/>
      <c r="N75" s="3" t="s">
        <v>22</v>
      </c>
      <c r="O75" s="3"/>
      <c r="P75" s="3"/>
      <c r="Q75" s="4">
        <v>46081</v>
      </c>
      <c r="R75" s="5">
        <v>635.95000000000005</v>
      </c>
      <c r="S75" s="3">
        <v>48</v>
      </c>
      <c r="T75" s="3"/>
      <c r="U75" s="3">
        <v>0</v>
      </c>
      <c r="V75" s="3" t="s">
        <v>8</v>
      </c>
      <c r="W75" s="5">
        <v>635.95000000000005</v>
      </c>
      <c r="X75" s="3">
        <v>0</v>
      </c>
      <c r="Y75" s="3">
        <v>0</v>
      </c>
      <c r="Z75" s="3">
        <v>0</v>
      </c>
      <c r="AA75" s="3">
        <v>0</v>
      </c>
      <c r="AB75" s="5">
        <v>635.95000000000005</v>
      </c>
      <c r="AD75" s="25"/>
      <c r="AE75" s="25"/>
      <c r="AF75" s="25"/>
      <c r="AG75" s="32"/>
      <c r="AH75" s="18"/>
      <c r="AI75" s="3"/>
      <c r="AJ75" s="3"/>
      <c r="AK75" s="3"/>
      <c r="AL75" s="15">
        <f>AH75+AI75+AJ75+AK75+AG75</f>
        <v>0</v>
      </c>
      <c r="AM75" s="15">
        <f>AB75-AL75</f>
        <v>635.95000000000005</v>
      </c>
      <c r="AN75" s="15">
        <f>AM75</f>
        <v>635.95000000000005</v>
      </c>
      <c r="AO75" s="15">
        <f>AM75-AN75</f>
        <v>0</v>
      </c>
      <c r="AQ75" s="15">
        <f>AL75-AF75</f>
        <v>0</v>
      </c>
    </row>
    <row r="76" spans="1:43" hidden="1" x14ac:dyDescent="0.25">
      <c r="A76">
        <v>39</v>
      </c>
      <c r="B76" s="10" t="s">
        <v>203</v>
      </c>
      <c r="C76" s="10" t="s">
        <v>1022</v>
      </c>
      <c r="D76" s="3" t="s">
        <v>204</v>
      </c>
      <c r="E76" s="3" t="s">
        <v>30</v>
      </c>
      <c r="F76" s="3" t="s">
        <v>205</v>
      </c>
      <c r="G76" s="3" t="s">
        <v>206</v>
      </c>
      <c r="H76" s="3" t="s">
        <v>14</v>
      </c>
      <c r="I76" s="3" t="s">
        <v>6</v>
      </c>
      <c r="J76" s="3" t="s">
        <v>33</v>
      </c>
      <c r="K76" s="3" t="s">
        <v>207</v>
      </c>
      <c r="L76" s="3"/>
      <c r="M76" s="3"/>
      <c r="N76" s="3" t="s">
        <v>22</v>
      </c>
      <c r="O76" s="3"/>
      <c r="P76" s="3"/>
      <c r="Q76" s="4">
        <v>46080</v>
      </c>
      <c r="R76" s="5">
        <v>207361.1</v>
      </c>
      <c r="S76" s="3">
        <v>1653</v>
      </c>
      <c r="T76" s="3"/>
      <c r="U76" s="3">
        <v>0</v>
      </c>
      <c r="V76" s="3" t="s">
        <v>8</v>
      </c>
      <c r="W76" s="5">
        <v>66835.7</v>
      </c>
      <c r="X76" s="3">
        <v>213871.25</v>
      </c>
      <c r="Y76" s="3">
        <v>155649.04999999999</v>
      </c>
      <c r="Z76" s="3">
        <v>0</v>
      </c>
      <c r="AA76" s="3">
        <v>0</v>
      </c>
      <c r="AB76" s="5">
        <f>SUM(W76:AA76)</f>
        <v>436356</v>
      </c>
      <c r="AD76" s="25" t="s">
        <v>1201</v>
      </c>
      <c r="AE76" s="25" t="s">
        <v>1269</v>
      </c>
      <c r="AF76" s="26">
        <v>211548.25</v>
      </c>
      <c r="AG76" s="32"/>
      <c r="AH76" s="19">
        <f>AF76-AJ76</f>
        <v>55899.200000000012</v>
      </c>
      <c r="AI76" s="3"/>
      <c r="AJ76" s="3">
        <f>Y76</f>
        <v>155649.04999999999</v>
      </c>
      <c r="AK76" s="3"/>
      <c r="AL76" s="15">
        <f>AH76+AI76+AJ76+AK76+AG76</f>
        <v>211548.25</v>
      </c>
      <c r="AM76" s="15">
        <f>AB76-AL76</f>
        <v>224807.75</v>
      </c>
      <c r="AN76" s="15">
        <v>224807.75</v>
      </c>
      <c r="AO76" s="15">
        <f>AM76-AN76</f>
        <v>0</v>
      </c>
      <c r="AQ76" s="15">
        <f>AL76-AF76</f>
        <v>0</v>
      </c>
    </row>
    <row r="77" spans="1:43" hidden="1" x14ac:dyDescent="0.25">
      <c r="A77">
        <v>40</v>
      </c>
      <c r="B77" s="10" t="s">
        <v>208</v>
      </c>
      <c r="C77" s="10" t="s">
        <v>1023</v>
      </c>
      <c r="D77" s="3" t="s">
        <v>209</v>
      </c>
      <c r="E77" s="3" t="s">
        <v>210</v>
      </c>
      <c r="F77" s="3" t="s">
        <v>211</v>
      </c>
      <c r="G77" s="3" t="s">
        <v>212</v>
      </c>
      <c r="H77" s="3" t="s">
        <v>14</v>
      </c>
      <c r="I77" s="3" t="s">
        <v>6</v>
      </c>
      <c r="J77" s="3" t="s">
        <v>33</v>
      </c>
      <c r="K77" s="3" t="s">
        <v>213</v>
      </c>
      <c r="L77" s="3"/>
      <c r="M77" s="3"/>
      <c r="N77" s="3"/>
      <c r="O77" s="3">
        <v>7551</v>
      </c>
      <c r="P77" s="3"/>
      <c r="Q77" s="4">
        <v>46062</v>
      </c>
      <c r="R77" s="5">
        <v>99830.79</v>
      </c>
      <c r="S77" s="3">
        <v>176</v>
      </c>
      <c r="T77" s="3"/>
      <c r="U77" s="3">
        <v>0</v>
      </c>
      <c r="V77" s="3" t="s">
        <v>8</v>
      </c>
      <c r="W77" s="5">
        <v>151835.09</v>
      </c>
      <c r="X77" s="5">
        <v>134623.64000000001</v>
      </c>
      <c r="Y77" s="3">
        <v>0</v>
      </c>
      <c r="Z77" s="5">
        <v>4.5</v>
      </c>
      <c r="AA77" s="5">
        <v>1214.4000000000001</v>
      </c>
      <c r="AB77" s="5">
        <v>287677.63</v>
      </c>
      <c r="AD77" s="25" t="s">
        <v>1183</v>
      </c>
      <c r="AE77" s="25" t="s">
        <v>1194</v>
      </c>
      <c r="AF77" s="58">
        <v>134623.64000000001</v>
      </c>
      <c r="AG77" s="32"/>
      <c r="AH77" s="19">
        <f>AF77</f>
        <v>134623.64000000001</v>
      </c>
      <c r="AI77" s="3"/>
      <c r="AJ77" s="5"/>
      <c r="AK77" s="5"/>
      <c r="AL77" s="15">
        <f>AH77+AI77+AJ77+AK77+AG77</f>
        <v>134623.64000000001</v>
      </c>
      <c r="AM77" s="15">
        <f>AB77-AL77</f>
        <v>153053.99</v>
      </c>
      <c r="AN77">
        <v>153053.99</v>
      </c>
      <c r="AO77" s="15">
        <f>AM77-AN77</f>
        <v>0</v>
      </c>
      <c r="AQ77" s="15">
        <f>AL77-AF77</f>
        <v>0</v>
      </c>
    </row>
    <row r="78" spans="1:43" hidden="1" x14ac:dyDescent="0.25">
      <c r="A78">
        <v>41</v>
      </c>
      <c r="B78" s="10" t="s">
        <v>214</v>
      </c>
      <c r="C78" s="10" t="s">
        <v>1024</v>
      </c>
      <c r="D78" s="3" t="s">
        <v>215</v>
      </c>
      <c r="E78" s="3" t="s">
        <v>215</v>
      </c>
      <c r="F78" s="3"/>
      <c r="G78" s="3" t="s">
        <v>216</v>
      </c>
      <c r="H78" s="3" t="s">
        <v>14</v>
      </c>
      <c r="I78" s="3" t="s">
        <v>6</v>
      </c>
      <c r="J78" s="3" t="s">
        <v>15</v>
      </c>
      <c r="K78" s="3" t="s">
        <v>217</v>
      </c>
      <c r="L78" s="3"/>
      <c r="M78" s="3"/>
      <c r="N78" s="3" t="s">
        <v>22</v>
      </c>
      <c r="O78" s="3"/>
      <c r="P78" s="3"/>
      <c r="Q78" s="4">
        <v>46081</v>
      </c>
      <c r="R78" s="5">
        <v>1069.79</v>
      </c>
      <c r="S78" s="3">
        <v>52</v>
      </c>
      <c r="T78" s="3"/>
      <c r="U78" s="3">
        <v>0</v>
      </c>
      <c r="V78" s="3" t="s">
        <v>8</v>
      </c>
      <c r="W78" s="5">
        <v>1069.79</v>
      </c>
      <c r="X78" s="3">
        <v>0</v>
      </c>
      <c r="Y78" s="3">
        <v>0</v>
      </c>
      <c r="Z78" s="3">
        <v>0</v>
      </c>
      <c r="AA78" s="3">
        <v>0</v>
      </c>
      <c r="AB78" s="5">
        <v>1069.79</v>
      </c>
      <c r="AD78" s="25" t="s">
        <v>1201</v>
      </c>
      <c r="AE78" s="25" t="s">
        <v>215</v>
      </c>
      <c r="AF78" s="58">
        <v>1069.79</v>
      </c>
      <c r="AG78" s="33">
        <f>AF78</f>
        <v>1069.79</v>
      </c>
      <c r="AH78" s="18"/>
      <c r="AI78" s="3"/>
      <c r="AJ78" s="3"/>
      <c r="AK78" s="3"/>
      <c r="AL78" s="15">
        <f>AH78+AI78+AJ78+AK78+AG78</f>
        <v>1069.79</v>
      </c>
      <c r="AM78" s="15">
        <f>AB78-AL78</f>
        <v>0</v>
      </c>
      <c r="AN78" s="15">
        <f>AM78</f>
        <v>0</v>
      </c>
      <c r="AO78" s="15">
        <f>AM78-AN78</f>
        <v>0</v>
      </c>
      <c r="AQ78" s="15">
        <f>AL78-AF78</f>
        <v>0</v>
      </c>
    </row>
    <row r="79" spans="1:43" hidden="1" x14ac:dyDescent="0.25">
      <c r="A79">
        <v>42</v>
      </c>
      <c r="B79" s="10" t="s">
        <v>218</v>
      </c>
      <c r="C79" s="10" t="s">
        <v>1025</v>
      </c>
      <c r="D79" s="3" t="s">
        <v>219</v>
      </c>
      <c r="E79" s="3" t="s">
        <v>220</v>
      </c>
      <c r="F79" s="3"/>
      <c r="G79" s="3" t="s">
        <v>221</v>
      </c>
      <c r="H79" s="3" t="s">
        <v>14</v>
      </c>
      <c r="I79" s="3" t="s">
        <v>6</v>
      </c>
      <c r="J79" s="3" t="s">
        <v>33</v>
      </c>
      <c r="K79" s="3" t="s">
        <v>222</v>
      </c>
      <c r="L79" s="3"/>
      <c r="M79" s="3"/>
      <c r="N79" s="3" t="s">
        <v>22</v>
      </c>
      <c r="O79" s="3" t="s">
        <v>223</v>
      </c>
      <c r="P79" s="3"/>
      <c r="Q79" s="4">
        <v>46073</v>
      </c>
      <c r="R79" s="5">
        <v>47606.7</v>
      </c>
      <c r="S79" s="3">
        <v>275</v>
      </c>
      <c r="T79" s="3"/>
      <c r="U79" s="3">
        <v>0</v>
      </c>
      <c r="V79" s="3" t="s">
        <v>8</v>
      </c>
      <c r="W79" s="5">
        <v>65518.91</v>
      </c>
      <c r="X79" s="3">
        <v>0.09</v>
      </c>
      <c r="Y79" s="3">
        <v>0</v>
      </c>
      <c r="Z79" s="3">
        <v>0</v>
      </c>
      <c r="AA79" s="3">
        <v>0</v>
      </c>
      <c r="AB79" s="5">
        <v>65519</v>
      </c>
      <c r="AD79" s="25" t="s">
        <v>1191</v>
      </c>
      <c r="AE79" s="25" t="s">
        <v>1192</v>
      </c>
      <c r="AF79" s="26">
        <v>65519</v>
      </c>
      <c r="AG79" s="33">
        <f>AF79</f>
        <v>65519</v>
      </c>
      <c r="AH79" s="18"/>
      <c r="AI79" s="3"/>
      <c r="AJ79" s="3"/>
      <c r="AK79" s="3"/>
      <c r="AL79" s="15">
        <f>AH79+AI79+AJ79+AK79+AG79</f>
        <v>65519</v>
      </c>
      <c r="AM79" s="15">
        <f>AB79-AL79</f>
        <v>0</v>
      </c>
      <c r="AN79">
        <v>0</v>
      </c>
      <c r="AO79" s="15">
        <f>AM79-AN79</f>
        <v>0</v>
      </c>
      <c r="AQ79" s="15">
        <f>AL79-AF79</f>
        <v>0</v>
      </c>
    </row>
    <row r="80" spans="1:43" hidden="1" x14ac:dyDescent="0.25">
      <c r="A80">
        <v>139</v>
      </c>
      <c r="B80" s="10" t="s">
        <v>725</v>
      </c>
      <c r="C80" s="10" t="s">
        <v>1094</v>
      </c>
      <c r="D80" s="3" t="s">
        <v>726</v>
      </c>
      <c r="E80" s="3" t="s">
        <v>727</v>
      </c>
      <c r="F80" s="3" t="s">
        <v>728</v>
      </c>
      <c r="G80" s="3" t="s">
        <v>729</v>
      </c>
      <c r="H80" s="3" t="s">
        <v>14</v>
      </c>
      <c r="I80" s="3" t="s">
        <v>6</v>
      </c>
      <c r="J80" s="3" t="s">
        <v>15</v>
      </c>
      <c r="K80" s="3" t="s">
        <v>730</v>
      </c>
      <c r="L80" s="3"/>
      <c r="M80" s="3"/>
      <c r="N80" s="3"/>
      <c r="O80" s="3"/>
      <c r="P80" s="3"/>
      <c r="Q80" s="4">
        <v>46081</v>
      </c>
      <c r="R80" s="5">
        <v>698.74</v>
      </c>
      <c r="S80" s="3">
        <v>78</v>
      </c>
      <c r="T80" s="3"/>
      <c r="U80" s="3">
        <v>0</v>
      </c>
      <c r="V80" s="3" t="s">
        <v>8</v>
      </c>
      <c r="W80" s="5">
        <v>349.37</v>
      </c>
      <c r="X80" s="3">
        <v>0</v>
      </c>
      <c r="Y80" s="3">
        <v>0</v>
      </c>
      <c r="Z80" s="3">
        <v>0</v>
      </c>
      <c r="AA80" s="3">
        <v>0</v>
      </c>
      <c r="AB80" s="5">
        <v>349.37</v>
      </c>
      <c r="AD80" s="25"/>
      <c r="AE80" s="25"/>
      <c r="AF80" s="25"/>
      <c r="AG80" s="32"/>
      <c r="AH80" s="18"/>
      <c r="AI80" s="3"/>
      <c r="AJ80" s="3"/>
      <c r="AK80" s="3"/>
      <c r="AL80" s="15">
        <f>AH80+AI80+AJ80+AK80+AG80</f>
        <v>0</v>
      </c>
      <c r="AM80" s="15">
        <f>AB80-AL80</f>
        <v>349.37</v>
      </c>
      <c r="AN80" s="15">
        <f>AM80</f>
        <v>349.37</v>
      </c>
      <c r="AO80" s="15">
        <f>AM80-AN80</f>
        <v>0</v>
      </c>
      <c r="AQ80" s="15">
        <f>AL80-AF80</f>
        <v>0</v>
      </c>
    </row>
    <row r="81" spans="1:43" hidden="1" x14ac:dyDescent="0.25">
      <c r="A81">
        <v>44</v>
      </c>
      <c r="B81" s="10" t="s">
        <v>225</v>
      </c>
      <c r="C81" s="10" t="s">
        <v>1026</v>
      </c>
      <c r="D81" s="3" t="s">
        <v>226</v>
      </c>
      <c r="E81" s="3" t="s">
        <v>227</v>
      </c>
      <c r="F81" s="3" t="s">
        <v>228</v>
      </c>
      <c r="G81" s="3" t="s">
        <v>229</v>
      </c>
      <c r="H81" s="3" t="s">
        <v>14</v>
      </c>
      <c r="I81" s="3" t="s">
        <v>6</v>
      </c>
      <c r="J81" s="3" t="s">
        <v>15</v>
      </c>
      <c r="K81" s="3" t="s">
        <v>230</v>
      </c>
      <c r="L81" s="3"/>
      <c r="M81" s="3"/>
      <c r="N81" s="3"/>
      <c r="O81" s="3">
        <v>1685</v>
      </c>
      <c r="P81" s="3"/>
      <c r="Q81" s="4">
        <v>46081</v>
      </c>
      <c r="R81" s="5">
        <v>1303.28</v>
      </c>
      <c r="S81" s="3">
        <v>206</v>
      </c>
      <c r="T81" s="3"/>
      <c r="U81" s="3">
        <v>0</v>
      </c>
      <c r="V81" s="3" t="s">
        <v>8</v>
      </c>
      <c r="W81" s="5">
        <v>1303.3699999999999</v>
      </c>
      <c r="X81" s="3">
        <v>0</v>
      </c>
      <c r="Y81" s="3">
        <v>0</v>
      </c>
      <c r="Z81" s="3">
        <v>0</v>
      </c>
      <c r="AA81" s="3">
        <v>0</v>
      </c>
      <c r="AB81" s="5">
        <f>SUM(W81:AA81)</f>
        <v>1303.3699999999999</v>
      </c>
      <c r="AD81" s="25" t="s">
        <v>1201</v>
      </c>
      <c r="AE81" s="25" t="s">
        <v>1250</v>
      </c>
      <c r="AF81" s="26">
        <v>1303.3699999999999</v>
      </c>
      <c r="AG81" s="33">
        <f>AF81</f>
        <v>1303.3699999999999</v>
      </c>
      <c r="AH81" s="18"/>
      <c r="AI81" s="3"/>
      <c r="AJ81" s="3"/>
      <c r="AK81" s="3"/>
      <c r="AL81" s="15">
        <f>AH81+AI81+AJ81+AK81+AG81</f>
        <v>1303.3699999999999</v>
      </c>
      <c r="AM81" s="15">
        <f>AB81-AL81</f>
        <v>0</v>
      </c>
      <c r="AN81" s="15">
        <f>AM81</f>
        <v>0</v>
      </c>
      <c r="AO81" s="15">
        <f>AM81-AN81</f>
        <v>0</v>
      </c>
      <c r="AQ81" s="15">
        <f>AL81-AF81</f>
        <v>0</v>
      </c>
    </row>
    <row r="82" spans="1:43" hidden="1" x14ac:dyDescent="0.25">
      <c r="A82">
        <v>46</v>
      </c>
      <c r="B82" s="10" t="s">
        <v>238</v>
      </c>
      <c r="C82" s="10" t="s">
        <v>1028</v>
      </c>
      <c r="D82" s="3" t="s">
        <v>239</v>
      </c>
      <c r="E82" s="3" t="s">
        <v>240</v>
      </c>
      <c r="F82" s="3" t="s">
        <v>241</v>
      </c>
      <c r="G82" s="3" t="s">
        <v>242</v>
      </c>
      <c r="H82" s="3" t="s">
        <v>14</v>
      </c>
      <c r="I82" s="3" t="s">
        <v>6</v>
      </c>
      <c r="J82" s="3" t="s">
        <v>15</v>
      </c>
      <c r="K82" s="3" t="s">
        <v>243</v>
      </c>
      <c r="L82" s="3"/>
      <c r="M82" s="3"/>
      <c r="N82" s="3"/>
      <c r="O82" s="3">
        <v>1600</v>
      </c>
      <c r="P82" s="3"/>
      <c r="Q82" s="4">
        <v>46081</v>
      </c>
      <c r="R82" s="5">
        <v>1300.3699999999999</v>
      </c>
      <c r="S82" s="3">
        <v>62</v>
      </c>
      <c r="T82" s="3"/>
      <c r="U82" s="3">
        <v>0</v>
      </c>
      <c r="V82" s="3" t="s">
        <v>8</v>
      </c>
      <c r="W82" s="5">
        <v>1300.3699999999999</v>
      </c>
      <c r="X82" s="3">
        <v>0</v>
      </c>
      <c r="Y82" s="3">
        <v>0</v>
      </c>
      <c r="Z82" s="3">
        <v>0</v>
      </c>
      <c r="AA82" s="3">
        <v>0</v>
      </c>
      <c r="AB82" s="5">
        <v>1300.3699999999999</v>
      </c>
      <c r="AD82" s="25" t="s">
        <v>1201</v>
      </c>
      <c r="AE82" s="25" t="s">
        <v>1249</v>
      </c>
      <c r="AF82" s="26">
        <v>1300.3699999999999</v>
      </c>
      <c r="AG82" s="33">
        <f>AF82</f>
        <v>1300.3699999999999</v>
      </c>
      <c r="AH82" s="18"/>
      <c r="AI82" s="3"/>
      <c r="AJ82" s="3"/>
      <c r="AK82" s="3"/>
      <c r="AL82" s="15">
        <f>AH82+AI82+AJ82+AK82+AG82</f>
        <v>1300.3699999999999</v>
      </c>
      <c r="AM82" s="15">
        <f>AB82-AL82</f>
        <v>0</v>
      </c>
      <c r="AN82" s="15">
        <f>AM82</f>
        <v>0</v>
      </c>
      <c r="AO82" s="15">
        <f>AM82-AN82</f>
        <v>0</v>
      </c>
      <c r="AQ82" s="15">
        <f>AL82-AF82</f>
        <v>0</v>
      </c>
    </row>
    <row r="83" spans="1:43" hidden="1" x14ac:dyDescent="0.25">
      <c r="A83">
        <v>48</v>
      </c>
      <c r="B83" s="10" t="s">
        <v>251</v>
      </c>
      <c r="C83" s="10" t="s">
        <v>1137</v>
      </c>
      <c r="D83" s="3" t="s">
        <v>252</v>
      </c>
      <c r="E83" s="3" t="s">
        <v>253</v>
      </c>
      <c r="F83" s="3" t="s">
        <v>254</v>
      </c>
      <c r="G83" s="3" t="s">
        <v>201</v>
      </c>
      <c r="H83" s="3" t="s">
        <v>14</v>
      </c>
      <c r="I83" s="3" t="s">
        <v>6</v>
      </c>
      <c r="J83" s="3" t="s">
        <v>33</v>
      </c>
      <c r="K83" s="3" t="s">
        <v>255</v>
      </c>
      <c r="L83" s="3"/>
      <c r="M83" s="3"/>
      <c r="N83" s="3"/>
      <c r="O83" s="3">
        <v>2037</v>
      </c>
      <c r="P83" s="3"/>
      <c r="Q83" s="4">
        <v>46080</v>
      </c>
      <c r="R83" s="5">
        <v>2255.15</v>
      </c>
      <c r="S83" s="3">
        <v>226</v>
      </c>
      <c r="T83" s="3"/>
      <c r="U83" s="3">
        <v>0</v>
      </c>
      <c r="V83" s="3" t="s">
        <v>8</v>
      </c>
      <c r="W83" s="5">
        <v>1785.95</v>
      </c>
      <c r="X83" s="3">
        <v>0</v>
      </c>
      <c r="Y83" s="3">
        <v>0</v>
      </c>
      <c r="Z83" s="3">
        <v>0</v>
      </c>
      <c r="AA83" s="3">
        <v>0</v>
      </c>
      <c r="AB83" s="5">
        <v>1785.95</v>
      </c>
      <c r="AD83" s="25"/>
      <c r="AE83" s="25"/>
      <c r="AF83" s="26"/>
      <c r="AG83" s="32"/>
      <c r="AH83" s="18"/>
      <c r="AI83" s="3"/>
      <c r="AJ83" s="3"/>
      <c r="AK83" s="3"/>
      <c r="AL83" s="15">
        <f>AH83+AI83+AJ83+AK83+AG83</f>
        <v>0</v>
      </c>
      <c r="AM83" s="15">
        <f>AB83-AL83</f>
        <v>1785.95</v>
      </c>
      <c r="AN83" s="15">
        <f>AM83</f>
        <v>1785.95</v>
      </c>
      <c r="AO83" s="15">
        <f>AM83-AN83</f>
        <v>0</v>
      </c>
      <c r="AQ83" s="15">
        <f>AL83-AF83</f>
        <v>0</v>
      </c>
    </row>
    <row r="84" spans="1:43" hidden="1" x14ac:dyDescent="0.25">
      <c r="A84">
        <v>49</v>
      </c>
      <c r="B84" s="10" t="s">
        <v>256</v>
      </c>
      <c r="C84" s="10" t="s">
        <v>1029</v>
      </c>
      <c r="D84" s="3" t="s">
        <v>257</v>
      </c>
      <c r="E84" s="3" t="s">
        <v>258</v>
      </c>
      <c r="F84" s="3" t="s">
        <v>259</v>
      </c>
      <c r="G84" s="3" t="s">
        <v>260</v>
      </c>
      <c r="H84" s="3" t="s">
        <v>14</v>
      </c>
      <c r="I84" s="3" t="s">
        <v>6</v>
      </c>
      <c r="J84" s="3"/>
      <c r="K84" s="3" t="s">
        <v>261</v>
      </c>
      <c r="L84" s="3"/>
      <c r="M84" s="3"/>
      <c r="N84" s="3"/>
      <c r="O84" s="3">
        <v>1630</v>
      </c>
      <c r="P84" s="3"/>
      <c r="Q84" s="4">
        <v>46064</v>
      </c>
      <c r="R84" s="5">
        <v>1320.2</v>
      </c>
      <c r="S84" s="3">
        <v>818</v>
      </c>
      <c r="T84" s="3"/>
      <c r="U84" s="3">
        <v>0</v>
      </c>
      <c r="V84" s="3" t="s">
        <v>8</v>
      </c>
      <c r="W84" s="5">
        <v>182005.46</v>
      </c>
      <c r="X84" s="5">
        <v>168267.56</v>
      </c>
      <c r="Y84" s="3">
        <v>0</v>
      </c>
      <c r="Z84" s="3">
        <v>0</v>
      </c>
      <c r="AA84" s="3">
        <v>0</v>
      </c>
      <c r="AB84" s="5">
        <v>350273.02</v>
      </c>
      <c r="AD84" s="25" t="s">
        <v>1154</v>
      </c>
      <c r="AE84" s="25" t="s">
        <v>1195</v>
      </c>
      <c r="AF84" s="58">
        <v>168267.56</v>
      </c>
      <c r="AG84" s="32"/>
      <c r="AH84" s="19">
        <f>AF84</f>
        <v>168267.56</v>
      </c>
      <c r="AI84" s="3"/>
      <c r="AJ84" s="3"/>
      <c r="AK84" s="3"/>
      <c r="AL84" s="15">
        <f>AH84+AI84+AJ84+AK84+AG84</f>
        <v>168267.56</v>
      </c>
      <c r="AM84" s="15">
        <f>AB84-AL84</f>
        <v>182005.46000000002</v>
      </c>
      <c r="AN84">
        <v>182005.46</v>
      </c>
      <c r="AO84" s="15">
        <f>AM84-AN84</f>
        <v>0</v>
      </c>
      <c r="AQ84" s="15">
        <f>AL84-AF84</f>
        <v>0</v>
      </c>
    </row>
    <row r="85" spans="1:43" s="43" customFormat="1" hidden="1" x14ac:dyDescent="0.25">
      <c r="A85">
        <v>50</v>
      </c>
      <c r="B85" s="10" t="s">
        <v>262</v>
      </c>
      <c r="C85" s="10" t="s">
        <v>1030</v>
      </c>
      <c r="D85" s="3" t="s">
        <v>263</v>
      </c>
      <c r="E85" s="3" t="s">
        <v>264</v>
      </c>
      <c r="F85" s="3" t="s">
        <v>265</v>
      </c>
      <c r="G85" s="3" t="s">
        <v>266</v>
      </c>
      <c r="H85" s="3" t="s">
        <v>14</v>
      </c>
      <c r="I85" s="3" t="s">
        <v>6</v>
      </c>
      <c r="J85" s="3" t="s">
        <v>15</v>
      </c>
      <c r="K85" s="3" t="s">
        <v>267</v>
      </c>
      <c r="L85" s="3"/>
      <c r="M85" s="3"/>
      <c r="N85" s="3" t="s">
        <v>22</v>
      </c>
      <c r="O85" s="3"/>
      <c r="P85" s="3"/>
      <c r="Q85" s="4">
        <v>46081</v>
      </c>
      <c r="R85" s="5">
        <v>10832.23</v>
      </c>
      <c r="S85" s="3">
        <v>202</v>
      </c>
      <c r="T85" s="3"/>
      <c r="U85" s="3">
        <v>0</v>
      </c>
      <c r="V85" s="3" t="s">
        <v>8</v>
      </c>
      <c r="W85" s="5">
        <v>10832.23</v>
      </c>
      <c r="X85" s="3">
        <v>0</v>
      </c>
      <c r="Y85" s="3">
        <v>0</v>
      </c>
      <c r="Z85" s="3">
        <v>0</v>
      </c>
      <c r="AA85" s="3">
        <v>0</v>
      </c>
      <c r="AB85" s="5">
        <v>10832.23</v>
      </c>
      <c r="AC85" s="13"/>
      <c r="AD85" s="25" t="s">
        <v>1201</v>
      </c>
      <c r="AE85" s="25" t="s">
        <v>263</v>
      </c>
      <c r="AF85" s="26">
        <v>10832.23</v>
      </c>
      <c r="AG85" s="33">
        <f>AF85</f>
        <v>10832.23</v>
      </c>
      <c r="AH85" s="18"/>
      <c r="AI85" s="3"/>
      <c r="AJ85" s="3"/>
      <c r="AK85" s="3"/>
      <c r="AL85" s="15">
        <f>AH85+AI85+AJ85+AK85+AG85</f>
        <v>10832.23</v>
      </c>
      <c r="AM85" s="15">
        <f>AB85-AL85</f>
        <v>0</v>
      </c>
      <c r="AN85" s="15">
        <f>AM85</f>
        <v>0</v>
      </c>
      <c r="AO85" s="15">
        <f>AM85-AN85</f>
        <v>0</v>
      </c>
      <c r="AP85" s="13"/>
      <c r="AQ85" s="15">
        <f>AL85-AF85</f>
        <v>0</v>
      </c>
    </row>
    <row r="86" spans="1:43" hidden="1" x14ac:dyDescent="0.25">
      <c r="A86">
        <v>52</v>
      </c>
      <c r="B86" s="10" t="s">
        <v>274</v>
      </c>
      <c r="C86" s="10" t="s">
        <v>1031</v>
      </c>
      <c r="D86" s="3" t="s">
        <v>275</v>
      </c>
      <c r="E86" s="3" t="s">
        <v>276</v>
      </c>
      <c r="F86" s="3" t="s">
        <v>277</v>
      </c>
      <c r="G86" s="3" t="s">
        <v>278</v>
      </c>
      <c r="H86" s="3" t="s">
        <v>14</v>
      </c>
      <c r="I86" s="3" t="s">
        <v>6</v>
      </c>
      <c r="J86" s="3" t="s">
        <v>15</v>
      </c>
      <c r="K86" s="3" t="s">
        <v>279</v>
      </c>
      <c r="L86" s="3" t="s">
        <v>76</v>
      </c>
      <c r="M86" s="3" t="s">
        <v>69</v>
      </c>
      <c r="N86" s="3" t="s">
        <v>22</v>
      </c>
      <c r="O86" s="3">
        <v>2123</v>
      </c>
      <c r="P86" s="3"/>
      <c r="Q86" s="4">
        <v>46081</v>
      </c>
      <c r="R86" s="5">
        <v>126.17</v>
      </c>
      <c r="S86" s="3">
        <v>108</v>
      </c>
      <c r="T86" s="3"/>
      <c r="U86" s="3">
        <v>0</v>
      </c>
      <c r="V86" s="3" t="s">
        <v>8</v>
      </c>
      <c r="W86" s="5">
        <v>126.17</v>
      </c>
      <c r="X86" s="3">
        <v>0</v>
      </c>
      <c r="Y86" s="3">
        <v>0</v>
      </c>
      <c r="Z86" s="3">
        <v>0</v>
      </c>
      <c r="AA86" s="3">
        <v>0</v>
      </c>
      <c r="AB86" s="5">
        <v>126.17</v>
      </c>
      <c r="AD86" s="25"/>
      <c r="AE86" s="25"/>
      <c r="AF86" s="25"/>
      <c r="AG86" s="32"/>
      <c r="AH86" s="18"/>
      <c r="AI86" s="3"/>
      <c r="AJ86" s="3"/>
      <c r="AK86" s="3"/>
      <c r="AL86" s="15">
        <f>AH86+AI86+AJ86+AK86+AG86</f>
        <v>0</v>
      </c>
      <c r="AM86" s="15">
        <f>AB86-AL86</f>
        <v>126.17</v>
      </c>
      <c r="AN86" s="15">
        <f>AM86</f>
        <v>126.17</v>
      </c>
      <c r="AO86" s="15">
        <f>AM86-AN86</f>
        <v>0</v>
      </c>
      <c r="AQ86" s="15">
        <f>AL86-AF86</f>
        <v>0</v>
      </c>
    </row>
    <row r="87" spans="1:43" hidden="1" x14ac:dyDescent="0.25">
      <c r="A87">
        <v>53</v>
      </c>
      <c r="B87" s="10" t="s">
        <v>280</v>
      </c>
      <c r="C87" s="10" t="s">
        <v>1032</v>
      </c>
      <c r="D87" s="3" t="s">
        <v>281</v>
      </c>
      <c r="E87" s="3" t="s">
        <v>282</v>
      </c>
      <c r="F87" s="3" t="s">
        <v>283</v>
      </c>
      <c r="G87" s="3" t="s">
        <v>284</v>
      </c>
      <c r="H87" s="3" t="s">
        <v>14</v>
      </c>
      <c r="I87" s="3" t="s">
        <v>6</v>
      </c>
      <c r="J87" s="3" t="s">
        <v>15</v>
      </c>
      <c r="K87" s="3" t="s">
        <v>285</v>
      </c>
      <c r="L87" s="3"/>
      <c r="M87" s="3"/>
      <c r="N87" s="3"/>
      <c r="O87" s="3">
        <v>2192</v>
      </c>
      <c r="P87" s="3"/>
      <c r="Q87" s="4">
        <v>46081</v>
      </c>
      <c r="R87" s="5">
        <v>358.11</v>
      </c>
      <c r="S87" s="3">
        <v>108</v>
      </c>
      <c r="T87" s="3"/>
      <c r="U87" s="3">
        <v>0</v>
      </c>
      <c r="V87" s="3" t="s">
        <v>8</v>
      </c>
      <c r="W87" s="5">
        <v>358.11</v>
      </c>
      <c r="X87" s="3">
        <v>0</v>
      </c>
      <c r="Y87" s="3">
        <v>0</v>
      </c>
      <c r="Z87" s="3">
        <v>0</v>
      </c>
      <c r="AA87" s="3">
        <v>0</v>
      </c>
      <c r="AB87" s="5">
        <v>358.11</v>
      </c>
      <c r="AD87" s="25" t="s">
        <v>1201</v>
      </c>
      <c r="AE87" s="25" t="s">
        <v>281</v>
      </c>
      <c r="AF87" s="26">
        <v>358.11</v>
      </c>
      <c r="AG87" s="33">
        <f>W87</f>
        <v>358.11</v>
      </c>
      <c r="AH87" s="18"/>
      <c r="AI87" s="3"/>
      <c r="AJ87" s="3"/>
      <c r="AK87" s="3"/>
      <c r="AL87" s="15">
        <f>AH87+AI87+AJ87+AK87+AG87</f>
        <v>358.11</v>
      </c>
      <c r="AM87" s="15">
        <f>AB87-AL87</f>
        <v>0</v>
      </c>
      <c r="AN87" s="15">
        <f>AM87</f>
        <v>0</v>
      </c>
      <c r="AO87" s="15">
        <f>AM87-AN87</f>
        <v>0</v>
      </c>
      <c r="AQ87" s="15">
        <f>AL87-AF87</f>
        <v>0</v>
      </c>
    </row>
    <row r="88" spans="1:43" hidden="1" x14ac:dyDescent="0.25">
      <c r="A88" s="43">
        <v>54</v>
      </c>
      <c r="B88" s="41" t="s">
        <v>286</v>
      </c>
      <c r="C88" s="41" t="s">
        <v>1034</v>
      </c>
      <c r="D88" s="40" t="s">
        <v>287</v>
      </c>
      <c r="E88" s="40" t="s">
        <v>288</v>
      </c>
      <c r="F88" s="40" t="s">
        <v>289</v>
      </c>
      <c r="G88" s="40" t="s">
        <v>290</v>
      </c>
      <c r="H88" s="40" t="s">
        <v>14</v>
      </c>
      <c r="I88" s="40" t="s">
        <v>6</v>
      </c>
      <c r="J88" s="40" t="s">
        <v>15</v>
      </c>
      <c r="K88" s="40" t="s">
        <v>291</v>
      </c>
      <c r="L88" s="40"/>
      <c r="M88" s="40"/>
      <c r="N88" s="40"/>
      <c r="O88" s="40">
        <v>1504</v>
      </c>
      <c r="P88" s="40"/>
      <c r="Q88" s="42">
        <v>46081</v>
      </c>
      <c r="R88" s="16">
        <v>70687.3</v>
      </c>
      <c r="S88" s="40">
        <v>429</v>
      </c>
      <c r="T88" s="40" t="s">
        <v>292</v>
      </c>
      <c r="U88" s="40">
        <v>0</v>
      </c>
      <c r="V88" s="40" t="s">
        <v>8</v>
      </c>
      <c r="W88" s="16">
        <v>1610</v>
      </c>
      <c r="X88" s="40">
        <v>0</v>
      </c>
      <c r="Y88" s="40">
        <v>0</v>
      </c>
      <c r="Z88" s="40">
        <v>0</v>
      </c>
      <c r="AA88" s="40">
        <v>0</v>
      </c>
      <c r="AB88" s="16">
        <v>1610</v>
      </c>
      <c r="AC88" s="43"/>
      <c r="AD88" s="44" t="s">
        <v>1154</v>
      </c>
      <c r="AE88" s="44" t="s">
        <v>1159</v>
      </c>
      <c r="AF88" s="27">
        <v>1207.5</v>
      </c>
      <c r="AG88" s="48"/>
      <c r="AH88" s="20">
        <f>AF88</f>
        <v>1207.5</v>
      </c>
      <c r="AI88" s="40"/>
      <c r="AJ88" s="40"/>
      <c r="AK88" s="40"/>
      <c r="AL88" s="17">
        <f>AH88+AI88+AJ88+AK88+AG88</f>
        <v>1207.5</v>
      </c>
      <c r="AM88" s="17">
        <f>AB88-AL88</f>
        <v>402.5</v>
      </c>
      <c r="AN88" s="17">
        <v>402.5</v>
      </c>
      <c r="AO88" s="17">
        <f>AM88-AN88</f>
        <v>0</v>
      </c>
      <c r="AP88" s="43"/>
      <c r="AQ88" s="17">
        <f>AL88-AF88</f>
        <v>0</v>
      </c>
    </row>
    <row r="89" spans="1:43" hidden="1" x14ac:dyDescent="0.25">
      <c r="A89">
        <v>55</v>
      </c>
      <c r="B89" s="10" t="s">
        <v>293</v>
      </c>
      <c r="C89" s="10" t="s">
        <v>1033</v>
      </c>
      <c r="D89" s="3" t="s">
        <v>294</v>
      </c>
      <c r="E89" s="3" t="s">
        <v>295</v>
      </c>
      <c r="F89" s="6" t="s">
        <v>296</v>
      </c>
      <c r="G89" s="3" t="s">
        <v>297</v>
      </c>
      <c r="H89" s="3" t="s">
        <v>14</v>
      </c>
      <c r="I89" s="3" t="s">
        <v>6</v>
      </c>
      <c r="J89" s="3" t="s">
        <v>15</v>
      </c>
      <c r="K89" s="3" t="s">
        <v>298</v>
      </c>
      <c r="L89" s="3"/>
      <c r="M89" s="3"/>
      <c r="N89" s="3" t="s">
        <v>22</v>
      </c>
      <c r="O89" s="3"/>
      <c r="P89" s="3"/>
      <c r="Q89" s="4">
        <v>46052</v>
      </c>
      <c r="R89" s="5">
        <v>2012.5</v>
      </c>
      <c r="S89" s="3">
        <v>32</v>
      </c>
      <c r="T89" s="3"/>
      <c r="U89" s="3">
        <v>0</v>
      </c>
      <c r="V89" s="3" t="s">
        <v>8</v>
      </c>
      <c r="W89" s="5">
        <v>2012.5</v>
      </c>
      <c r="X89" s="3">
        <v>0</v>
      </c>
      <c r="Y89" s="3">
        <v>0</v>
      </c>
      <c r="Z89" s="3">
        <v>0</v>
      </c>
      <c r="AA89" s="3">
        <v>0</v>
      </c>
      <c r="AB89" s="5">
        <v>2012.5</v>
      </c>
      <c r="AD89" s="25"/>
      <c r="AE89" s="25"/>
      <c r="AF89" s="25"/>
      <c r="AG89" s="32"/>
      <c r="AH89" s="18"/>
      <c r="AI89" s="3"/>
      <c r="AJ89" s="3"/>
      <c r="AK89" s="3"/>
      <c r="AL89" s="15">
        <f>AH89+AI89+AJ89+AK89+AG89</f>
        <v>0</v>
      </c>
      <c r="AM89" s="15">
        <f>AB89-AL89</f>
        <v>2012.5</v>
      </c>
      <c r="AN89" s="15">
        <f>AM89</f>
        <v>2012.5</v>
      </c>
      <c r="AO89" s="15">
        <f>AM89-AN89</f>
        <v>0</v>
      </c>
      <c r="AQ89" s="15">
        <f>AL89-AF89</f>
        <v>0</v>
      </c>
    </row>
    <row r="90" spans="1:43" hidden="1" x14ac:dyDescent="0.25">
      <c r="A90">
        <v>57</v>
      </c>
      <c r="B90" s="10" t="s">
        <v>306</v>
      </c>
      <c r="C90" s="10" t="s">
        <v>1036</v>
      </c>
      <c r="D90" s="3" t="s">
        <v>307</v>
      </c>
      <c r="E90" s="3" t="s">
        <v>308</v>
      </c>
      <c r="F90" s="3" t="s">
        <v>309</v>
      </c>
      <c r="G90" s="3" t="s">
        <v>310</v>
      </c>
      <c r="H90" s="3" t="s">
        <v>14</v>
      </c>
      <c r="I90" s="3" t="s">
        <v>6</v>
      </c>
      <c r="J90" s="3"/>
      <c r="K90" s="3" t="s">
        <v>311</v>
      </c>
      <c r="L90" s="3"/>
      <c r="M90" s="3"/>
      <c r="N90" s="3" t="s">
        <v>22</v>
      </c>
      <c r="O90" s="3"/>
      <c r="P90" s="3"/>
      <c r="Q90" s="4">
        <v>46081</v>
      </c>
      <c r="R90" s="5">
        <v>94.48</v>
      </c>
      <c r="S90" s="3">
        <v>43</v>
      </c>
      <c r="T90" s="3"/>
      <c r="U90" s="3">
        <v>0</v>
      </c>
      <c r="V90" s="3" t="s">
        <v>8</v>
      </c>
      <c r="W90" s="5">
        <v>94.48</v>
      </c>
      <c r="X90" s="3">
        <v>0</v>
      </c>
      <c r="Y90" s="3">
        <v>0</v>
      </c>
      <c r="Z90" s="3">
        <v>0</v>
      </c>
      <c r="AA90" s="3">
        <v>0</v>
      </c>
      <c r="AB90" s="5">
        <v>94.48</v>
      </c>
      <c r="AD90" s="25"/>
      <c r="AE90" s="25"/>
      <c r="AF90" s="25"/>
      <c r="AG90" s="32"/>
      <c r="AH90" s="18"/>
      <c r="AI90" s="3"/>
      <c r="AJ90" s="3"/>
      <c r="AK90" s="3"/>
      <c r="AL90" s="15">
        <f>AH90+AI90+AJ90+AK90+AG90</f>
        <v>0</v>
      </c>
      <c r="AM90" s="15">
        <f>AB90-AL90</f>
        <v>94.48</v>
      </c>
      <c r="AN90" s="15">
        <f>AM90</f>
        <v>94.48</v>
      </c>
      <c r="AO90" s="15">
        <f>AM90-AN90</f>
        <v>0</v>
      </c>
      <c r="AQ90" s="15">
        <f>AL90-AF90</f>
        <v>0</v>
      </c>
    </row>
    <row r="91" spans="1:43" hidden="1" x14ac:dyDescent="0.25">
      <c r="A91">
        <v>62</v>
      </c>
      <c r="B91" s="10" t="s">
        <v>336</v>
      </c>
      <c r="C91" s="10" t="s">
        <v>1039</v>
      </c>
      <c r="D91" s="3" t="s">
        <v>337</v>
      </c>
      <c r="E91" s="3" t="s">
        <v>338</v>
      </c>
      <c r="F91" s="3" t="s">
        <v>339</v>
      </c>
      <c r="G91" s="3"/>
      <c r="H91" s="3" t="s">
        <v>14</v>
      </c>
      <c r="I91" s="3" t="s">
        <v>6</v>
      </c>
      <c r="J91" s="3" t="s">
        <v>33</v>
      </c>
      <c r="K91" s="3" t="s">
        <v>340</v>
      </c>
      <c r="L91" s="3"/>
      <c r="M91" s="3"/>
      <c r="N91" s="3"/>
      <c r="O91" s="3">
        <v>1508</v>
      </c>
      <c r="P91" s="3"/>
      <c r="Q91" s="4">
        <v>46059</v>
      </c>
      <c r="R91" s="5">
        <v>411032.32000000001</v>
      </c>
      <c r="S91" s="3">
        <v>547</v>
      </c>
      <c r="T91" s="3"/>
      <c r="U91" s="3">
        <v>0</v>
      </c>
      <c r="V91" s="3" t="s">
        <v>8</v>
      </c>
      <c r="W91" s="5">
        <v>414083.61</v>
      </c>
      <c r="X91" s="3">
        <v>0</v>
      </c>
      <c r="Y91" s="3">
        <v>0</v>
      </c>
      <c r="Z91" s="3">
        <v>0.02</v>
      </c>
      <c r="AA91" s="5">
        <v>19676.48</v>
      </c>
      <c r="AB91" s="5">
        <v>433760.11</v>
      </c>
      <c r="AD91" s="25" t="s">
        <v>1167</v>
      </c>
      <c r="AE91" s="25" t="s">
        <v>1196</v>
      </c>
      <c r="AF91" s="58">
        <v>210027.61</v>
      </c>
      <c r="AG91" s="33">
        <f>AF91</f>
        <v>210027.61</v>
      </c>
      <c r="AH91" s="18"/>
      <c r="AI91" s="3"/>
      <c r="AJ91" s="3"/>
      <c r="AK91" s="5"/>
      <c r="AL91" s="15">
        <f>AH91+AI91+AJ91+AK91+AG91</f>
        <v>210027.61</v>
      </c>
      <c r="AM91" s="15">
        <f>AB91-AL91</f>
        <v>223732.5</v>
      </c>
      <c r="AN91">
        <v>223732.5</v>
      </c>
      <c r="AO91" s="15">
        <f>AM91-AN91</f>
        <v>0</v>
      </c>
      <c r="AQ91" s="15">
        <f>AL91-AF91</f>
        <v>0</v>
      </c>
    </row>
    <row r="92" spans="1:43" hidden="1" x14ac:dyDescent="0.25">
      <c r="A92">
        <v>61</v>
      </c>
      <c r="B92" s="10" t="s">
        <v>330</v>
      </c>
      <c r="C92" s="10" t="s">
        <v>1038</v>
      </c>
      <c r="D92" s="3" t="s">
        <v>331</v>
      </c>
      <c r="E92" s="3" t="s">
        <v>332</v>
      </c>
      <c r="F92" s="3" t="s">
        <v>333</v>
      </c>
      <c r="G92" s="3" t="s">
        <v>334</v>
      </c>
      <c r="H92" s="3" t="s">
        <v>14</v>
      </c>
      <c r="I92" s="3" t="s">
        <v>6</v>
      </c>
      <c r="J92" s="3" t="s">
        <v>15</v>
      </c>
      <c r="K92" s="3" t="s">
        <v>335</v>
      </c>
      <c r="L92" s="3"/>
      <c r="M92" s="3"/>
      <c r="N92" s="3"/>
      <c r="O92" s="3">
        <v>2041</v>
      </c>
      <c r="P92" s="3"/>
      <c r="Q92" s="4">
        <v>46081</v>
      </c>
      <c r="R92" s="5">
        <v>139.1</v>
      </c>
      <c r="S92" s="3">
        <v>148</v>
      </c>
      <c r="T92" s="3"/>
      <c r="U92" s="3">
        <v>0</v>
      </c>
      <c r="V92" s="3" t="s">
        <v>8</v>
      </c>
      <c r="W92" s="5">
        <v>139.1</v>
      </c>
      <c r="X92" s="3">
        <v>0</v>
      </c>
      <c r="Y92" s="3">
        <v>0</v>
      </c>
      <c r="Z92" s="3">
        <v>0</v>
      </c>
      <c r="AA92" s="3">
        <v>0</v>
      </c>
      <c r="AB92" s="5">
        <v>139.1</v>
      </c>
      <c r="AD92" s="25"/>
      <c r="AE92" s="25"/>
      <c r="AF92" s="25"/>
      <c r="AG92" s="32"/>
      <c r="AH92" s="18"/>
      <c r="AI92" s="3"/>
      <c r="AJ92" s="3"/>
      <c r="AK92" s="3"/>
      <c r="AL92" s="15">
        <f>AH92+AI92+AJ92+AK92+AG92</f>
        <v>0</v>
      </c>
      <c r="AM92" s="15">
        <f>AB92-AL92</f>
        <v>139.1</v>
      </c>
      <c r="AN92" s="15">
        <f>AM92</f>
        <v>139.1</v>
      </c>
      <c r="AO92" s="15">
        <f>AM92-AN92</f>
        <v>0</v>
      </c>
      <c r="AQ92" s="15">
        <f>AL92-AF92</f>
        <v>0</v>
      </c>
    </row>
    <row r="93" spans="1:43" hidden="1" x14ac:dyDescent="0.25">
      <c r="A93">
        <v>63</v>
      </c>
      <c r="B93" s="10" t="s">
        <v>341</v>
      </c>
      <c r="C93" s="10" t="s">
        <v>1040</v>
      </c>
      <c r="D93" s="3" t="s">
        <v>342</v>
      </c>
      <c r="E93" s="3" t="s">
        <v>343</v>
      </c>
      <c r="F93" s="6" t="s">
        <v>344</v>
      </c>
      <c r="G93" s="3" t="s">
        <v>345</v>
      </c>
      <c r="H93" s="3" t="s">
        <v>14</v>
      </c>
      <c r="I93" s="3" t="s">
        <v>6</v>
      </c>
      <c r="J93" s="3" t="s">
        <v>33</v>
      </c>
      <c r="K93" s="3" t="s">
        <v>346</v>
      </c>
      <c r="L93" s="3"/>
      <c r="M93" s="3"/>
      <c r="N93" s="3" t="s">
        <v>22</v>
      </c>
      <c r="O93" s="3"/>
      <c r="P93" s="3"/>
      <c r="Q93" s="4">
        <v>46015</v>
      </c>
      <c r="R93" s="5">
        <v>9136.5499999999993</v>
      </c>
      <c r="S93" s="3">
        <v>376</v>
      </c>
      <c r="T93" s="3"/>
      <c r="U93" s="3">
        <v>0</v>
      </c>
      <c r="V93" s="3" t="s">
        <v>8</v>
      </c>
      <c r="W93" s="5">
        <v>17275.78</v>
      </c>
      <c r="X93" s="5">
        <v>17460.96</v>
      </c>
      <c r="Y93" s="5">
        <v>16472.599999999999</v>
      </c>
      <c r="Z93" s="5">
        <v>16472.599999999999</v>
      </c>
      <c r="AA93" s="5">
        <v>45682.8</v>
      </c>
      <c r="AB93" s="5">
        <v>113364.74</v>
      </c>
      <c r="AD93" s="25" t="s">
        <v>1177</v>
      </c>
      <c r="AE93" s="25" t="s">
        <v>1178</v>
      </c>
      <c r="AF93" s="26">
        <v>15000</v>
      </c>
      <c r="AG93" s="32"/>
      <c r="AH93" s="19"/>
      <c r="AI93" s="5"/>
      <c r="AJ93" s="5"/>
      <c r="AK93" s="5">
        <f>AF93</f>
        <v>15000</v>
      </c>
      <c r="AL93" s="15">
        <f>AH93+AI93+AJ93+AK93+AG93</f>
        <v>15000</v>
      </c>
      <c r="AM93" s="15">
        <f>AB93-AL93</f>
        <v>98364.74</v>
      </c>
      <c r="AN93">
        <v>98364.74</v>
      </c>
      <c r="AO93" s="15">
        <f>AM93-AN93</f>
        <v>0</v>
      </c>
      <c r="AQ93" s="15">
        <f>AL93-AF93</f>
        <v>0</v>
      </c>
    </row>
    <row r="94" spans="1:43" hidden="1" x14ac:dyDescent="0.25">
      <c r="A94">
        <v>64</v>
      </c>
      <c r="B94" s="10" t="s">
        <v>347</v>
      </c>
      <c r="C94" s="10" t="s">
        <v>1041</v>
      </c>
      <c r="D94" s="3" t="s">
        <v>348</v>
      </c>
      <c r="E94" s="3" t="s">
        <v>349</v>
      </c>
      <c r="F94" s="3" t="s">
        <v>350</v>
      </c>
      <c r="G94" s="3" t="s">
        <v>351</v>
      </c>
      <c r="H94" s="3" t="s">
        <v>14</v>
      </c>
      <c r="I94" s="3" t="s">
        <v>6</v>
      </c>
      <c r="J94" s="3"/>
      <c r="K94" s="3" t="s">
        <v>352</v>
      </c>
      <c r="L94" s="3"/>
      <c r="M94" s="3"/>
      <c r="N94" s="3" t="s">
        <v>22</v>
      </c>
      <c r="O94" s="3"/>
      <c r="P94" s="3"/>
      <c r="Q94" s="4">
        <v>46081</v>
      </c>
      <c r="R94" s="5">
        <v>2697.9</v>
      </c>
      <c r="S94" s="3">
        <v>30</v>
      </c>
      <c r="T94" s="3"/>
      <c r="U94" s="3">
        <v>0</v>
      </c>
      <c r="V94" s="3" t="s">
        <v>8</v>
      </c>
      <c r="W94" s="5">
        <v>-172.12</v>
      </c>
      <c r="X94" s="3">
        <v>0</v>
      </c>
      <c r="Y94" s="3">
        <v>0</v>
      </c>
      <c r="Z94" s="3">
        <v>0</v>
      </c>
      <c r="AA94" s="3">
        <v>0</v>
      </c>
      <c r="AB94" s="5">
        <v>-172.12</v>
      </c>
      <c r="AD94" s="25"/>
      <c r="AE94" s="25"/>
      <c r="AF94" s="25"/>
      <c r="AG94" s="32"/>
      <c r="AH94" s="18"/>
      <c r="AI94" s="3"/>
      <c r="AJ94" s="3"/>
      <c r="AK94" s="3"/>
      <c r="AL94" s="15">
        <f>AH94+AI94+AJ94+AK94+AG94</f>
        <v>0</v>
      </c>
      <c r="AM94" s="15">
        <f>AB94-AL94</f>
        <v>-172.12</v>
      </c>
      <c r="AN94">
        <v>-172.12</v>
      </c>
      <c r="AO94" s="15">
        <f>AM94-AN94</f>
        <v>0</v>
      </c>
      <c r="AQ94" s="15">
        <f>AL94-AF94</f>
        <v>0</v>
      </c>
    </row>
    <row r="95" spans="1:43" s="43" customFormat="1" hidden="1" x14ac:dyDescent="0.25">
      <c r="A95">
        <v>65</v>
      </c>
      <c r="B95" s="10" t="s">
        <v>353</v>
      </c>
      <c r="C95" s="10" t="s">
        <v>1042</v>
      </c>
      <c r="D95" s="3" t="s">
        <v>354</v>
      </c>
      <c r="E95" s="3" t="s">
        <v>355</v>
      </c>
      <c r="F95" s="3" t="s">
        <v>356</v>
      </c>
      <c r="G95" s="3" t="s">
        <v>357</v>
      </c>
      <c r="H95" s="3" t="s">
        <v>14</v>
      </c>
      <c r="I95" s="3" t="s">
        <v>6</v>
      </c>
      <c r="J95" s="3" t="s">
        <v>15</v>
      </c>
      <c r="K95" s="3" t="s">
        <v>358</v>
      </c>
      <c r="L95" s="3"/>
      <c r="M95" s="3"/>
      <c r="N95" s="3" t="s">
        <v>22</v>
      </c>
      <c r="O95" s="3"/>
      <c r="P95" s="3"/>
      <c r="Q95" s="4">
        <v>46003</v>
      </c>
      <c r="R95" s="5">
        <v>-4524.28</v>
      </c>
      <c r="S95" s="3">
        <v>93</v>
      </c>
      <c r="T95" s="3"/>
      <c r="U95" s="3">
        <v>0</v>
      </c>
      <c r="V95" s="3" t="s">
        <v>8</v>
      </c>
      <c r="W95" s="5">
        <v>4795.7299999999996</v>
      </c>
      <c r="X95" s="5">
        <v>4795.7299999999996</v>
      </c>
      <c r="Y95" s="5">
        <v>4524.28</v>
      </c>
      <c r="Z95" s="5">
        <v>4524.28</v>
      </c>
      <c r="AA95" s="5">
        <v>4524.28</v>
      </c>
      <c r="AB95" s="5">
        <v>23164.3</v>
      </c>
      <c r="AC95" s="13"/>
      <c r="AD95" s="25"/>
      <c r="AE95" s="25"/>
      <c r="AF95" s="25"/>
      <c r="AG95" s="32"/>
      <c r="AH95" s="19"/>
      <c r="AI95" s="5"/>
      <c r="AJ95" s="5"/>
      <c r="AK95" s="5"/>
      <c r="AL95" s="15">
        <f>AH95+AI95+AJ95+AK95+AG95</f>
        <v>0</v>
      </c>
      <c r="AM95" s="15">
        <f>AB95-AL95</f>
        <v>23164.3</v>
      </c>
      <c r="AN95" s="15">
        <f>AM95</f>
        <v>23164.3</v>
      </c>
      <c r="AO95" s="15">
        <f>AM95-AN95</f>
        <v>0</v>
      </c>
      <c r="AP95" s="13"/>
      <c r="AQ95" s="15">
        <f>AL95-AF95</f>
        <v>0</v>
      </c>
    </row>
    <row r="96" spans="1:43" hidden="1" x14ac:dyDescent="0.25">
      <c r="A96">
        <v>67</v>
      </c>
      <c r="B96" s="10" t="s">
        <v>365</v>
      </c>
      <c r="C96" s="10" t="s">
        <v>1043</v>
      </c>
      <c r="D96" s="3" t="s">
        <v>366</v>
      </c>
      <c r="E96" s="3" t="s">
        <v>367</v>
      </c>
      <c r="F96" s="3" t="s">
        <v>368</v>
      </c>
      <c r="G96" s="3" t="s">
        <v>369</v>
      </c>
      <c r="H96" s="3" t="s">
        <v>14</v>
      </c>
      <c r="I96" s="3" t="s">
        <v>6</v>
      </c>
      <c r="J96" s="3" t="s">
        <v>15</v>
      </c>
      <c r="K96" s="3" t="s">
        <v>370</v>
      </c>
      <c r="L96" s="3"/>
      <c r="M96" s="3"/>
      <c r="N96" s="3" t="s">
        <v>22</v>
      </c>
      <c r="O96" s="3">
        <v>2000</v>
      </c>
      <c r="P96" s="3"/>
      <c r="Q96" s="4">
        <v>46081</v>
      </c>
      <c r="R96" s="5">
        <v>8083.26</v>
      </c>
      <c r="S96" s="3">
        <v>191</v>
      </c>
      <c r="T96" s="3"/>
      <c r="U96" s="3">
        <v>0</v>
      </c>
      <c r="V96" s="3" t="s">
        <v>8</v>
      </c>
      <c r="W96" s="5">
        <v>8083.26</v>
      </c>
      <c r="X96" s="3">
        <v>0</v>
      </c>
      <c r="Y96" s="3">
        <v>0</v>
      </c>
      <c r="Z96" s="3">
        <v>0</v>
      </c>
      <c r="AA96" s="3">
        <v>0</v>
      </c>
      <c r="AB96" s="5">
        <v>8083.26</v>
      </c>
      <c r="AD96" s="25" t="s">
        <v>1201</v>
      </c>
      <c r="AE96" s="25" t="s">
        <v>1265</v>
      </c>
      <c r="AF96" s="26">
        <v>8083.26</v>
      </c>
      <c r="AG96" s="33">
        <f>AF96</f>
        <v>8083.26</v>
      </c>
      <c r="AH96" s="18"/>
      <c r="AI96" s="3"/>
      <c r="AJ96" s="3"/>
      <c r="AK96" s="3"/>
      <c r="AL96" s="15">
        <f>AH96+AI96+AJ96+AK96+AG96</f>
        <v>8083.26</v>
      </c>
      <c r="AM96" s="15">
        <f>AB96-AL96</f>
        <v>0</v>
      </c>
      <c r="AN96" s="15">
        <f>AM96</f>
        <v>0</v>
      </c>
      <c r="AO96" s="15">
        <f>AM96-AN96</f>
        <v>0</v>
      </c>
      <c r="AQ96" s="15">
        <f>AL96-AF96</f>
        <v>0</v>
      </c>
    </row>
    <row r="97" spans="1:43" hidden="1" x14ac:dyDescent="0.25">
      <c r="A97">
        <v>68</v>
      </c>
      <c r="B97" s="10" t="s">
        <v>371</v>
      </c>
      <c r="C97" s="10" t="s">
        <v>1044</v>
      </c>
      <c r="D97" s="3" t="s">
        <v>372</v>
      </c>
      <c r="E97" s="3" t="s">
        <v>373</v>
      </c>
      <c r="F97" s="3" t="s">
        <v>374</v>
      </c>
      <c r="G97" s="3" t="s">
        <v>375</v>
      </c>
      <c r="H97" s="3" t="s">
        <v>14</v>
      </c>
      <c r="I97" s="3" t="s">
        <v>6</v>
      </c>
      <c r="J97" s="3" t="s">
        <v>15</v>
      </c>
      <c r="K97" s="3" t="s">
        <v>376</v>
      </c>
      <c r="L97" s="3"/>
      <c r="M97" s="3"/>
      <c r="N97" s="3"/>
      <c r="O97" s="3"/>
      <c r="P97" s="3"/>
      <c r="Q97" s="4">
        <v>46081</v>
      </c>
      <c r="R97" s="5">
        <v>142.54</v>
      </c>
      <c r="S97" s="3">
        <v>40</v>
      </c>
      <c r="T97" s="3"/>
      <c r="U97" s="3">
        <v>0</v>
      </c>
      <c r="V97" s="3" t="s">
        <v>8</v>
      </c>
      <c r="W97" s="5">
        <v>142.54</v>
      </c>
      <c r="X97" s="3">
        <v>0</v>
      </c>
      <c r="Y97" s="3">
        <v>0</v>
      </c>
      <c r="Z97" s="3">
        <v>0</v>
      </c>
      <c r="AA97" s="3">
        <v>0</v>
      </c>
      <c r="AB97" s="5">
        <v>142.54</v>
      </c>
      <c r="AD97" s="25"/>
      <c r="AE97" s="25"/>
      <c r="AF97" s="25"/>
      <c r="AG97" s="32"/>
      <c r="AH97" s="18"/>
      <c r="AI97" s="3"/>
      <c r="AJ97" s="3"/>
      <c r="AK97" s="3"/>
      <c r="AL97" s="15">
        <f>AH97+AI97+AJ97+AK97+AG97</f>
        <v>0</v>
      </c>
      <c r="AM97" s="15">
        <f>AB97-AL97</f>
        <v>142.54</v>
      </c>
      <c r="AN97" s="15">
        <f>AM97</f>
        <v>142.54</v>
      </c>
      <c r="AO97" s="15">
        <f>AM97-AN97</f>
        <v>0</v>
      </c>
      <c r="AQ97" s="15">
        <f>AL97-AF97</f>
        <v>0</v>
      </c>
    </row>
    <row r="98" spans="1:43" hidden="1" x14ac:dyDescent="0.25">
      <c r="A98">
        <v>69</v>
      </c>
      <c r="B98" s="10" t="s">
        <v>377</v>
      </c>
      <c r="C98" s="10" t="s">
        <v>1045</v>
      </c>
      <c r="D98" s="3" t="s">
        <v>378</v>
      </c>
      <c r="E98" s="3" t="s">
        <v>379</v>
      </c>
      <c r="F98" s="3" t="s">
        <v>380</v>
      </c>
      <c r="G98" s="3" t="s">
        <v>381</v>
      </c>
      <c r="H98" s="3" t="s">
        <v>14</v>
      </c>
      <c r="I98" s="3" t="s">
        <v>6</v>
      </c>
      <c r="J98" s="3" t="s">
        <v>15</v>
      </c>
      <c r="K98" s="3" t="s">
        <v>382</v>
      </c>
      <c r="L98" s="3"/>
      <c r="M98" s="3" t="s">
        <v>69</v>
      </c>
      <c r="N98" s="3" t="s">
        <v>22</v>
      </c>
      <c r="O98" s="3"/>
      <c r="P98" s="3"/>
      <c r="Q98" s="4">
        <v>46053</v>
      </c>
      <c r="R98" s="5">
        <v>4635.0600000000004</v>
      </c>
      <c r="S98" s="3">
        <v>124</v>
      </c>
      <c r="T98" s="3"/>
      <c r="U98" s="3">
        <v>0</v>
      </c>
      <c r="V98" s="3" t="s">
        <v>8</v>
      </c>
      <c r="W98" s="5">
        <v>4635.0600000000004</v>
      </c>
      <c r="X98" s="5">
        <v>4635.0600000000004</v>
      </c>
      <c r="Y98" s="3">
        <v>0</v>
      </c>
      <c r="Z98" s="3">
        <v>0</v>
      </c>
      <c r="AA98" s="3">
        <v>0</v>
      </c>
      <c r="AB98" s="5">
        <v>9270.1200000000008</v>
      </c>
      <c r="AD98" s="25" t="s">
        <v>1165</v>
      </c>
      <c r="AE98" s="25" t="s">
        <v>1166</v>
      </c>
      <c r="AF98" s="26">
        <v>4635.0600000000004</v>
      </c>
      <c r="AG98" s="32"/>
      <c r="AH98" s="19">
        <f>AF98</f>
        <v>4635.0600000000004</v>
      </c>
      <c r="AI98" s="3"/>
      <c r="AJ98" s="3"/>
      <c r="AK98" s="3"/>
      <c r="AL98" s="15">
        <f>AH98+AI98+AJ98+AK98+AG98</f>
        <v>4635.0600000000004</v>
      </c>
      <c r="AM98" s="15">
        <f>AB98-AL98</f>
        <v>4635.0600000000004</v>
      </c>
      <c r="AN98">
        <v>4635.0600000000004</v>
      </c>
      <c r="AO98" s="15">
        <f>AM98-AN98</f>
        <v>0</v>
      </c>
      <c r="AQ98" s="15">
        <f>AL98-AF98</f>
        <v>0</v>
      </c>
    </row>
    <row r="99" spans="1:43" hidden="1" x14ac:dyDescent="0.25">
      <c r="A99">
        <v>70</v>
      </c>
      <c r="B99" s="10" t="s">
        <v>383</v>
      </c>
      <c r="C99" s="10" t="s">
        <v>1046</v>
      </c>
      <c r="D99" s="3" t="s">
        <v>384</v>
      </c>
      <c r="E99" s="3" t="s">
        <v>385</v>
      </c>
      <c r="F99" s="3"/>
      <c r="G99" s="3" t="s">
        <v>386</v>
      </c>
      <c r="H99" s="3" t="s">
        <v>14</v>
      </c>
      <c r="I99" s="3" t="s">
        <v>6</v>
      </c>
      <c r="J99" s="3"/>
      <c r="K99" s="3" t="s">
        <v>387</v>
      </c>
      <c r="L99" s="3"/>
      <c r="M99" s="3"/>
      <c r="N99" s="3" t="s">
        <v>22</v>
      </c>
      <c r="O99" s="3"/>
      <c r="P99" s="3"/>
      <c r="Q99" s="4">
        <v>46081</v>
      </c>
      <c r="R99" s="5">
        <v>1730.75</v>
      </c>
      <c r="S99" s="3">
        <v>121</v>
      </c>
      <c r="T99" s="3"/>
      <c r="U99" s="3">
        <v>0</v>
      </c>
      <c r="V99" s="3" t="s">
        <v>8</v>
      </c>
      <c r="W99" s="5">
        <v>1730.75</v>
      </c>
      <c r="X99" s="3">
        <v>0</v>
      </c>
      <c r="Y99" s="3">
        <v>0</v>
      </c>
      <c r="Z99" s="3">
        <v>0</v>
      </c>
      <c r="AA99" s="3">
        <v>0</v>
      </c>
      <c r="AB99" s="5">
        <v>1730.75</v>
      </c>
      <c r="AD99" s="25" t="s">
        <v>1201</v>
      </c>
      <c r="AE99" s="25" t="s">
        <v>1254</v>
      </c>
      <c r="AF99" s="26">
        <v>1730.75</v>
      </c>
      <c r="AG99" s="33">
        <f>AF99</f>
        <v>1730.75</v>
      </c>
      <c r="AH99" s="18"/>
      <c r="AI99" s="3"/>
      <c r="AJ99" s="3"/>
      <c r="AK99" s="3"/>
      <c r="AL99" s="15">
        <f>AH99+AI99+AJ99+AK99+AG99</f>
        <v>1730.75</v>
      </c>
      <c r="AM99" s="15">
        <f>AB99-AL99</f>
        <v>0</v>
      </c>
      <c r="AN99" s="15">
        <f>AM99</f>
        <v>0</v>
      </c>
      <c r="AO99" s="15">
        <f>AM99-AN99</f>
        <v>0</v>
      </c>
      <c r="AQ99" s="15">
        <f>AL99-AF99</f>
        <v>0</v>
      </c>
    </row>
    <row r="100" spans="1:43" hidden="1" x14ac:dyDescent="0.25">
      <c r="A100">
        <v>71</v>
      </c>
      <c r="B100" s="10">
        <v>1122</v>
      </c>
      <c r="C100" s="10" t="s">
        <v>1047</v>
      </c>
      <c r="D100" s="3" t="s">
        <v>388</v>
      </c>
      <c r="E100" s="3" t="s">
        <v>389</v>
      </c>
      <c r="F100" s="3" t="s">
        <v>390</v>
      </c>
      <c r="G100" s="3" t="s">
        <v>391</v>
      </c>
      <c r="H100" s="3" t="s">
        <v>14</v>
      </c>
      <c r="I100" s="3" t="s">
        <v>6</v>
      </c>
      <c r="J100" s="3" t="s">
        <v>15</v>
      </c>
      <c r="K100" s="3" t="s">
        <v>392</v>
      </c>
      <c r="L100" s="3"/>
      <c r="M100" s="3"/>
      <c r="N100" s="3" t="s">
        <v>22</v>
      </c>
      <c r="O100" s="3">
        <v>2710</v>
      </c>
      <c r="P100" s="3"/>
      <c r="Q100" s="4">
        <v>46052</v>
      </c>
      <c r="R100" s="5">
        <v>19251.919999999998</v>
      </c>
      <c r="S100" s="3">
        <v>217</v>
      </c>
      <c r="T100" s="3"/>
      <c r="U100" s="3">
        <v>0</v>
      </c>
      <c r="V100" s="3" t="s">
        <v>8</v>
      </c>
      <c r="W100" s="5">
        <v>19251.919999999998</v>
      </c>
      <c r="X100" s="5">
        <v>19251.919999999998</v>
      </c>
      <c r="Y100" s="3">
        <v>0</v>
      </c>
      <c r="Z100" s="3">
        <v>0</v>
      </c>
      <c r="AA100" s="3">
        <v>0</v>
      </c>
      <c r="AB100" s="5">
        <v>38503.839999999997</v>
      </c>
      <c r="AD100" s="25" t="s">
        <v>1165</v>
      </c>
      <c r="AE100" s="25" t="e">
        <v>#VALUE!</v>
      </c>
      <c r="AF100" s="26">
        <v>19251.919999999998</v>
      </c>
      <c r="AG100" s="32"/>
      <c r="AH100" s="19">
        <f>X100</f>
        <v>19251.919999999998</v>
      </c>
      <c r="AI100" s="3"/>
      <c r="AJ100" s="3"/>
      <c r="AK100" s="3"/>
      <c r="AL100" s="15">
        <f>AH100+AI100+AJ100+AK100+AG100</f>
        <v>19251.919999999998</v>
      </c>
      <c r="AM100" s="15">
        <f>AB100-AL100</f>
        <v>19251.919999999998</v>
      </c>
      <c r="AN100">
        <v>19251.919999999998</v>
      </c>
      <c r="AO100" s="15">
        <f>AM100-AN100</f>
        <v>0</v>
      </c>
      <c r="AQ100" s="15">
        <f>AL100-AF100</f>
        <v>0</v>
      </c>
    </row>
    <row r="101" spans="1:43" hidden="1" x14ac:dyDescent="0.25">
      <c r="A101">
        <v>73</v>
      </c>
      <c r="B101" s="10" t="s">
        <v>400</v>
      </c>
      <c r="C101" s="10" t="s">
        <v>1049</v>
      </c>
      <c r="D101" s="3" t="s">
        <v>401</v>
      </c>
      <c r="E101" s="3" t="s">
        <v>402</v>
      </c>
      <c r="F101" s="6" t="s">
        <v>403</v>
      </c>
      <c r="G101" s="3" t="s">
        <v>404</v>
      </c>
      <c r="H101" s="3" t="s">
        <v>14</v>
      </c>
      <c r="I101" s="3" t="s">
        <v>6</v>
      </c>
      <c r="J101" s="3"/>
      <c r="K101" s="3" t="s">
        <v>405</v>
      </c>
      <c r="L101" s="3"/>
      <c r="M101" s="3"/>
      <c r="N101" s="3" t="s">
        <v>22</v>
      </c>
      <c r="O101" s="3"/>
      <c r="P101" s="3"/>
      <c r="Q101" s="4">
        <v>46081</v>
      </c>
      <c r="R101" s="5">
        <v>244.78</v>
      </c>
      <c r="S101" s="3">
        <v>49</v>
      </c>
      <c r="T101" s="3"/>
      <c r="U101" s="3">
        <v>0</v>
      </c>
      <c r="V101" s="3" t="s">
        <v>8</v>
      </c>
      <c r="W101" s="5">
        <v>244.78</v>
      </c>
      <c r="X101" s="3">
        <v>0</v>
      </c>
      <c r="Y101" s="3">
        <v>0</v>
      </c>
      <c r="Z101" s="3">
        <v>0</v>
      </c>
      <c r="AA101" s="3">
        <v>0</v>
      </c>
      <c r="AB101" s="5">
        <v>244.78</v>
      </c>
      <c r="AD101" s="25"/>
      <c r="AE101" s="25"/>
      <c r="AF101" s="25"/>
      <c r="AG101" s="32"/>
      <c r="AH101" s="18"/>
      <c r="AI101" s="3"/>
      <c r="AJ101" s="3"/>
      <c r="AK101" s="3"/>
      <c r="AL101" s="15">
        <f>AH101+AI101+AJ101+AK101+AG101</f>
        <v>0</v>
      </c>
      <c r="AM101" s="15">
        <f>AB101-AL101</f>
        <v>244.78</v>
      </c>
      <c r="AN101" s="15">
        <f>AM101</f>
        <v>244.78</v>
      </c>
      <c r="AO101" s="15">
        <f>AM101-AN101</f>
        <v>0</v>
      </c>
      <c r="AQ101" s="15">
        <f>AL101-AF101</f>
        <v>0</v>
      </c>
    </row>
    <row r="102" spans="1:43" hidden="1" x14ac:dyDescent="0.25">
      <c r="A102">
        <v>72</v>
      </c>
      <c r="B102" s="10" t="s">
        <v>393</v>
      </c>
      <c r="C102" s="10" t="s">
        <v>1048</v>
      </c>
      <c r="D102" s="3" t="s">
        <v>394</v>
      </c>
      <c r="E102" s="3" t="s">
        <v>395</v>
      </c>
      <c r="F102" s="6" t="s">
        <v>396</v>
      </c>
      <c r="G102" s="3" t="s">
        <v>397</v>
      </c>
      <c r="H102" s="3" t="s">
        <v>14</v>
      </c>
      <c r="I102" s="3" t="s">
        <v>6</v>
      </c>
      <c r="J102" s="3" t="s">
        <v>15</v>
      </c>
      <c r="K102" s="3" t="s">
        <v>398</v>
      </c>
      <c r="L102" s="3"/>
      <c r="M102" s="3"/>
      <c r="N102" s="3"/>
      <c r="O102" s="6" t="s">
        <v>399</v>
      </c>
      <c r="P102" s="3"/>
      <c r="Q102" s="4">
        <v>46081</v>
      </c>
      <c r="R102" s="5">
        <v>476.54</v>
      </c>
      <c r="S102" s="3">
        <v>82</v>
      </c>
      <c r="T102" s="3"/>
      <c r="U102" s="3">
        <v>0</v>
      </c>
      <c r="V102" s="3" t="s">
        <v>8</v>
      </c>
      <c r="W102" s="5">
        <v>1467.84</v>
      </c>
      <c r="X102" s="3">
        <v>0</v>
      </c>
      <c r="Y102" s="3">
        <v>0</v>
      </c>
      <c r="Z102" s="3">
        <v>0</v>
      </c>
      <c r="AA102" s="3">
        <v>0</v>
      </c>
      <c r="AB102" s="5">
        <v>1467.84</v>
      </c>
      <c r="AD102" s="25"/>
      <c r="AE102" s="25"/>
      <c r="AF102" s="25"/>
      <c r="AG102" s="32"/>
      <c r="AH102" s="18"/>
      <c r="AI102" s="3"/>
      <c r="AJ102" s="3"/>
      <c r="AK102" s="3"/>
      <c r="AL102" s="15">
        <f>AH102+AI102+AJ102+AK102+AG102</f>
        <v>0</v>
      </c>
      <c r="AM102" s="15">
        <f>AB102-AL102</f>
        <v>1467.84</v>
      </c>
      <c r="AN102" s="15">
        <f>AM102</f>
        <v>1467.84</v>
      </c>
      <c r="AO102" s="15">
        <f>AM102-AN102</f>
        <v>0</v>
      </c>
      <c r="AQ102" s="15">
        <f>AL102-AF102</f>
        <v>0</v>
      </c>
    </row>
    <row r="103" spans="1:43" hidden="1" x14ac:dyDescent="0.25">
      <c r="A103">
        <v>79</v>
      </c>
      <c r="B103" s="10" t="s">
        <v>427</v>
      </c>
      <c r="C103" s="10" t="s">
        <v>1053</v>
      </c>
      <c r="D103" s="3" t="s">
        <v>428</v>
      </c>
      <c r="E103" s="3" t="s">
        <v>429</v>
      </c>
      <c r="F103" s="3" t="s">
        <v>430</v>
      </c>
      <c r="G103" s="3" t="s">
        <v>431</v>
      </c>
      <c r="H103" s="3" t="s">
        <v>14</v>
      </c>
      <c r="I103" s="3"/>
      <c r="J103" s="3" t="s">
        <v>33</v>
      </c>
      <c r="K103" s="3" t="s">
        <v>432</v>
      </c>
      <c r="L103" s="3"/>
      <c r="M103" s="3"/>
      <c r="N103" s="3"/>
      <c r="O103" s="3"/>
      <c r="P103" s="3"/>
      <c r="Q103" s="4">
        <v>46046</v>
      </c>
      <c r="R103" s="5">
        <v>637.30999999999995</v>
      </c>
      <c r="S103" s="3">
        <v>102</v>
      </c>
      <c r="T103" s="3"/>
      <c r="U103" s="3">
        <v>0</v>
      </c>
      <c r="V103" s="3" t="s">
        <v>8</v>
      </c>
      <c r="W103" s="16">
        <v>637.30999999999995</v>
      </c>
      <c r="X103" s="3">
        <v>0</v>
      </c>
      <c r="Y103" s="3">
        <v>0</v>
      </c>
      <c r="Z103" s="3">
        <v>0</v>
      </c>
      <c r="AA103" s="3">
        <v>0.31</v>
      </c>
      <c r="AB103" s="5">
        <v>637.62</v>
      </c>
      <c r="AD103" s="25" t="s">
        <v>1152</v>
      </c>
      <c r="AE103" s="25" t="s">
        <v>1153</v>
      </c>
      <c r="AF103" s="26">
        <v>637.30999999999995</v>
      </c>
      <c r="AG103" s="33">
        <f>AF103</f>
        <v>637.30999999999995</v>
      </c>
      <c r="AH103" s="18"/>
      <c r="AI103" s="3"/>
      <c r="AJ103" s="3"/>
      <c r="AK103" s="3"/>
      <c r="AL103" s="15">
        <f>AH103+AI103+AJ103+AK103+AG103</f>
        <v>637.30999999999995</v>
      </c>
      <c r="AM103" s="15">
        <f>AB103-AL103</f>
        <v>0.31000000000005912</v>
      </c>
      <c r="AN103">
        <v>0.31</v>
      </c>
      <c r="AO103" s="15">
        <f>AM103-AN103</f>
        <v>5.9119376061289586E-14</v>
      </c>
      <c r="AQ103" s="15">
        <f>AL103-AF103</f>
        <v>0</v>
      </c>
    </row>
    <row r="104" spans="1:43" hidden="1" x14ac:dyDescent="0.25">
      <c r="A104">
        <v>75</v>
      </c>
      <c r="B104" s="10" t="s">
        <v>412</v>
      </c>
      <c r="C104" s="10" t="s">
        <v>1050</v>
      </c>
      <c r="D104" s="3" t="s">
        <v>413</v>
      </c>
      <c r="E104" s="3" t="s">
        <v>414</v>
      </c>
      <c r="F104" s="6" t="s">
        <v>415</v>
      </c>
      <c r="G104" s="3" t="s">
        <v>416</v>
      </c>
      <c r="H104" s="3" t="s">
        <v>14</v>
      </c>
      <c r="I104" s="3" t="s">
        <v>6</v>
      </c>
      <c r="J104" s="3" t="s">
        <v>33</v>
      </c>
      <c r="K104" s="3" t="s">
        <v>417</v>
      </c>
      <c r="L104" s="3"/>
      <c r="M104" s="3"/>
      <c r="N104" s="3"/>
      <c r="O104" s="3">
        <v>2047</v>
      </c>
      <c r="P104" s="3"/>
      <c r="Q104" s="4">
        <v>46057</v>
      </c>
      <c r="R104" s="5">
        <v>11427.55</v>
      </c>
      <c r="S104" s="3">
        <v>476</v>
      </c>
      <c r="T104" s="3"/>
      <c r="U104" s="3">
        <v>0</v>
      </c>
      <c r="V104" s="3" t="s">
        <v>8</v>
      </c>
      <c r="W104" s="5">
        <v>11486.2</v>
      </c>
      <c r="X104" s="5">
        <v>11083.7</v>
      </c>
      <c r="Y104" s="3">
        <v>0</v>
      </c>
      <c r="Z104" s="3">
        <v>0</v>
      </c>
      <c r="AA104" s="3">
        <v>0</v>
      </c>
      <c r="AB104" s="5">
        <v>22569.9</v>
      </c>
      <c r="AD104" s="25" t="s">
        <v>1149</v>
      </c>
      <c r="AE104" s="25" t="s">
        <v>1172</v>
      </c>
      <c r="AF104" s="26">
        <v>11083.7</v>
      </c>
      <c r="AG104" s="32"/>
      <c r="AH104" s="19">
        <f>X104</f>
        <v>11083.7</v>
      </c>
      <c r="AI104" s="3"/>
      <c r="AJ104" s="3"/>
      <c r="AK104" s="3"/>
      <c r="AL104" s="15">
        <f>AH104+AI104+AJ104+AK104+AG104</f>
        <v>11083.7</v>
      </c>
      <c r="AM104" s="15">
        <f>AB104-AL104</f>
        <v>11486.2</v>
      </c>
      <c r="AN104">
        <v>11486.2</v>
      </c>
      <c r="AO104" s="15">
        <f>AM104-AN104</f>
        <v>0</v>
      </c>
      <c r="AQ104" s="15">
        <f>AL104-AF104</f>
        <v>0</v>
      </c>
    </row>
    <row r="105" spans="1:43" hidden="1" x14ac:dyDescent="0.25">
      <c r="A105">
        <v>76</v>
      </c>
      <c r="B105" s="10" t="s">
        <v>418</v>
      </c>
      <c r="C105" s="10" t="s">
        <v>1051</v>
      </c>
      <c r="D105" s="3" t="s">
        <v>419</v>
      </c>
      <c r="E105" s="3" t="s">
        <v>420</v>
      </c>
      <c r="F105" s="3" t="s">
        <v>421</v>
      </c>
      <c r="G105" s="3" t="s">
        <v>422</v>
      </c>
      <c r="H105" s="3" t="s">
        <v>14</v>
      </c>
      <c r="I105" s="3" t="s">
        <v>6</v>
      </c>
      <c r="J105" s="3" t="s">
        <v>33</v>
      </c>
      <c r="K105" s="3" t="s">
        <v>417</v>
      </c>
      <c r="L105" s="3"/>
      <c r="M105" s="3"/>
      <c r="N105" s="3"/>
      <c r="O105" s="3">
        <v>2047</v>
      </c>
      <c r="P105" s="3"/>
      <c r="Q105" s="4">
        <v>46057</v>
      </c>
      <c r="R105" s="5">
        <v>26781.200000000001</v>
      </c>
      <c r="S105" s="3">
        <v>398</v>
      </c>
      <c r="T105" s="3"/>
      <c r="U105" s="3">
        <v>0</v>
      </c>
      <c r="V105" s="3" t="s">
        <v>8</v>
      </c>
      <c r="W105" s="5">
        <v>21683.25</v>
      </c>
      <c r="X105" s="5">
        <f>19520.1+1207.5</f>
        <v>20727.599999999999</v>
      </c>
      <c r="Y105" s="3">
        <v>0</v>
      </c>
      <c r="Z105" s="3">
        <v>0</v>
      </c>
      <c r="AA105" s="5">
        <v>-0.01</v>
      </c>
      <c r="AB105" s="5">
        <f>SUM(W105:AA105)</f>
        <v>42410.84</v>
      </c>
      <c r="AD105" s="25" t="s">
        <v>1149</v>
      </c>
      <c r="AE105" s="25" t="s">
        <v>1181</v>
      </c>
      <c r="AF105" s="26">
        <v>18247.05</v>
      </c>
      <c r="AG105" s="32"/>
      <c r="AH105" s="19">
        <v>18247.05</v>
      </c>
      <c r="AI105" s="3"/>
      <c r="AJ105" s="3"/>
      <c r="AK105" s="5"/>
      <c r="AL105" s="15">
        <f>AH105+AI105+AJ105+AK105+AG105</f>
        <v>18247.05</v>
      </c>
      <c r="AM105" s="15">
        <f>AB105-AL105</f>
        <v>24163.789999999997</v>
      </c>
      <c r="AN105">
        <v>24163.79</v>
      </c>
      <c r="AO105" s="15">
        <f>AM105-AN105</f>
        <v>0</v>
      </c>
      <c r="AQ105" s="15">
        <f>AL105-AF105</f>
        <v>0</v>
      </c>
    </row>
    <row r="106" spans="1:43" hidden="1" x14ac:dyDescent="0.25">
      <c r="A106">
        <v>77</v>
      </c>
      <c r="B106" s="10" t="s">
        <v>423</v>
      </c>
      <c r="C106" s="10" t="s">
        <v>1052</v>
      </c>
      <c r="D106" s="3" t="s">
        <v>424</v>
      </c>
      <c r="E106" s="3" t="s">
        <v>425</v>
      </c>
      <c r="F106" s="6" t="s">
        <v>415</v>
      </c>
      <c r="G106" s="3" t="s">
        <v>426</v>
      </c>
      <c r="H106" s="3" t="s">
        <v>14</v>
      </c>
      <c r="I106" s="3" t="s">
        <v>6</v>
      </c>
      <c r="J106" s="3" t="s">
        <v>33</v>
      </c>
      <c r="K106" s="3" t="s">
        <v>417</v>
      </c>
      <c r="L106" s="3"/>
      <c r="M106" s="3"/>
      <c r="N106" s="3"/>
      <c r="O106" s="3">
        <v>2047</v>
      </c>
      <c r="P106" s="3"/>
      <c r="Q106" s="4">
        <v>46057</v>
      </c>
      <c r="R106" s="5">
        <v>34861.97</v>
      </c>
      <c r="S106" s="3">
        <v>1067</v>
      </c>
      <c r="T106" s="3"/>
      <c r="U106" s="3">
        <v>0</v>
      </c>
      <c r="V106" s="3" t="s">
        <v>8</v>
      </c>
      <c r="W106" s="5">
        <v>46503.96</v>
      </c>
      <c r="X106" s="5">
        <v>36516.94</v>
      </c>
      <c r="Y106" s="5">
        <v>5738.17</v>
      </c>
      <c r="Z106" s="3">
        <v>0</v>
      </c>
      <c r="AA106" s="5">
        <v>-1.38</v>
      </c>
      <c r="AB106" s="5">
        <v>88757.69</v>
      </c>
      <c r="AD106" s="25" t="s">
        <v>1149</v>
      </c>
      <c r="AE106" s="25" t="s">
        <v>1169</v>
      </c>
      <c r="AF106" s="26">
        <v>6082.02</v>
      </c>
      <c r="AG106" s="32"/>
      <c r="AH106" s="19">
        <f>AF106+AF107-AI106</f>
        <v>3069.8099999999995</v>
      </c>
      <c r="AI106" s="5">
        <f>Y106</f>
        <v>5738.17</v>
      </c>
      <c r="AJ106" s="3"/>
      <c r="AK106" s="5"/>
      <c r="AL106" s="15">
        <f>AH106+AI106+AJ106+AK106+AG106</f>
        <v>8807.98</v>
      </c>
      <c r="AM106" s="15">
        <f>AB106-AL106</f>
        <v>79949.710000000006</v>
      </c>
      <c r="AN106">
        <v>46158.73</v>
      </c>
      <c r="AO106" s="15">
        <f>AM106-AN106</f>
        <v>33790.980000000003</v>
      </c>
      <c r="AQ106" s="15">
        <f>AL106-AF106</f>
        <v>2725.9599999999991</v>
      </c>
    </row>
    <row r="107" spans="1:43" hidden="1" x14ac:dyDescent="0.25">
      <c r="A107">
        <v>80</v>
      </c>
      <c r="B107" s="10" t="s">
        <v>433</v>
      </c>
      <c r="C107" s="10" t="s">
        <v>1054</v>
      </c>
      <c r="D107" s="3" t="s">
        <v>434</v>
      </c>
      <c r="E107" s="3" t="s">
        <v>435</v>
      </c>
      <c r="F107" s="3" t="s">
        <v>436</v>
      </c>
      <c r="G107" s="3" t="s">
        <v>437</v>
      </c>
      <c r="H107" s="3" t="s">
        <v>14</v>
      </c>
      <c r="I107" s="3"/>
      <c r="J107" s="3" t="s">
        <v>15</v>
      </c>
      <c r="K107" s="3" t="s">
        <v>438</v>
      </c>
      <c r="L107" s="3"/>
      <c r="M107" s="3"/>
      <c r="N107" s="3"/>
      <c r="O107" s="3">
        <v>1402</v>
      </c>
      <c r="P107" s="3"/>
      <c r="Q107" s="4">
        <v>46060</v>
      </c>
      <c r="R107" s="5">
        <v>2725.96</v>
      </c>
      <c r="S107" s="3">
        <v>154</v>
      </c>
      <c r="T107" s="3"/>
      <c r="U107" s="3">
        <v>0</v>
      </c>
      <c r="V107" s="3" t="s">
        <v>8</v>
      </c>
      <c r="W107" s="5">
        <v>2725.96</v>
      </c>
      <c r="X107" s="16">
        <v>2725.96</v>
      </c>
      <c r="Y107" s="3">
        <v>0</v>
      </c>
      <c r="Z107" s="3">
        <v>0</v>
      </c>
      <c r="AA107" s="3">
        <v>0</v>
      </c>
      <c r="AB107" s="5">
        <v>5451.92</v>
      </c>
      <c r="AD107" s="25" t="s">
        <v>1151</v>
      </c>
      <c r="AE107" s="25" t="s">
        <v>433</v>
      </c>
      <c r="AF107" s="26">
        <v>2725.96</v>
      </c>
      <c r="AG107" s="32"/>
      <c r="AH107" s="19">
        <f>AF107</f>
        <v>2725.96</v>
      </c>
      <c r="AI107" s="3"/>
      <c r="AJ107" s="3"/>
      <c r="AK107" s="3"/>
      <c r="AL107" s="15">
        <f>AH107+AI107+AJ107+AK107+AG107</f>
        <v>2725.96</v>
      </c>
      <c r="AM107" s="15">
        <f>AB107-AL107</f>
        <v>2725.96</v>
      </c>
      <c r="AN107">
        <v>2725.96</v>
      </c>
      <c r="AO107" s="15">
        <f>AM107-AN107</f>
        <v>0</v>
      </c>
      <c r="AQ107" s="15">
        <f>AL107-AF107</f>
        <v>0</v>
      </c>
    </row>
    <row r="108" spans="1:43" hidden="1" x14ac:dyDescent="0.25">
      <c r="A108">
        <v>81</v>
      </c>
      <c r="B108" s="10">
        <v>1134</v>
      </c>
      <c r="C108" s="10" t="s">
        <v>1055</v>
      </c>
      <c r="D108" s="3" t="s">
        <v>439</v>
      </c>
      <c r="E108" s="3"/>
      <c r="F108" s="3" t="s">
        <v>440</v>
      </c>
      <c r="G108" s="3" t="s">
        <v>441</v>
      </c>
      <c r="H108" s="3" t="s">
        <v>14</v>
      </c>
      <c r="I108" s="3" t="s">
        <v>6</v>
      </c>
      <c r="J108" s="3" t="s">
        <v>15</v>
      </c>
      <c r="K108" s="3" t="s">
        <v>442</v>
      </c>
      <c r="L108" s="3"/>
      <c r="M108" s="3"/>
      <c r="N108" s="3" t="s">
        <v>22</v>
      </c>
      <c r="O108" s="3"/>
      <c r="P108" s="3"/>
      <c r="Q108" s="4">
        <v>46053</v>
      </c>
      <c r="R108" s="5">
        <v>28723.53</v>
      </c>
      <c r="S108" s="3">
        <v>110</v>
      </c>
      <c r="T108" s="3"/>
      <c r="U108" s="3">
        <v>0</v>
      </c>
      <c r="V108" s="3" t="s">
        <v>8</v>
      </c>
      <c r="W108" s="5">
        <v>28838.53</v>
      </c>
      <c r="X108" s="5">
        <v>28723.53</v>
      </c>
      <c r="Y108" s="3">
        <v>0</v>
      </c>
      <c r="Z108" s="3">
        <v>0</v>
      </c>
      <c r="AA108" s="3">
        <v>0</v>
      </c>
      <c r="AB108" s="5">
        <v>57562.06</v>
      </c>
      <c r="AD108" s="25" t="s">
        <v>1165</v>
      </c>
      <c r="AE108" s="25" t="s">
        <v>1187</v>
      </c>
      <c r="AF108" s="26">
        <v>28723.53</v>
      </c>
      <c r="AG108" s="32"/>
      <c r="AH108" s="19">
        <f>AF108</f>
        <v>28723.53</v>
      </c>
      <c r="AI108" s="3"/>
      <c r="AJ108" s="3"/>
      <c r="AK108" s="3"/>
      <c r="AL108" s="15">
        <f>AH108+AI108+AJ108+AK108+AG108</f>
        <v>28723.53</v>
      </c>
      <c r="AM108" s="15">
        <f>AB108-AL108</f>
        <v>28838.53</v>
      </c>
      <c r="AN108">
        <v>28838.53</v>
      </c>
      <c r="AO108" s="15">
        <f>AM108-AN108</f>
        <v>0</v>
      </c>
      <c r="AQ108" s="15">
        <f>AL108-AF108</f>
        <v>0</v>
      </c>
    </row>
    <row r="109" spans="1:43" hidden="1" x14ac:dyDescent="0.25">
      <c r="A109">
        <v>82</v>
      </c>
      <c r="B109" s="10" t="s">
        <v>443</v>
      </c>
      <c r="C109" s="10" t="s">
        <v>1056</v>
      </c>
      <c r="D109" s="3" t="s">
        <v>444</v>
      </c>
      <c r="E109" s="3" t="s">
        <v>445</v>
      </c>
      <c r="F109" s="3"/>
      <c r="G109" s="3" t="s">
        <v>446</v>
      </c>
      <c r="H109" s="3" t="s">
        <v>14</v>
      </c>
      <c r="I109" s="3" t="s">
        <v>6</v>
      </c>
      <c r="J109" s="3"/>
      <c r="K109" s="3" t="s">
        <v>447</v>
      </c>
      <c r="L109" s="3"/>
      <c r="M109" s="3"/>
      <c r="N109" s="3" t="s">
        <v>22</v>
      </c>
      <c r="O109" s="3"/>
      <c r="P109" s="3"/>
      <c r="Q109" s="4">
        <v>45663</v>
      </c>
      <c r="R109" s="5">
        <v>4600</v>
      </c>
      <c r="S109" s="3">
        <v>95</v>
      </c>
      <c r="T109" s="3"/>
      <c r="U109" s="3">
        <v>0</v>
      </c>
      <c r="V109" s="3" t="s">
        <v>8</v>
      </c>
      <c r="W109" s="5">
        <v>7337</v>
      </c>
      <c r="X109" s="3">
        <v>0</v>
      </c>
      <c r="Y109" s="3">
        <v>0</v>
      </c>
      <c r="Z109" s="3">
        <v>0</v>
      </c>
      <c r="AA109" s="3">
        <v>0</v>
      </c>
      <c r="AB109" s="5">
        <v>7337</v>
      </c>
      <c r="AD109" s="25"/>
      <c r="AE109" s="25"/>
      <c r="AF109" s="25"/>
      <c r="AG109" s="32"/>
      <c r="AH109" s="18"/>
      <c r="AI109" s="3"/>
      <c r="AJ109" s="3"/>
      <c r="AK109" s="3"/>
      <c r="AL109" s="15">
        <f>AH109+AI109+AJ109+AK109+AG109</f>
        <v>0</v>
      </c>
      <c r="AM109" s="15">
        <f>AB109-AL109</f>
        <v>7337</v>
      </c>
      <c r="AN109" s="15">
        <f>AM109</f>
        <v>7337</v>
      </c>
      <c r="AO109" s="15">
        <f>AM109-AN109</f>
        <v>0</v>
      </c>
      <c r="AQ109" s="15">
        <f>AL109-AF109</f>
        <v>0</v>
      </c>
    </row>
    <row r="110" spans="1:43" hidden="1" x14ac:dyDescent="0.25">
      <c r="A110">
        <v>83</v>
      </c>
      <c r="B110" s="10" t="s">
        <v>448</v>
      </c>
      <c r="C110" s="10" t="s">
        <v>1057</v>
      </c>
      <c r="D110" s="3" t="s">
        <v>449</v>
      </c>
      <c r="E110" s="3" t="s">
        <v>450</v>
      </c>
      <c r="F110" s="6" t="s">
        <v>451</v>
      </c>
      <c r="G110" s="3" t="s">
        <v>452</v>
      </c>
      <c r="H110" s="3" t="s">
        <v>14</v>
      </c>
      <c r="I110" s="3" t="s">
        <v>6</v>
      </c>
      <c r="J110" s="3" t="s">
        <v>15</v>
      </c>
      <c r="K110" s="3" t="s">
        <v>453</v>
      </c>
      <c r="L110" s="3"/>
      <c r="M110" s="3"/>
      <c r="N110" s="3" t="s">
        <v>22</v>
      </c>
      <c r="O110" s="3"/>
      <c r="P110" s="3"/>
      <c r="Q110" s="4">
        <v>46060</v>
      </c>
      <c r="R110" s="5">
        <v>2561.11</v>
      </c>
      <c r="S110" s="3">
        <v>230</v>
      </c>
      <c r="T110" s="3"/>
      <c r="U110" s="3">
        <v>0</v>
      </c>
      <c r="V110" s="3" t="s">
        <v>8</v>
      </c>
      <c r="W110" s="5">
        <v>2714.77</v>
      </c>
      <c r="X110" s="5">
        <v>2714.77</v>
      </c>
      <c r="Y110" s="16">
        <v>2561.11</v>
      </c>
      <c r="Z110" s="3">
        <v>0</v>
      </c>
      <c r="AA110" s="3">
        <v>0</v>
      </c>
      <c r="AB110" s="5">
        <v>7990.65</v>
      </c>
      <c r="AD110" s="25" t="s">
        <v>1151</v>
      </c>
      <c r="AE110" s="25" t="s">
        <v>1162</v>
      </c>
      <c r="AF110" s="26">
        <v>2561.11</v>
      </c>
      <c r="AG110" s="32"/>
      <c r="AH110" s="19"/>
      <c r="AI110" s="5">
        <f>AF110</f>
        <v>2561.11</v>
      </c>
      <c r="AJ110" s="3"/>
      <c r="AK110" s="3"/>
      <c r="AL110" s="15">
        <f>AH110+AI110+AJ110+AK110+AG110</f>
        <v>2561.11</v>
      </c>
      <c r="AM110" s="15">
        <f>AB110-AL110</f>
        <v>5429.5399999999991</v>
      </c>
      <c r="AN110" s="15">
        <f>AM110</f>
        <v>5429.5399999999991</v>
      </c>
      <c r="AO110" s="15">
        <f>AM110-AN110</f>
        <v>0</v>
      </c>
      <c r="AQ110" s="15">
        <f>AL110-AF110</f>
        <v>0</v>
      </c>
    </row>
    <row r="111" spans="1:43" hidden="1" x14ac:dyDescent="0.25">
      <c r="A111">
        <v>85</v>
      </c>
      <c r="B111" s="10">
        <v>1133</v>
      </c>
      <c r="C111" s="10" t="s">
        <v>1058</v>
      </c>
      <c r="D111" s="3" t="s">
        <v>461</v>
      </c>
      <c r="E111" s="3" t="s">
        <v>462</v>
      </c>
      <c r="F111" s="6" t="s">
        <v>463</v>
      </c>
      <c r="G111" s="3" t="s">
        <v>464</v>
      </c>
      <c r="H111" s="3" t="s">
        <v>14</v>
      </c>
      <c r="I111" s="3" t="s">
        <v>6</v>
      </c>
      <c r="J111" s="3" t="s">
        <v>15</v>
      </c>
      <c r="K111" s="3" t="s">
        <v>465</v>
      </c>
      <c r="L111" s="3"/>
      <c r="M111" s="3"/>
      <c r="N111" s="3" t="s">
        <v>22</v>
      </c>
      <c r="O111" s="3"/>
      <c r="P111" s="3"/>
      <c r="Q111" s="4">
        <v>46052</v>
      </c>
      <c r="R111" s="5">
        <v>10102.219999999999</v>
      </c>
      <c r="S111" s="3">
        <v>129</v>
      </c>
      <c r="T111" s="3"/>
      <c r="U111" s="3">
        <v>0</v>
      </c>
      <c r="V111" s="3" t="s">
        <v>8</v>
      </c>
      <c r="W111" s="5">
        <v>10102.219999999999</v>
      </c>
      <c r="X111" s="3">
        <v>0</v>
      </c>
      <c r="Y111" s="3">
        <v>0</v>
      </c>
      <c r="Z111" s="3">
        <v>0</v>
      </c>
      <c r="AA111" s="3">
        <v>0</v>
      </c>
      <c r="AB111" s="5">
        <v>10102.219999999999</v>
      </c>
      <c r="AD111" s="25" t="s">
        <v>1165</v>
      </c>
      <c r="AE111" s="25" t="s">
        <v>1170</v>
      </c>
      <c r="AF111" s="26">
        <v>10102.219999999999</v>
      </c>
      <c r="AG111" s="33">
        <f>W111</f>
        <v>10102.219999999999</v>
      </c>
      <c r="AH111" s="18"/>
      <c r="AI111" s="3"/>
      <c r="AJ111" s="3"/>
      <c r="AK111" s="3"/>
      <c r="AL111" s="15">
        <f>AH111+AI111+AJ111+AK111+AG111</f>
        <v>10102.219999999999</v>
      </c>
      <c r="AM111" s="15">
        <f>AB111-AL111</f>
        <v>0</v>
      </c>
      <c r="AN111">
        <v>0</v>
      </c>
      <c r="AO111" s="15">
        <f>AM111-AN111</f>
        <v>0</v>
      </c>
      <c r="AQ111" s="15">
        <f>AL111-AF111</f>
        <v>0</v>
      </c>
    </row>
    <row r="112" spans="1:43" hidden="1" x14ac:dyDescent="0.25">
      <c r="A112">
        <v>86</v>
      </c>
      <c r="B112" s="10" t="s">
        <v>466</v>
      </c>
      <c r="C112" s="10" t="s">
        <v>1059</v>
      </c>
      <c r="D112" s="3" t="s">
        <v>467</v>
      </c>
      <c r="E112" s="3" t="s">
        <v>468</v>
      </c>
      <c r="F112" s="3" t="s">
        <v>469</v>
      </c>
      <c r="G112" s="3" t="s">
        <v>470</v>
      </c>
      <c r="H112" s="3" t="s">
        <v>14</v>
      </c>
      <c r="I112" s="3" t="s">
        <v>6</v>
      </c>
      <c r="J112" s="3"/>
      <c r="K112" s="3" t="s">
        <v>471</v>
      </c>
      <c r="L112" s="3"/>
      <c r="M112" s="3"/>
      <c r="N112" s="3" t="s">
        <v>22</v>
      </c>
      <c r="O112" s="3"/>
      <c r="P112" s="3"/>
      <c r="Q112" s="4">
        <v>46081</v>
      </c>
      <c r="R112" s="5">
        <v>1025.06</v>
      </c>
      <c r="S112" s="3">
        <v>51</v>
      </c>
      <c r="T112" s="3"/>
      <c r="U112" s="3">
        <v>0</v>
      </c>
      <c r="V112" s="3" t="s">
        <v>8</v>
      </c>
      <c r="W112" s="5">
        <v>646.30999999999995</v>
      </c>
      <c r="X112" s="3">
        <v>0</v>
      </c>
      <c r="Y112" s="3">
        <v>0</v>
      </c>
      <c r="Z112" s="3">
        <v>0</v>
      </c>
      <c r="AA112" s="3">
        <v>0</v>
      </c>
      <c r="AB112" s="5">
        <v>646.30999999999995</v>
      </c>
      <c r="AD112" s="25" t="s">
        <v>1201</v>
      </c>
      <c r="AE112" s="25" t="s">
        <v>1248</v>
      </c>
      <c r="AF112" s="26">
        <v>646.30999999999995</v>
      </c>
      <c r="AG112" s="33">
        <f>AF112</f>
        <v>646.30999999999995</v>
      </c>
      <c r="AH112" s="18"/>
      <c r="AI112" s="3"/>
      <c r="AJ112" s="3"/>
      <c r="AK112" s="3"/>
      <c r="AL112" s="15">
        <f>AH112+AI112+AJ112+AK112+AG112</f>
        <v>646.30999999999995</v>
      </c>
      <c r="AM112" s="15">
        <f>AB112-AL112</f>
        <v>0</v>
      </c>
      <c r="AN112" s="15">
        <f>AM112</f>
        <v>0</v>
      </c>
      <c r="AO112" s="15">
        <f>AM112-AN112</f>
        <v>0</v>
      </c>
      <c r="AQ112" s="15">
        <f>AL112-AF112</f>
        <v>0</v>
      </c>
    </row>
    <row r="113" spans="1:43" hidden="1" x14ac:dyDescent="0.25">
      <c r="A113">
        <v>87</v>
      </c>
      <c r="B113" s="10" t="s">
        <v>472</v>
      </c>
      <c r="C113" s="10" t="s">
        <v>1060</v>
      </c>
      <c r="D113" s="3" t="s">
        <v>473</v>
      </c>
      <c r="E113" s="3" t="s">
        <v>474</v>
      </c>
      <c r="F113" s="3" t="s">
        <v>475</v>
      </c>
      <c r="G113" s="3" t="s">
        <v>476</v>
      </c>
      <c r="H113" s="3" t="s">
        <v>14</v>
      </c>
      <c r="I113" s="3" t="s">
        <v>6</v>
      </c>
      <c r="J113" s="3" t="s">
        <v>15</v>
      </c>
      <c r="K113" s="3" t="s">
        <v>477</v>
      </c>
      <c r="L113" s="3"/>
      <c r="M113" s="3"/>
      <c r="N113" s="3"/>
      <c r="O113" s="3"/>
      <c r="P113" s="3"/>
      <c r="Q113" s="4">
        <v>46081</v>
      </c>
      <c r="R113" s="5">
        <v>358.59</v>
      </c>
      <c r="S113" s="3">
        <v>40</v>
      </c>
      <c r="T113" s="3"/>
      <c r="U113" s="3">
        <v>0</v>
      </c>
      <c r="V113" s="3" t="s">
        <v>8</v>
      </c>
      <c r="W113" s="5">
        <v>358.59</v>
      </c>
      <c r="X113" s="3">
        <v>0</v>
      </c>
      <c r="Y113" s="3">
        <v>0</v>
      </c>
      <c r="Z113" s="3">
        <v>0</v>
      </c>
      <c r="AA113" s="3">
        <v>0</v>
      </c>
      <c r="AB113" s="5">
        <v>358.59</v>
      </c>
      <c r="AD113" s="25" t="s">
        <v>1201</v>
      </c>
      <c r="AE113" s="25" t="s">
        <v>1247</v>
      </c>
      <c r="AF113" s="26">
        <v>358.59</v>
      </c>
      <c r="AG113" s="33">
        <f>AF113</f>
        <v>358.59</v>
      </c>
      <c r="AH113" s="18"/>
      <c r="AI113" s="3"/>
      <c r="AJ113" s="3"/>
      <c r="AK113" s="3"/>
      <c r="AL113" s="15">
        <f>AH113+AI113+AJ113+AK113+AG113</f>
        <v>358.59</v>
      </c>
      <c r="AM113" s="15">
        <f>AB113-AL113</f>
        <v>0</v>
      </c>
      <c r="AN113" s="15">
        <f>AM113</f>
        <v>0</v>
      </c>
      <c r="AO113" s="15">
        <f>AM113-AN113</f>
        <v>0</v>
      </c>
      <c r="AQ113" s="15">
        <f>AL113-AF113</f>
        <v>0</v>
      </c>
    </row>
    <row r="114" spans="1:43" hidden="1" x14ac:dyDescent="0.25">
      <c r="A114">
        <v>88</v>
      </c>
      <c r="B114" s="41" t="s">
        <v>478</v>
      </c>
      <c r="C114" s="41" t="s">
        <v>1061</v>
      </c>
      <c r="D114" s="40" t="s">
        <v>479</v>
      </c>
      <c r="E114" s="40" t="s">
        <v>480</v>
      </c>
      <c r="F114" s="40" t="s">
        <v>481</v>
      </c>
      <c r="G114" s="40" t="s">
        <v>482</v>
      </c>
      <c r="H114" s="40" t="s">
        <v>14</v>
      </c>
      <c r="I114" s="40" t="s">
        <v>6</v>
      </c>
      <c r="J114" s="40" t="s">
        <v>33</v>
      </c>
      <c r="K114" s="40" t="s">
        <v>483</v>
      </c>
      <c r="L114" s="40"/>
      <c r="M114" s="40"/>
      <c r="N114" s="40"/>
      <c r="O114" s="40">
        <v>1600</v>
      </c>
      <c r="P114" s="40"/>
      <c r="Q114" s="42">
        <v>46080</v>
      </c>
      <c r="R114" s="16">
        <v>17493.34</v>
      </c>
      <c r="S114" s="40">
        <v>555</v>
      </c>
      <c r="T114" s="40"/>
      <c r="U114" s="40">
        <v>0</v>
      </c>
      <c r="V114" s="40" t="s">
        <v>8</v>
      </c>
      <c r="W114" s="16">
        <v>17493.34</v>
      </c>
      <c r="X114" s="40">
        <v>0</v>
      </c>
      <c r="Y114" s="40">
        <v>0</v>
      </c>
      <c r="Z114" s="40">
        <v>0</v>
      </c>
      <c r="AA114" s="40">
        <v>0</v>
      </c>
      <c r="AB114" s="16">
        <v>17493.34</v>
      </c>
      <c r="AC114" s="43"/>
      <c r="AD114" s="44" t="s">
        <v>1179</v>
      </c>
      <c r="AE114" s="44" t="s">
        <v>1180</v>
      </c>
      <c r="AF114" s="27">
        <v>17493.34</v>
      </c>
      <c r="AG114" s="34">
        <f>AF114</f>
        <v>17493.34</v>
      </c>
      <c r="AH114" s="45"/>
      <c r="AI114" s="40"/>
      <c r="AJ114" s="40"/>
      <c r="AK114" s="40"/>
      <c r="AL114" s="17">
        <f>AH114+AI114+AJ114+AK114+AG114</f>
        <v>17493.34</v>
      </c>
      <c r="AM114" s="17">
        <f>AB114-AL114</f>
        <v>0</v>
      </c>
      <c r="AN114" s="43">
        <v>0</v>
      </c>
      <c r="AO114" s="17">
        <f>AM114-AN114</f>
        <v>0</v>
      </c>
      <c r="AQ114" s="15">
        <f>AL114-AF114</f>
        <v>0</v>
      </c>
    </row>
    <row r="115" spans="1:43" hidden="1" x14ac:dyDescent="0.25">
      <c r="A115">
        <v>89</v>
      </c>
      <c r="B115" s="10" t="s">
        <v>484</v>
      </c>
      <c r="C115" s="10" t="s">
        <v>1062</v>
      </c>
      <c r="D115" s="3" t="s">
        <v>485</v>
      </c>
      <c r="E115" s="3" t="s">
        <v>486</v>
      </c>
      <c r="F115" s="3" t="s">
        <v>487</v>
      </c>
      <c r="G115" s="3" t="s">
        <v>488</v>
      </c>
      <c r="H115" s="3" t="s">
        <v>14</v>
      </c>
      <c r="I115" s="3" t="s">
        <v>6</v>
      </c>
      <c r="J115" s="3" t="s">
        <v>15</v>
      </c>
      <c r="K115" s="3" t="s">
        <v>489</v>
      </c>
      <c r="L115" s="3"/>
      <c r="M115" s="3"/>
      <c r="N115" s="3"/>
      <c r="O115" s="3">
        <v>8570</v>
      </c>
      <c r="P115" s="3"/>
      <c r="Q115" s="4">
        <v>46022</v>
      </c>
      <c r="R115" s="5">
        <v>1687.29</v>
      </c>
      <c r="S115" s="3">
        <v>204</v>
      </c>
      <c r="T115" s="3"/>
      <c r="U115" s="3">
        <v>0</v>
      </c>
      <c r="V115" s="3" t="s">
        <v>8</v>
      </c>
      <c r="W115" s="3">
        <v>0</v>
      </c>
      <c r="X115" s="3">
        <v>0</v>
      </c>
      <c r="Y115" s="5">
        <v>-0.01</v>
      </c>
      <c r="Z115" s="5">
        <v>-0.01</v>
      </c>
      <c r="AA115" s="3">
        <v>0.01</v>
      </c>
      <c r="AB115" s="5">
        <v>-0.01</v>
      </c>
      <c r="AD115" s="25"/>
      <c r="AE115" s="25"/>
      <c r="AF115" s="25"/>
      <c r="AG115" s="32"/>
      <c r="AH115" s="18"/>
      <c r="AI115" s="5"/>
      <c r="AJ115" s="5"/>
      <c r="AK115" s="3"/>
      <c r="AL115" s="15">
        <f>AH115+AI115+AJ115+AK115+AG115</f>
        <v>0</v>
      </c>
      <c r="AM115" s="15">
        <f>AB115-AL115</f>
        <v>-0.01</v>
      </c>
      <c r="AO115" s="15">
        <f>AM115-AN115</f>
        <v>-0.01</v>
      </c>
      <c r="AQ115" s="15">
        <f>AL115-AF115</f>
        <v>0</v>
      </c>
    </row>
    <row r="116" spans="1:43" hidden="1" x14ac:dyDescent="0.25">
      <c r="A116">
        <v>112</v>
      </c>
      <c r="B116" s="10" t="s">
        <v>588</v>
      </c>
      <c r="C116" s="10" t="s">
        <v>1081</v>
      </c>
      <c r="D116" s="3" t="s">
        <v>589</v>
      </c>
      <c r="E116" s="3" t="s">
        <v>590</v>
      </c>
      <c r="F116" s="3" t="s">
        <v>591</v>
      </c>
      <c r="G116" s="3" t="s">
        <v>592</v>
      </c>
      <c r="H116" s="3" t="s">
        <v>14</v>
      </c>
      <c r="I116" s="3" t="s">
        <v>6</v>
      </c>
      <c r="J116" s="3" t="s">
        <v>15</v>
      </c>
      <c r="K116" s="3" t="s">
        <v>593</v>
      </c>
      <c r="L116" s="3"/>
      <c r="M116" s="3"/>
      <c r="N116" s="3"/>
      <c r="O116" s="3">
        <v>1457</v>
      </c>
      <c r="P116" s="3"/>
      <c r="Q116" s="4">
        <v>46081</v>
      </c>
      <c r="R116" s="5">
        <v>65469.06</v>
      </c>
      <c r="S116" s="3">
        <v>168</v>
      </c>
      <c r="T116" s="3" t="s">
        <v>594</v>
      </c>
      <c r="U116" s="3">
        <v>0</v>
      </c>
      <c r="V116" s="3" t="s">
        <v>8</v>
      </c>
      <c r="W116" s="5">
        <v>65469.06</v>
      </c>
      <c r="X116" s="3">
        <v>0</v>
      </c>
      <c r="Y116" s="3">
        <v>0</v>
      </c>
      <c r="Z116" s="3">
        <v>0</v>
      </c>
      <c r="AA116" s="3">
        <v>0</v>
      </c>
      <c r="AB116" s="5">
        <v>65469.06</v>
      </c>
      <c r="AD116" s="25" t="s">
        <v>1201</v>
      </c>
      <c r="AE116" s="25" t="s">
        <v>1268</v>
      </c>
      <c r="AF116" s="26">
        <v>65469.06</v>
      </c>
      <c r="AG116" s="33">
        <f>AF116</f>
        <v>65469.06</v>
      </c>
      <c r="AH116" s="18"/>
      <c r="AI116" s="3"/>
      <c r="AJ116" s="3"/>
      <c r="AK116" s="3"/>
      <c r="AL116" s="15">
        <f>AH116+AI116+AJ116+AK116+AG116</f>
        <v>65469.06</v>
      </c>
      <c r="AM116" s="15">
        <f>AB116-AL116</f>
        <v>0</v>
      </c>
      <c r="AN116" s="15">
        <f>AM116</f>
        <v>0</v>
      </c>
      <c r="AO116" s="15">
        <f>AM116-AN116</f>
        <v>0</v>
      </c>
      <c r="AQ116" s="15">
        <f>AL116-AF116</f>
        <v>0</v>
      </c>
    </row>
    <row r="117" spans="1:43" hidden="1" x14ac:dyDescent="0.25">
      <c r="A117">
        <v>58</v>
      </c>
      <c r="B117" s="10" t="s">
        <v>312</v>
      </c>
      <c r="C117" s="10" t="s">
        <v>1037</v>
      </c>
      <c r="D117" s="3" t="s">
        <v>313</v>
      </c>
      <c r="E117" s="3" t="s">
        <v>314</v>
      </c>
      <c r="F117" s="3" t="s">
        <v>315</v>
      </c>
      <c r="G117" s="3" t="s">
        <v>316</v>
      </c>
      <c r="H117" s="3" t="s">
        <v>14</v>
      </c>
      <c r="I117" s="3" t="s">
        <v>6</v>
      </c>
      <c r="J117" s="3"/>
      <c r="K117" s="3" t="s">
        <v>317</v>
      </c>
      <c r="L117" s="3"/>
      <c r="M117" s="3"/>
      <c r="N117" s="3"/>
      <c r="O117" s="3">
        <v>1540</v>
      </c>
      <c r="P117" s="3"/>
      <c r="Q117" s="4">
        <v>46081</v>
      </c>
      <c r="R117" s="5">
        <v>2493.9699999999998</v>
      </c>
      <c r="S117" s="3">
        <v>128</v>
      </c>
      <c r="T117" s="3" t="s">
        <v>318</v>
      </c>
      <c r="U117" s="3">
        <v>0</v>
      </c>
      <c r="V117" s="3" t="s">
        <v>8</v>
      </c>
      <c r="W117" s="5">
        <v>2493.9699999999998</v>
      </c>
      <c r="X117" s="3">
        <v>0</v>
      </c>
      <c r="Y117" s="3">
        <v>0</v>
      </c>
      <c r="Z117" s="3">
        <v>0</v>
      </c>
      <c r="AA117" s="3">
        <v>0</v>
      </c>
      <c r="AB117" s="5">
        <v>2493.9699999999998</v>
      </c>
      <c r="AD117" s="25"/>
      <c r="AE117" s="25"/>
      <c r="AF117" s="25"/>
      <c r="AG117" s="32"/>
      <c r="AH117" s="18"/>
      <c r="AI117" s="3"/>
      <c r="AJ117" s="3"/>
      <c r="AK117" s="3"/>
      <c r="AL117" s="15">
        <f>AH117+AI117+AJ117+AK117+AG117</f>
        <v>0</v>
      </c>
      <c r="AM117" s="15">
        <f>AB117-AL117</f>
        <v>2493.9699999999998</v>
      </c>
      <c r="AN117" s="15">
        <f>AM117</f>
        <v>2493.9699999999998</v>
      </c>
      <c r="AO117" s="15">
        <f>AM117-AN117</f>
        <v>0</v>
      </c>
      <c r="AQ117" s="15">
        <f>AL117-AF117</f>
        <v>0</v>
      </c>
    </row>
    <row r="118" spans="1:43" hidden="1" x14ac:dyDescent="0.25">
      <c r="A118">
        <v>150</v>
      </c>
      <c r="B118" s="10" t="s">
        <v>778</v>
      </c>
      <c r="C118" s="10" t="s">
        <v>1103</v>
      </c>
      <c r="D118" s="3" t="s">
        <v>779</v>
      </c>
      <c r="E118" s="3" t="s">
        <v>314</v>
      </c>
      <c r="F118" s="3" t="s">
        <v>315</v>
      </c>
      <c r="G118" s="3" t="s">
        <v>316</v>
      </c>
      <c r="H118" s="3" t="s">
        <v>14</v>
      </c>
      <c r="I118" s="3" t="s">
        <v>6</v>
      </c>
      <c r="J118" s="3"/>
      <c r="K118" s="3" t="s">
        <v>780</v>
      </c>
      <c r="L118" s="3"/>
      <c r="M118" s="3"/>
      <c r="N118" s="3"/>
      <c r="O118" s="3">
        <v>1540</v>
      </c>
      <c r="P118" s="3"/>
      <c r="Q118" s="4">
        <v>46081</v>
      </c>
      <c r="R118" s="5">
        <v>8345.5</v>
      </c>
      <c r="S118" s="3">
        <v>43</v>
      </c>
      <c r="T118" s="3"/>
      <c r="U118" s="3">
        <v>0</v>
      </c>
      <c r="V118" s="3" t="s">
        <v>8</v>
      </c>
      <c r="W118" s="5">
        <v>8345.5</v>
      </c>
      <c r="X118" s="3">
        <v>0</v>
      </c>
      <c r="Y118" s="3">
        <v>0</v>
      </c>
      <c r="Z118" s="3">
        <v>0</v>
      </c>
      <c r="AA118" s="3">
        <v>0</v>
      </c>
      <c r="AB118" s="5">
        <v>8345.5</v>
      </c>
      <c r="AD118" s="25"/>
      <c r="AE118" s="25"/>
      <c r="AF118" s="25"/>
      <c r="AG118" s="32"/>
      <c r="AH118" s="18"/>
      <c r="AI118" s="3"/>
      <c r="AJ118" s="3"/>
      <c r="AK118" s="3"/>
      <c r="AL118" s="15">
        <f>AH118+AI118+AJ118+AK118+AG118</f>
        <v>0</v>
      </c>
      <c r="AM118" s="15">
        <f>AB118-AL118</f>
        <v>8345.5</v>
      </c>
      <c r="AN118" s="15">
        <f>AM118</f>
        <v>8345.5</v>
      </c>
      <c r="AO118" s="15">
        <f>AM118-AN118</f>
        <v>0</v>
      </c>
      <c r="AQ118" s="15">
        <f>AL118-AF118</f>
        <v>0</v>
      </c>
    </row>
    <row r="119" spans="1:43" hidden="1" x14ac:dyDescent="0.25">
      <c r="A119">
        <v>91</v>
      </c>
      <c r="B119" s="10" t="s">
        <v>495</v>
      </c>
      <c r="C119" s="10" t="s">
        <v>1063</v>
      </c>
      <c r="D119" s="3" t="s">
        <v>496</v>
      </c>
      <c r="E119" s="3" t="s">
        <v>314</v>
      </c>
      <c r="F119" s="3" t="s">
        <v>497</v>
      </c>
      <c r="G119" s="3" t="s">
        <v>316</v>
      </c>
      <c r="H119" s="3" t="s">
        <v>14</v>
      </c>
      <c r="I119" s="3" t="s">
        <v>6</v>
      </c>
      <c r="J119" s="3" t="s">
        <v>33</v>
      </c>
      <c r="K119" s="3" t="s">
        <v>498</v>
      </c>
      <c r="L119" s="3"/>
      <c r="M119" s="3"/>
      <c r="N119" s="3"/>
      <c r="O119" s="3">
        <v>2000</v>
      </c>
      <c r="P119" s="3"/>
      <c r="Q119" s="4">
        <v>46081</v>
      </c>
      <c r="R119" s="5">
        <v>2748.44</v>
      </c>
      <c r="S119" s="3">
        <v>359</v>
      </c>
      <c r="T119" s="3"/>
      <c r="U119" s="3">
        <v>0</v>
      </c>
      <c r="V119" s="3" t="s">
        <v>8</v>
      </c>
      <c r="W119" s="5">
        <v>19440.68</v>
      </c>
      <c r="X119" s="3">
        <v>0</v>
      </c>
      <c r="Y119" s="3">
        <v>0</v>
      </c>
      <c r="Z119" s="3">
        <v>0</v>
      </c>
      <c r="AA119" s="5">
        <v>-3.78</v>
      </c>
      <c r="AB119" s="5">
        <v>19436.900000000001</v>
      </c>
      <c r="AD119" s="25"/>
      <c r="AE119" s="25"/>
      <c r="AF119" s="25"/>
      <c r="AG119" s="32"/>
      <c r="AH119" s="18"/>
      <c r="AI119" s="3"/>
      <c r="AJ119" s="3"/>
      <c r="AK119" s="5"/>
      <c r="AL119" s="15">
        <f>AH119+AI119+AJ119+AK119+AG119</f>
        <v>0</v>
      </c>
      <c r="AM119" s="15">
        <f>AB119-AL119</f>
        <v>19436.900000000001</v>
      </c>
      <c r="AN119" s="15">
        <f>AM119</f>
        <v>19436.900000000001</v>
      </c>
      <c r="AO119" s="15">
        <f>AM119-AN119</f>
        <v>0</v>
      </c>
      <c r="AQ119" s="15">
        <f>AL119-AF119</f>
        <v>0</v>
      </c>
    </row>
    <row r="120" spans="1:43" hidden="1" x14ac:dyDescent="0.25">
      <c r="A120">
        <v>92</v>
      </c>
      <c r="B120" s="10" t="s">
        <v>499</v>
      </c>
      <c r="C120" s="10" t="s">
        <v>1064</v>
      </c>
      <c r="D120" s="3" t="s">
        <v>500</v>
      </c>
      <c r="E120" s="3" t="s">
        <v>314</v>
      </c>
      <c r="F120" s="3" t="s">
        <v>501</v>
      </c>
      <c r="G120" s="3" t="s">
        <v>316</v>
      </c>
      <c r="H120" s="3" t="s">
        <v>14</v>
      </c>
      <c r="I120" s="3" t="s">
        <v>6</v>
      </c>
      <c r="J120" s="3" t="s">
        <v>33</v>
      </c>
      <c r="K120" s="3" t="s">
        <v>502</v>
      </c>
      <c r="L120" s="3"/>
      <c r="M120" s="3"/>
      <c r="N120" s="3"/>
      <c r="O120" s="3">
        <v>2000</v>
      </c>
      <c r="P120" s="3"/>
      <c r="Q120" s="4">
        <v>46081</v>
      </c>
      <c r="R120" s="5">
        <v>1212.6400000000001</v>
      </c>
      <c r="S120" s="3">
        <v>71</v>
      </c>
      <c r="T120" s="3" t="s">
        <v>503</v>
      </c>
      <c r="U120" s="3">
        <v>0</v>
      </c>
      <c r="V120" s="3" t="s">
        <v>8</v>
      </c>
      <c r="W120" s="5">
        <v>1212.6400000000001</v>
      </c>
      <c r="X120" s="3">
        <v>0</v>
      </c>
      <c r="Y120" s="3">
        <v>0</v>
      </c>
      <c r="Z120" s="3">
        <v>0</v>
      </c>
      <c r="AA120" s="3">
        <v>0</v>
      </c>
      <c r="AB120" s="5">
        <v>1212.6400000000001</v>
      </c>
      <c r="AD120" s="25"/>
      <c r="AE120" s="25"/>
      <c r="AF120" s="25"/>
      <c r="AG120" s="32"/>
      <c r="AH120" s="18"/>
      <c r="AI120" s="3"/>
      <c r="AJ120" s="3"/>
      <c r="AK120" s="3"/>
      <c r="AL120" s="15">
        <f>AH120+AI120+AJ120+AK120+AG120</f>
        <v>0</v>
      </c>
      <c r="AM120" s="15">
        <f>AB120-AL120</f>
        <v>1212.6400000000001</v>
      </c>
      <c r="AN120" s="15">
        <f>AM120</f>
        <v>1212.6400000000001</v>
      </c>
      <c r="AO120" s="15">
        <f>AM120-AN120</f>
        <v>0</v>
      </c>
      <c r="AQ120" s="15">
        <f>AL120-AF120</f>
        <v>0</v>
      </c>
    </row>
    <row r="121" spans="1:43" hidden="1" x14ac:dyDescent="0.25">
      <c r="A121">
        <v>95</v>
      </c>
      <c r="B121" s="10">
        <v>1151</v>
      </c>
      <c r="C121" s="10" t="s">
        <v>1066</v>
      </c>
      <c r="D121" s="3" t="s">
        <v>514</v>
      </c>
      <c r="E121" s="3" t="s">
        <v>515</v>
      </c>
      <c r="F121" s="3" t="s">
        <v>516</v>
      </c>
      <c r="G121" s="3" t="s">
        <v>517</v>
      </c>
      <c r="H121" s="3" t="s">
        <v>14</v>
      </c>
      <c r="I121" s="3" t="s">
        <v>6</v>
      </c>
      <c r="J121" s="3"/>
      <c r="K121" s="3" t="s">
        <v>518</v>
      </c>
      <c r="L121" s="3"/>
      <c r="M121" s="3"/>
      <c r="N121" s="3" t="s">
        <v>22</v>
      </c>
      <c r="O121" s="3"/>
      <c r="P121" s="3"/>
      <c r="Q121" s="4">
        <v>46079</v>
      </c>
      <c r="R121" s="5">
        <v>2250.8200000000002</v>
      </c>
      <c r="S121" s="6" t="s">
        <v>519</v>
      </c>
      <c r="T121" s="3"/>
      <c r="U121" s="3">
        <v>0</v>
      </c>
      <c r="V121" s="3" t="s">
        <v>8</v>
      </c>
      <c r="W121" s="5">
        <v>10646.61</v>
      </c>
      <c r="X121" s="3">
        <v>0</v>
      </c>
      <c r="Y121" s="3">
        <v>0</v>
      </c>
      <c r="Z121" s="3">
        <v>0</v>
      </c>
      <c r="AA121" s="3">
        <v>0</v>
      </c>
      <c r="AB121" s="5">
        <v>10646.61</v>
      </c>
      <c r="AD121" s="25" t="s">
        <v>1201</v>
      </c>
      <c r="AE121" s="25" t="s">
        <v>1260</v>
      </c>
      <c r="AF121" s="26">
        <v>10682.05</v>
      </c>
      <c r="AG121" s="33">
        <f>AF121</f>
        <v>10682.05</v>
      </c>
      <c r="AH121" s="18"/>
      <c r="AI121" s="3"/>
      <c r="AJ121" s="3"/>
      <c r="AK121" s="3"/>
      <c r="AL121" s="15">
        <f>AH121+AI121+AJ121+AK121+AG121</f>
        <v>10682.05</v>
      </c>
      <c r="AM121" s="15">
        <f>AB121-AL121</f>
        <v>-35.43999999999869</v>
      </c>
      <c r="AN121" s="15">
        <f>AM121</f>
        <v>-35.43999999999869</v>
      </c>
      <c r="AO121" s="15">
        <f>AM121-AN121</f>
        <v>0</v>
      </c>
      <c r="AQ121" s="15">
        <f>AL121-AF121</f>
        <v>0</v>
      </c>
    </row>
    <row r="122" spans="1:43" hidden="1" x14ac:dyDescent="0.25">
      <c r="A122">
        <v>94</v>
      </c>
      <c r="B122" s="10" t="s">
        <v>509</v>
      </c>
      <c r="C122" s="10" t="s">
        <v>1065</v>
      </c>
      <c r="D122" s="3" t="s">
        <v>510</v>
      </c>
      <c r="E122" s="3" t="s">
        <v>30</v>
      </c>
      <c r="F122" s="3" t="s">
        <v>511</v>
      </c>
      <c r="G122" s="3" t="s">
        <v>512</v>
      </c>
      <c r="H122" s="3" t="s">
        <v>14</v>
      </c>
      <c r="I122" s="3" t="s">
        <v>6</v>
      </c>
      <c r="J122" s="3"/>
      <c r="K122" s="3" t="s">
        <v>513</v>
      </c>
      <c r="L122" s="3"/>
      <c r="M122" s="3"/>
      <c r="N122" s="3"/>
      <c r="O122" s="3"/>
      <c r="P122" s="3"/>
      <c r="Q122" s="4">
        <v>46053</v>
      </c>
      <c r="R122" s="5">
        <v>2870.02</v>
      </c>
      <c r="S122" s="3">
        <v>39</v>
      </c>
      <c r="T122" s="3"/>
      <c r="U122" s="3">
        <v>0</v>
      </c>
      <c r="V122" s="3" t="s">
        <v>8</v>
      </c>
      <c r="W122" s="5">
        <v>2870.02</v>
      </c>
      <c r="X122" s="3">
        <v>0</v>
      </c>
      <c r="Y122" s="3">
        <v>0</v>
      </c>
      <c r="Z122" s="3">
        <v>0</v>
      </c>
      <c r="AA122" s="3">
        <v>0</v>
      </c>
      <c r="AB122" s="5">
        <v>2870.02</v>
      </c>
      <c r="AD122" s="25" t="s">
        <v>1201</v>
      </c>
      <c r="AE122" s="25" t="s">
        <v>1259</v>
      </c>
      <c r="AF122" s="26">
        <v>2870.02</v>
      </c>
      <c r="AG122" s="33">
        <f>W122</f>
        <v>2870.02</v>
      </c>
      <c r="AH122" s="18"/>
      <c r="AI122" s="3"/>
      <c r="AJ122" s="3"/>
      <c r="AK122" s="3"/>
      <c r="AL122" s="15">
        <f>AH122+AI122+AJ122+AK122+AG122</f>
        <v>2870.02</v>
      </c>
      <c r="AM122" s="15">
        <f>AB122-AL122</f>
        <v>0</v>
      </c>
      <c r="AN122" s="15">
        <f>AM122</f>
        <v>0</v>
      </c>
      <c r="AO122" s="15">
        <f>AM122-AN122</f>
        <v>0</v>
      </c>
      <c r="AQ122" s="15">
        <f>AL122-AF122</f>
        <v>0</v>
      </c>
    </row>
    <row r="123" spans="1:43" hidden="1" x14ac:dyDescent="0.25">
      <c r="A123">
        <v>96</v>
      </c>
      <c r="B123" s="10" t="s">
        <v>520</v>
      </c>
      <c r="C123" s="10" t="s">
        <v>1067</v>
      </c>
      <c r="D123" s="3" t="s">
        <v>521</v>
      </c>
      <c r="E123" s="3" t="s">
        <v>522</v>
      </c>
      <c r="F123" s="3" t="s">
        <v>523</v>
      </c>
      <c r="G123" s="3" t="s">
        <v>524</v>
      </c>
      <c r="H123" s="3" t="s">
        <v>14</v>
      </c>
      <c r="I123" s="3" t="s">
        <v>6</v>
      </c>
      <c r="J123" s="3"/>
      <c r="K123" s="3" t="s">
        <v>525</v>
      </c>
      <c r="L123" s="3"/>
      <c r="M123" s="3"/>
      <c r="N123" s="3" t="s">
        <v>22</v>
      </c>
      <c r="O123" s="3"/>
      <c r="P123" s="3"/>
      <c r="Q123" s="4">
        <v>46078</v>
      </c>
      <c r="R123" s="5">
        <v>4897.21</v>
      </c>
      <c r="S123" s="3">
        <v>179</v>
      </c>
      <c r="T123" s="3"/>
      <c r="U123" s="3">
        <v>0</v>
      </c>
      <c r="V123" s="3" t="s">
        <v>8</v>
      </c>
      <c r="W123" s="5">
        <v>4012.77</v>
      </c>
      <c r="X123" s="3">
        <v>0</v>
      </c>
      <c r="Y123" s="3">
        <v>0</v>
      </c>
      <c r="Z123" s="3">
        <v>0</v>
      </c>
      <c r="AA123" s="3">
        <v>0</v>
      </c>
      <c r="AB123" s="5">
        <v>4012.77</v>
      </c>
      <c r="AD123" s="25" t="s">
        <v>1201</v>
      </c>
      <c r="AE123" s="25" t="s">
        <v>1262</v>
      </c>
      <c r="AF123" s="26">
        <v>4012.77</v>
      </c>
      <c r="AG123" s="33">
        <f>AF123</f>
        <v>4012.77</v>
      </c>
      <c r="AH123" s="18"/>
      <c r="AI123" s="3"/>
      <c r="AJ123" s="3"/>
      <c r="AK123" s="3"/>
      <c r="AL123" s="15">
        <f>AH123+AI123+AJ123+AK123+AG123</f>
        <v>4012.77</v>
      </c>
      <c r="AM123" s="15">
        <f>AB123-AL123</f>
        <v>0</v>
      </c>
      <c r="AN123" s="15">
        <f>AM123</f>
        <v>0</v>
      </c>
      <c r="AO123" s="15">
        <f>AM123-AN123</f>
        <v>0</v>
      </c>
      <c r="AQ123" s="15">
        <f>AL123-AF123</f>
        <v>0</v>
      </c>
    </row>
    <row r="124" spans="1:43" hidden="1" x14ac:dyDescent="0.25">
      <c r="A124">
        <v>97</v>
      </c>
      <c r="B124" s="10" t="s">
        <v>526</v>
      </c>
      <c r="C124" s="10" t="s">
        <v>1068</v>
      </c>
      <c r="D124" s="3" t="s">
        <v>527</v>
      </c>
      <c r="E124" s="3" t="s">
        <v>314</v>
      </c>
      <c r="F124" s="3" t="s">
        <v>528</v>
      </c>
      <c r="G124" s="3" t="s">
        <v>316</v>
      </c>
      <c r="H124" s="3" t="s">
        <v>14</v>
      </c>
      <c r="I124" s="3" t="s">
        <v>6</v>
      </c>
      <c r="J124" s="3" t="s">
        <v>33</v>
      </c>
      <c r="K124" s="3" t="s">
        <v>529</v>
      </c>
      <c r="L124" s="3"/>
      <c r="M124" s="3"/>
      <c r="N124" s="3"/>
      <c r="O124" s="3">
        <v>1422</v>
      </c>
      <c r="P124" s="3"/>
      <c r="Q124" s="4">
        <v>45930</v>
      </c>
      <c r="R124" s="5">
        <v>1207.5</v>
      </c>
      <c r="S124" s="3">
        <v>1339</v>
      </c>
      <c r="T124" s="3" t="s">
        <v>530</v>
      </c>
      <c r="U124" s="3">
        <v>0</v>
      </c>
      <c r="V124" s="3" t="s">
        <v>8</v>
      </c>
      <c r="W124" s="5">
        <v>28245.61</v>
      </c>
      <c r="X124" s="3">
        <v>0</v>
      </c>
      <c r="Y124" s="3">
        <v>0</v>
      </c>
      <c r="Z124" s="3">
        <v>0</v>
      </c>
      <c r="AA124" s="5">
        <v>-0.1</v>
      </c>
      <c r="AB124" s="5">
        <v>28245.51</v>
      </c>
      <c r="AD124" s="25"/>
      <c r="AE124" s="25"/>
      <c r="AF124" s="25"/>
      <c r="AG124" s="32"/>
      <c r="AH124" s="18"/>
      <c r="AI124" s="3"/>
      <c r="AJ124" s="3"/>
      <c r="AK124" s="5"/>
      <c r="AL124" s="15">
        <f>AH124+AI124+AJ124+AK124+AG124</f>
        <v>0</v>
      </c>
      <c r="AM124" s="15">
        <f>AB124-AL124</f>
        <v>28245.51</v>
      </c>
      <c r="AN124" s="15">
        <f>AM124</f>
        <v>28245.51</v>
      </c>
      <c r="AO124" s="15">
        <f>AM124-AN124</f>
        <v>0</v>
      </c>
      <c r="AQ124" s="15">
        <f>AL124-AF124</f>
        <v>0</v>
      </c>
    </row>
    <row r="125" spans="1:43" hidden="1" x14ac:dyDescent="0.25">
      <c r="A125">
        <v>98</v>
      </c>
      <c r="B125" s="10" t="s">
        <v>531</v>
      </c>
      <c r="C125" s="10" t="s">
        <v>1069</v>
      </c>
      <c r="D125" s="3" t="s">
        <v>532</v>
      </c>
      <c r="E125" s="3" t="s">
        <v>314</v>
      </c>
      <c r="F125" s="3" t="s">
        <v>533</v>
      </c>
      <c r="G125" s="3" t="s">
        <v>316</v>
      </c>
      <c r="H125" s="3"/>
      <c r="I125" s="3" t="s">
        <v>6</v>
      </c>
      <c r="J125" s="3" t="s">
        <v>33</v>
      </c>
      <c r="K125" s="3" t="s">
        <v>534</v>
      </c>
      <c r="L125" s="3"/>
      <c r="M125" s="3"/>
      <c r="N125" s="3" t="s">
        <v>22</v>
      </c>
      <c r="O125" s="3"/>
      <c r="P125" s="3"/>
      <c r="Q125" s="4">
        <v>46081</v>
      </c>
      <c r="R125" s="5">
        <v>1212.6400000000001</v>
      </c>
      <c r="S125" s="3">
        <v>61</v>
      </c>
      <c r="T125" s="3"/>
      <c r="U125" s="3">
        <v>0</v>
      </c>
      <c r="V125" s="3" t="s">
        <v>8</v>
      </c>
      <c r="W125" s="5">
        <v>1212.6400000000001</v>
      </c>
      <c r="X125" s="3">
        <v>0</v>
      </c>
      <c r="Y125" s="3">
        <v>0</v>
      </c>
      <c r="Z125" s="3">
        <v>0</v>
      </c>
      <c r="AA125" s="3">
        <v>0</v>
      </c>
      <c r="AB125" s="5">
        <v>1212.6400000000001</v>
      </c>
      <c r="AD125" s="25"/>
      <c r="AE125" s="25"/>
      <c r="AF125" s="25"/>
      <c r="AG125" s="32"/>
      <c r="AH125" s="18"/>
      <c r="AI125" s="3"/>
      <c r="AJ125" s="3"/>
      <c r="AK125" s="3"/>
      <c r="AL125" s="15">
        <f>AH125+AI125+AJ125+AK125+AG125</f>
        <v>0</v>
      </c>
      <c r="AM125" s="15">
        <f>AB125-AL125</f>
        <v>1212.6400000000001</v>
      </c>
      <c r="AN125" s="15">
        <f>AM125</f>
        <v>1212.6400000000001</v>
      </c>
      <c r="AO125" s="15">
        <f>AM125-AN125</f>
        <v>0</v>
      </c>
      <c r="AQ125" s="15">
        <f>AL125-AF125</f>
        <v>0</v>
      </c>
    </row>
    <row r="126" spans="1:43" hidden="1" x14ac:dyDescent="0.25">
      <c r="A126">
        <v>99</v>
      </c>
      <c r="B126" s="10" t="s">
        <v>535</v>
      </c>
      <c r="C126" s="10" t="s">
        <v>1070</v>
      </c>
      <c r="D126" s="3" t="s">
        <v>536</v>
      </c>
      <c r="E126" s="3" t="s">
        <v>314</v>
      </c>
      <c r="F126" s="3" t="s">
        <v>537</v>
      </c>
      <c r="G126" s="3" t="s">
        <v>316</v>
      </c>
      <c r="H126" s="3" t="s">
        <v>14</v>
      </c>
      <c r="I126" s="3" t="s">
        <v>6</v>
      </c>
      <c r="J126" s="3" t="s">
        <v>33</v>
      </c>
      <c r="K126" s="3" t="s">
        <v>538</v>
      </c>
      <c r="L126" s="3"/>
      <c r="M126" s="3"/>
      <c r="N126" s="3"/>
      <c r="O126" s="3">
        <v>2000</v>
      </c>
      <c r="P126" s="3"/>
      <c r="Q126" s="4">
        <v>46081</v>
      </c>
      <c r="R126" s="5">
        <v>6669.39</v>
      </c>
      <c r="S126" s="3">
        <v>127</v>
      </c>
      <c r="T126" s="3"/>
      <c r="U126" s="3">
        <v>0</v>
      </c>
      <c r="V126" s="3" t="s">
        <v>8</v>
      </c>
      <c r="W126" s="5">
        <v>7558.87</v>
      </c>
      <c r="X126" s="3">
        <v>0</v>
      </c>
      <c r="Y126" s="3">
        <v>0</v>
      </c>
      <c r="Z126" s="3">
        <v>0</v>
      </c>
      <c r="AA126" s="3">
        <v>0</v>
      </c>
      <c r="AB126" s="5">
        <v>7558.87</v>
      </c>
      <c r="AD126" s="25"/>
      <c r="AE126" s="25"/>
      <c r="AF126" s="25"/>
      <c r="AG126" s="32"/>
      <c r="AH126" s="18"/>
      <c r="AI126" s="3"/>
      <c r="AJ126" s="3"/>
      <c r="AK126" s="3"/>
      <c r="AL126" s="15">
        <f>AH126+AI126+AJ126+AK126+AG126</f>
        <v>0</v>
      </c>
      <c r="AM126" s="15">
        <f>AB126-AL126</f>
        <v>7558.87</v>
      </c>
      <c r="AN126" s="15">
        <f>AM126</f>
        <v>7558.87</v>
      </c>
      <c r="AO126" s="15">
        <f>AM126-AN126</f>
        <v>0</v>
      </c>
      <c r="AQ126" s="15">
        <f>AL126-AF126</f>
        <v>0</v>
      </c>
    </row>
    <row r="127" spans="1:43" hidden="1" x14ac:dyDescent="0.25">
      <c r="A127">
        <v>100</v>
      </c>
      <c r="B127" s="10" t="s">
        <v>539</v>
      </c>
      <c r="C127" s="10" t="s">
        <v>1071</v>
      </c>
      <c r="D127" s="3" t="s">
        <v>540</v>
      </c>
      <c r="E127" s="3" t="s">
        <v>314</v>
      </c>
      <c r="F127" s="3" t="s">
        <v>541</v>
      </c>
      <c r="G127" s="3" t="s">
        <v>316</v>
      </c>
      <c r="H127" s="3" t="s">
        <v>14</v>
      </c>
      <c r="I127" s="3" t="s">
        <v>6</v>
      </c>
      <c r="J127" s="3" t="s">
        <v>33</v>
      </c>
      <c r="K127" s="3" t="s">
        <v>542</v>
      </c>
      <c r="L127" s="3"/>
      <c r="M127" s="3"/>
      <c r="N127" s="3"/>
      <c r="O127" s="3">
        <v>1508</v>
      </c>
      <c r="P127" s="3"/>
      <c r="Q127" s="4">
        <v>46081</v>
      </c>
      <c r="R127" s="5">
        <v>13064.4</v>
      </c>
      <c r="S127" s="3">
        <v>273</v>
      </c>
      <c r="T127" s="3" t="s">
        <v>543</v>
      </c>
      <c r="U127" s="3">
        <v>0</v>
      </c>
      <c r="V127" s="3" t="s">
        <v>8</v>
      </c>
      <c r="W127" s="5">
        <v>13064.4</v>
      </c>
      <c r="X127" s="3">
        <v>0</v>
      </c>
      <c r="Y127" s="3">
        <v>0</v>
      </c>
      <c r="Z127" s="3">
        <v>0</v>
      </c>
      <c r="AA127" s="5">
        <v>-0.06</v>
      </c>
      <c r="AB127" s="5">
        <v>13064.34</v>
      </c>
      <c r="AD127" s="25"/>
      <c r="AE127" s="25"/>
      <c r="AF127" s="25"/>
      <c r="AG127" s="32"/>
      <c r="AH127" s="18"/>
      <c r="AI127" s="3"/>
      <c r="AJ127" s="3"/>
      <c r="AK127" s="5"/>
      <c r="AL127" s="15">
        <f>AH127+AI127+AJ127+AK127+AG127</f>
        <v>0</v>
      </c>
      <c r="AM127" s="15">
        <f>AB127-AL127</f>
        <v>13064.34</v>
      </c>
      <c r="AN127" s="15">
        <f>AM127</f>
        <v>13064.34</v>
      </c>
      <c r="AO127" s="15">
        <f>AM127-AN127</f>
        <v>0</v>
      </c>
      <c r="AQ127" s="15">
        <f>AL127-AF127</f>
        <v>0</v>
      </c>
    </row>
    <row r="128" spans="1:43" hidden="1" x14ac:dyDescent="0.25">
      <c r="A128">
        <v>101</v>
      </c>
      <c r="B128" s="10" t="s">
        <v>544</v>
      </c>
      <c r="C128" s="10" t="s">
        <v>1072</v>
      </c>
      <c r="D128" s="3" t="s">
        <v>545</v>
      </c>
      <c r="E128" s="3" t="s">
        <v>314</v>
      </c>
      <c r="F128" s="3" t="s">
        <v>533</v>
      </c>
      <c r="G128" s="3" t="s">
        <v>316</v>
      </c>
      <c r="H128" s="3" t="s">
        <v>14</v>
      </c>
      <c r="I128" s="3" t="s">
        <v>6</v>
      </c>
      <c r="J128" s="3" t="s">
        <v>33</v>
      </c>
      <c r="K128" s="3" t="s">
        <v>546</v>
      </c>
      <c r="L128" s="3"/>
      <c r="M128" s="3"/>
      <c r="N128" s="3"/>
      <c r="O128" s="3">
        <v>4110</v>
      </c>
      <c r="P128" s="3"/>
      <c r="Q128" s="4">
        <v>46081</v>
      </c>
      <c r="R128" s="5">
        <v>4495.95</v>
      </c>
      <c r="S128" s="3">
        <v>62</v>
      </c>
      <c r="T128" s="3"/>
      <c r="U128" s="3">
        <v>0</v>
      </c>
      <c r="V128" s="3" t="s">
        <v>8</v>
      </c>
      <c r="W128" s="5">
        <v>4495.91</v>
      </c>
      <c r="X128" s="3">
        <v>0</v>
      </c>
      <c r="Y128" s="3">
        <v>0</v>
      </c>
      <c r="Z128" s="3">
        <v>0</v>
      </c>
      <c r="AA128" s="3">
        <v>0</v>
      </c>
      <c r="AB128" s="5">
        <v>4495.91</v>
      </c>
      <c r="AD128" s="25"/>
      <c r="AE128" s="25"/>
      <c r="AF128" s="25"/>
      <c r="AG128" s="32"/>
      <c r="AH128" s="18"/>
      <c r="AI128" s="3"/>
      <c r="AJ128" s="3"/>
      <c r="AK128" s="3"/>
      <c r="AL128" s="15">
        <f>AH128+AI128+AJ128+AK128+AG128</f>
        <v>0</v>
      </c>
      <c r="AM128" s="15">
        <f>AB128-AL128</f>
        <v>4495.91</v>
      </c>
      <c r="AN128" s="15">
        <f>AM128</f>
        <v>4495.91</v>
      </c>
      <c r="AO128" s="15">
        <f>AM128-AN128</f>
        <v>0</v>
      </c>
      <c r="AQ128" s="15">
        <f>AL128-AF128</f>
        <v>0</v>
      </c>
    </row>
    <row r="129" spans="1:43" hidden="1" x14ac:dyDescent="0.25">
      <c r="A129">
        <v>176</v>
      </c>
      <c r="B129" s="10" t="s">
        <v>909</v>
      </c>
      <c r="C129" s="10" t="s">
        <v>1124</v>
      </c>
      <c r="D129" s="3" t="s">
        <v>910</v>
      </c>
      <c r="E129" s="3" t="s">
        <v>314</v>
      </c>
      <c r="F129" s="3" t="s">
        <v>911</v>
      </c>
      <c r="G129" s="3" t="s">
        <v>316</v>
      </c>
      <c r="H129" s="3" t="s">
        <v>14</v>
      </c>
      <c r="I129" s="3" t="s">
        <v>6</v>
      </c>
      <c r="J129" s="3" t="s">
        <v>33</v>
      </c>
      <c r="K129" s="3" t="s">
        <v>912</v>
      </c>
      <c r="L129" s="3"/>
      <c r="M129" s="3"/>
      <c r="N129" s="3"/>
      <c r="O129" s="3">
        <v>4000</v>
      </c>
      <c r="P129" s="3"/>
      <c r="Q129" s="4">
        <v>46081</v>
      </c>
      <c r="R129" s="5">
        <v>8547.09</v>
      </c>
      <c r="S129" s="3">
        <v>210</v>
      </c>
      <c r="T129" s="3"/>
      <c r="U129" s="3">
        <v>0</v>
      </c>
      <c r="V129" s="3" t="s">
        <v>8</v>
      </c>
      <c r="W129" s="5">
        <v>8547.09</v>
      </c>
      <c r="X129" s="3">
        <v>0</v>
      </c>
      <c r="Y129" s="3">
        <v>0</v>
      </c>
      <c r="Z129" s="3">
        <v>0</v>
      </c>
      <c r="AA129" s="3">
        <v>0</v>
      </c>
      <c r="AB129" s="5">
        <v>8547.09</v>
      </c>
      <c r="AD129" s="25"/>
      <c r="AE129" s="25"/>
      <c r="AF129" s="25"/>
      <c r="AG129" s="32"/>
      <c r="AH129" s="18"/>
      <c r="AI129" s="3"/>
      <c r="AJ129" s="3"/>
      <c r="AK129" s="3"/>
      <c r="AL129" s="15">
        <f>AH129+AI129+AJ129+AK129+AG129</f>
        <v>0</v>
      </c>
      <c r="AM129" s="15">
        <f>AB129-AL129</f>
        <v>8547.09</v>
      </c>
      <c r="AN129" s="15">
        <f>AM129</f>
        <v>8547.09</v>
      </c>
      <c r="AO129" s="15">
        <f>AM129-AN129</f>
        <v>0</v>
      </c>
      <c r="AQ129" s="15">
        <f>AL129-AF129</f>
        <v>0</v>
      </c>
    </row>
    <row r="130" spans="1:43" hidden="1" x14ac:dyDescent="0.25">
      <c r="A130">
        <v>102</v>
      </c>
      <c r="B130" s="10" t="s">
        <v>547</v>
      </c>
      <c r="C130" s="10" t="s">
        <v>1073</v>
      </c>
      <c r="D130" s="3" t="s">
        <v>548</v>
      </c>
      <c r="E130" s="3" t="s">
        <v>314</v>
      </c>
      <c r="F130" s="3" t="s">
        <v>549</v>
      </c>
      <c r="G130" s="3" t="s">
        <v>316</v>
      </c>
      <c r="H130" s="3" t="s">
        <v>14</v>
      </c>
      <c r="I130" s="3" t="s">
        <v>6</v>
      </c>
      <c r="J130" s="3" t="s">
        <v>33</v>
      </c>
      <c r="K130" s="3" t="s">
        <v>550</v>
      </c>
      <c r="L130" s="3"/>
      <c r="M130" s="3"/>
      <c r="N130" s="3"/>
      <c r="O130" s="3">
        <v>9300</v>
      </c>
      <c r="P130" s="3"/>
      <c r="Q130" s="4">
        <v>46081</v>
      </c>
      <c r="R130" s="5">
        <v>15462.71</v>
      </c>
      <c r="S130" s="3">
        <v>284</v>
      </c>
      <c r="T130" s="3"/>
      <c r="U130" s="3">
        <v>0</v>
      </c>
      <c r="V130" s="3" t="s">
        <v>8</v>
      </c>
      <c r="W130" s="5">
        <v>15462.71</v>
      </c>
      <c r="X130" s="3">
        <v>0</v>
      </c>
      <c r="Y130" s="3">
        <v>0.01</v>
      </c>
      <c r="Z130" s="3">
        <v>0</v>
      </c>
      <c r="AA130" s="5">
        <v>-0.08</v>
      </c>
      <c r="AB130" s="5">
        <v>15462.64</v>
      </c>
      <c r="AD130" s="25"/>
      <c r="AE130" s="25"/>
      <c r="AF130" s="32"/>
      <c r="AG130" s="89"/>
      <c r="AH130" s="18"/>
      <c r="AI130" s="3"/>
      <c r="AJ130" s="3"/>
      <c r="AK130" s="5"/>
      <c r="AL130" s="15">
        <f>AH130+AI130+AJ130+AK130+AG130</f>
        <v>0</v>
      </c>
      <c r="AM130" s="15">
        <f>AB130-AL130</f>
        <v>15462.64</v>
      </c>
      <c r="AN130" s="15">
        <f>AM130</f>
        <v>15462.64</v>
      </c>
      <c r="AO130" s="15">
        <f>AM130-AN130</f>
        <v>0</v>
      </c>
      <c r="AQ130" s="15">
        <f>AL130-AF130</f>
        <v>0</v>
      </c>
    </row>
    <row r="131" spans="1:43" hidden="1" x14ac:dyDescent="0.25">
      <c r="A131">
        <v>104</v>
      </c>
      <c r="B131" s="10" t="s">
        <v>555</v>
      </c>
      <c r="C131" s="10" t="s">
        <v>1074</v>
      </c>
      <c r="D131" s="3" t="s">
        <v>556</v>
      </c>
      <c r="E131" s="3" t="s">
        <v>314</v>
      </c>
      <c r="F131" s="3" t="s">
        <v>557</v>
      </c>
      <c r="G131" s="3" t="s">
        <v>316</v>
      </c>
      <c r="H131" s="3" t="s">
        <v>14</v>
      </c>
      <c r="I131" s="3" t="s">
        <v>6</v>
      </c>
      <c r="J131" s="3" t="s">
        <v>33</v>
      </c>
      <c r="K131" s="3" t="s">
        <v>558</v>
      </c>
      <c r="L131" s="3"/>
      <c r="M131" s="3"/>
      <c r="N131" s="3"/>
      <c r="O131" s="3">
        <v>7535</v>
      </c>
      <c r="P131" s="3"/>
      <c r="Q131" s="4">
        <v>46081</v>
      </c>
      <c r="R131" s="5">
        <v>23815.02</v>
      </c>
      <c r="S131" s="3">
        <v>290</v>
      </c>
      <c r="T131" s="3" t="s">
        <v>559</v>
      </c>
      <c r="U131" s="3">
        <v>0</v>
      </c>
      <c r="V131" s="3" t="s">
        <v>8</v>
      </c>
      <c r="W131" s="5">
        <v>23815.02</v>
      </c>
      <c r="X131" s="3">
        <v>0</v>
      </c>
      <c r="Y131" s="3">
        <v>0</v>
      </c>
      <c r="Z131" s="3">
        <v>0</v>
      </c>
      <c r="AA131" s="3">
        <v>0</v>
      </c>
      <c r="AB131" s="5">
        <v>23815.02</v>
      </c>
      <c r="AD131" s="25"/>
      <c r="AE131" s="25"/>
      <c r="AF131" s="25"/>
      <c r="AG131" s="32"/>
      <c r="AH131" s="18"/>
      <c r="AI131" s="3"/>
      <c r="AJ131" s="3"/>
      <c r="AK131" s="3"/>
      <c r="AL131" s="15">
        <f>AH131+AI131+AJ131+AK131+AG131</f>
        <v>0</v>
      </c>
      <c r="AM131" s="15">
        <f>AB131-AL131</f>
        <v>23815.02</v>
      </c>
      <c r="AN131" s="15">
        <f>AM131</f>
        <v>23815.02</v>
      </c>
      <c r="AO131" s="15">
        <f>AM131-AN131</f>
        <v>0</v>
      </c>
      <c r="AQ131" s="15">
        <f>AL131-AF131</f>
        <v>0</v>
      </c>
    </row>
    <row r="132" spans="1:43" hidden="1" x14ac:dyDescent="0.25">
      <c r="A132">
        <v>105</v>
      </c>
      <c r="B132" s="10" t="s">
        <v>560</v>
      </c>
      <c r="C132" s="10" t="s">
        <v>1075</v>
      </c>
      <c r="D132" s="3" t="s">
        <v>561</v>
      </c>
      <c r="E132" s="3" t="s">
        <v>314</v>
      </c>
      <c r="F132" s="3" t="s">
        <v>533</v>
      </c>
      <c r="G132" s="3" t="s">
        <v>316</v>
      </c>
      <c r="H132" s="3" t="s">
        <v>14</v>
      </c>
      <c r="I132" s="3" t="s">
        <v>6</v>
      </c>
      <c r="J132" s="3" t="s">
        <v>33</v>
      </c>
      <c r="K132" s="3" t="s">
        <v>546</v>
      </c>
      <c r="L132" s="3"/>
      <c r="M132" s="3"/>
      <c r="N132" s="3"/>
      <c r="O132" s="3">
        <v>4000</v>
      </c>
      <c r="P132" s="3"/>
      <c r="Q132" s="4">
        <v>46081</v>
      </c>
      <c r="R132" s="5">
        <v>3314.76</v>
      </c>
      <c r="S132" s="3">
        <v>216</v>
      </c>
      <c r="T132" s="3" t="s">
        <v>562</v>
      </c>
      <c r="U132" s="3">
        <v>0</v>
      </c>
      <c r="V132" s="3" t="s">
        <v>8</v>
      </c>
      <c r="W132" s="5">
        <v>30561.75</v>
      </c>
      <c r="X132" s="3">
        <v>0.01</v>
      </c>
      <c r="Y132" s="3">
        <v>0.01</v>
      </c>
      <c r="Z132" s="3">
        <v>0.01</v>
      </c>
      <c r="AA132" s="3">
        <v>0.01</v>
      </c>
      <c r="AB132" s="5">
        <v>30561.79</v>
      </c>
      <c r="AD132" s="25"/>
      <c r="AE132" s="25"/>
      <c r="AF132" s="25"/>
      <c r="AG132" s="32"/>
      <c r="AH132" s="18"/>
      <c r="AI132" s="3"/>
      <c r="AJ132" s="3"/>
      <c r="AK132" s="3"/>
      <c r="AL132" s="15">
        <f>AH132+AI132+AJ132+AK132+AG132</f>
        <v>0</v>
      </c>
      <c r="AM132" s="15">
        <f>AB132-AL132</f>
        <v>30561.79</v>
      </c>
      <c r="AN132" s="15">
        <f>AM132</f>
        <v>30561.79</v>
      </c>
      <c r="AO132" s="15">
        <f>AM132-AN132</f>
        <v>0</v>
      </c>
      <c r="AQ132" s="15">
        <f>AL132-AF132</f>
        <v>0</v>
      </c>
    </row>
    <row r="133" spans="1:43" hidden="1" x14ac:dyDescent="0.25">
      <c r="A133">
        <v>106</v>
      </c>
      <c r="B133" s="10" t="s">
        <v>563</v>
      </c>
      <c r="C133" s="10" t="s">
        <v>1076</v>
      </c>
      <c r="D133" s="3" t="s">
        <v>564</v>
      </c>
      <c r="E133" s="3" t="s">
        <v>314</v>
      </c>
      <c r="F133" s="3" t="s">
        <v>541</v>
      </c>
      <c r="G133" s="3" t="s">
        <v>316</v>
      </c>
      <c r="H133" s="3" t="s">
        <v>14</v>
      </c>
      <c r="I133" s="3" t="s">
        <v>6</v>
      </c>
      <c r="J133" s="3" t="s">
        <v>33</v>
      </c>
      <c r="K133" s="3" t="s">
        <v>565</v>
      </c>
      <c r="L133" s="3"/>
      <c r="M133" s="3"/>
      <c r="N133" s="3"/>
      <c r="O133" s="3">
        <v>2000</v>
      </c>
      <c r="P133" s="3"/>
      <c r="Q133" s="4">
        <v>46081</v>
      </c>
      <c r="R133" s="5">
        <v>62304.67</v>
      </c>
      <c r="S133" s="3">
        <v>463</v>
      </c>
      <c r="T133" s="3" t="s">
        <v>566</v>
      </c>
      <c r="U133" s="3">
        <v>0</v>
      </c>
      <c r="V133" s="3" t="s">
        <v>8</v>
      </c>
      <c r="W133" s="5">
        <v>62304.639999999999</v>
      </c>
      <c r="X133" s="3">
        <v>0</v>
      </c>
      <c r="Y133" s="3">
        <v>0</v>
      </c>
      <c r="Z133" s="3">
        <v>0</v>
      </c>
      <c r="AA133" s="5">
        <v>-0.38</v>
      </c>
      <c r="AB133" s="5">
        <v>62304.26</v>
      </c>
      <c r="AD133" s="25"/>
      <c r="AE133" s="25"/>
      <c r="AF133" s="25"/>
      <c r="AG133" s="32"/>
      <c r="AH133" s="18"/>
      <c r="AI133" s="3"/>
      <c r="AJ133" s="3"/>
      <c r="AK133" s="5"/>
      <c r="AL133" s="15">
        <f>AH133+AI133+AJ133+AK133+AG133</f>
        <v>0</v>
      </c>
      <c r="AM133" s="15">
        <f>AB133-AL133</f>
        <v>62304.26</v>
      </c>
      <c r="AN133" s="15">
        <f>AM133</f>
        <v>62304.26</v>
      </c>
      <c r="AO133" s="15">
        <f>AM133-AN133</f>
        <v>0</v>
      </c>
      <c r="AQ133" s="15">
        <f>AL133-AF133</f>
        <v>0</v>
      </c>
    </row>
    <row r="134" spans="1:43" hidden="1" x14ac:dyDescent="0.25">
      <c r="A134">
        <v>111</v>
      </c>
      <c r="B134" s="10" t="s">
        <v>584</v>
      </c>
      <c r="C134" s="10" t="s">
        <v>1079</v>
      </c>
      <c r="D134" s="3" t="s">
        <v>585</v>
      </c>
      <c r="E134" s="3" t="s">
        <v>314</v>
      </c>
      <c r="F134" s="3" t="s">
        <v>586</v>
      </c>
      <c r="G134" s="3" t="s">
        <v>316</v>
      </c>
      <c r="H134" s="3" t="s">
        <v>14</v>
      </c>
      <c r="I134" s="3" t="s">
        <v>6</v>
      </c>
      <c r="J134" s="3" t="s">
        <v>33</v>
      </c>
      <c r="K134" s="3" t="s">
        <v>587</v>
      </c>
      <c r="L134" s="3"/>
      <c r="M134" s="3"/>
      <c r="N134" s="3"/>
      <c r="O134" s="3">
        <v>1467</v>
      </c>
      <c r="P134" s="3"/>
      <c r="Q134" s="4">
        <v>46081</v>
      </c>
      <c r="R134" s="5">
        <v>19058.46</v>
      </c>
      <c r="S134" s="3">
        <v>357</v>
      </c>
      <c r="T134" s="3"/>
      <c r="U134" s="3">
        <v>0</v>
      </c>
      <c r="V134" s="3" t="s">
        <v>8</v>
      </c>
      <c r="W134" s="5">
        <v>18613.72</v>
      </c>
      <c r="X134" s="3">
        <v>0</v>
      </c>
      <c r="Y134" s="3">
        <v>0</v>
      </c>
      <c r="Z134" s="3">
        <v>0</v>
      </c>
      <c r="AA134" s="3">
        <v>0</v>
      </c>
      <c r="AB134" s="5">
        <v>18613.72</v>
      </c>
      <c r="AD134" s="25"/>
      <c r="AE134" s="25"/>
      <c r="AF134" s="25"/>
      <c r="AG134" s="32"/>
      <c r="AH134" s="18"/>
      <c r="AI134" s="3"/>
      <c r="AJ134" s="3"/>
      <c r="AK134" s="3"/>
      <c r="AL134" s="15">
        <f>AH134+AI134+AJ134+AK134+AG134</f>
        <v>0</v>
      </c>
      <c r="AM134" s="15">
        <f>AB134-AL134</f>
        <v>18613.72</v>
      </c>
      <c r="AN134" s="15">
        <f>AM134</f>
        <v>18613.72</v>
      </c>
      <c r="AO134" s="15">
        <f>AM134-AN134</f>
        <v>0</v>
      </c>
      <c r="AQ134" s="15">
        <f>AL134-AF134</f>
        <v>0</v>
      </c>
    </row>
    <row r="135" spans="1:43" hidden="1" x14ac:dyDescent="0.25">
      <c r="A135">
        <v>107</v>
      </c>
      <c r="B135" s="10" t="s">
        <v>567</v>
      </c>
      <c r="C135" s="10" t="s">
        <v>1077</v>
      </c>
      <c r="D135" s="3" t="s">
        <v>568</v>
      </c>
      <c r="E135" s="3" t="s">
        <v>314</v>
      </c>
      <c r="F135" s="3" t="s">
        <v>569</v>
      </c>
      <c r="G135" s="3" t="s">
        <v>316</v>
      </c>
      <c r="H135" s="3" t="s">
        <v>14</v>
      </c>
      <c r="I135" s="3" t="s">
        <v>6</v>
      </c>
      <c r="J135" s="3"/>
      <c r="K135" s="3" t="s">
        <v>570</v>
      </c>
      <c r="L135" s="3"/>
      <c r="M135" s="3"/>
      <c r="N135" s="3"/>
      <c r="O135" s="3">
        <v>2000</v>
      </c>
      <c r="P135" s="3"/>
      <c r="Q135" s="4">
        <v>46081</v>
      </c>
      <c r="R135" s="5">
        <v>4091.06</v>
      </c>
      <c r="S135" s="3">
        <v>414</v>
      </c>
      <c r="T135" s="3"/>
      <c r="U135" s="3">
        <v>0</v>
      </c>
      <c r="V135" s="3" t="s">
        <v>8</v>
      </c>
      <c r="W135" s="5">
        <v>3646.31</v>
      </c>
      <c r="X135" s="3">
        <v>0</v>
      </c>
      <c r="Y135" s="3">
        <v>0</v>
      </c>
      <c r="Z135" s="3">
        <v>0</v>
      </c>
      <c r="AA135" s="3">
        <v>0.04</v>
      </c>
      <c r="AB135" s="5">
        <v>3646.35</v>
      </c>
      <c r="AD135" s="25"/>
      <c r="AE135" s="25"/>
      <c r="AF135" s="25"/>
      <c r="AG135" s="32"/>
      <c r="AH135" s="18"/>
      <c r="AI135" s="3"/>
      <c r="AJ135" s="3"/>
      <c r="AK135" s="3"/>
      <c r="AL135" s="15">
        <f>AH135+AI135+AJ135+AK135+AG135</f>
        <v>0</v>
      </c>
      <c r="AM135" s="15">
        <f>AB135-AL135</f>
        <v>3646.35</v>
      </c>
      <c r="AN135" s="15">
        <f>AM135</f>
        <v>3646.35</v>
      </c>
      <c r="AO135" s="15">
        <f>AM135-AN135</f>
        <v>0</v>
      </c>
      <c r="AQ135" s="15">
        <f>AL135-AF135</f>
        <v>0</v>
      </c>
    </row>
    <row r="136" spans="1:43" hidden="1" x14ac:dyDescent="0.25">
      <c r="A136">
        <v>108</v>
      </c>
      <c r="B136" s="10" t="s">
        <v>571</v>
      </c>
      <c r="C136" s="10" t="s">
        <v>1078</v>
      </c>
      <c r="D136" s="3" t="s">
        <v>572</v>
      </c>
      <c r="E136" s="3" t="s">
        <v>314</v>
      </c>
      <c r="F136" s="3" t="s">
        <v>541</v>
      </c>
      <c r="G136" s="3" t="s">
        <v>316</v>
      </c>
      <c r="H136" s="3" t="s">
        <v>14</v>
      </c>
      <c r="I136" s="3" t="s">
        <v>6</v>
      </c>
      <c r="J136" s="3" t="s">
        <v>33</v>
      </c>
      <c r="K136" s="3" t="s">
        <v>573</v>
      </c>
      <c r="L136" s="3"/>
      <c r="M136" s="3"/>
      <c r="N136" s="3"/>
      <c r="O136" s="3">
        <v>1390</v>
      </c>
      <c r="P136" s="3"/>
      <c r="Q136" s="4">
        <v>46081</v>
      </c>
      <c r="R136" s="5">
        <v>4051.17</v>
      </c>
      <c r="S136" s="3">
        <v>166</v>
      </c>
      <c r="T136" s="3" t="s">
        <v>574</v>
      </c>
      <c r="U136" s="3">
        <v>0</v>
      </c>
      <c r="V136" s="3" t="s">
        <v>8</v>
      </c>
      <c r="W136" s="5">
        <v>4051.17</v>
      </c>
      <c r="X136" s="3">
        <v>0</v>
      </c>
      <c r="Y136" s="3">
        <v>0</v>
      </c>
      <c r="Z136" s="3">
        <v>0</v>
      </c>
      <c r="AA136" s="3">
        <v>0</v>
      </c>
      <c r="AB136" s="5">
        <v>4051.17</v>
      </c>
      <c r="AD136" s="25"/>
      <c r="AE136" s="25"/>
      <c r="AF136" s="25"/>
      <c r="AG136" s="32"/>
      <c r="AH136" s="18"/>
      <c r="AI136" s="3"/>
      <c r="AJ136" s="3"/>
      <c r="AK136" s="3"/>
      <c r="AL136" s="15">
        <f>AH136+AI136+AJ136+AK136+AG136</f>
        <v>0</v>
      </c>
      <c r="AM136" s="15">
        <f>AB136-AL136</f>
        <v>4051.17</v>
      </c>
      <c r="AN136" s="15">
        <f>AM136</f>
        <v>4051.17</v>
      </c>
      <c r="AO136" s="15">
        <f>AM136-AN136</f>
        <v>0</v>
      </c>
      <c r="AQ136" s="15">
        <f>AL136-AF136</f>
        <v>0</v>
      </c>
    </row>
    <row r="137" spans="1:43" hidden="1" x14ac:dyDescent="0.25">
      <c r="A137">
        <v>110</v>
      </c>
      <c r="B137" s="10" t="s">
        <v>580</v>
      </c>
      <c r="C137" s="10" t="s">
        <v>1080</v>
      </c>
      <c r="D137" s="3" t="s">
        <v>581</v>
      </c>
      <c r="E137" s="3" t="s">
        <v>314</v>
      </c>
      <c r="F137" s="3" t="s">
        <v>582</v>
      </c>
      <c r="G137" s="3" t="s">
        <v>316</v>
      </c>
      <c r="H137" s="3" t="s">
        <v>14</v>
      </c>
      <c r="I137" s="3" t="s">
        <v>6</v>
      </c>
      <c r="J137" s="3" t="s">
        <v>33</v>
      </c>
      <c r="K137" s="3" t="s">
        <v>583</v>
      </c>
      <c r="L137" s="3"/>
      <c r="M137" s="3"/>
      <c r="N137" s="3"/>
      <c r="O137" s="3">
        <v>6000</v>
      </c>
      <c r="P137" s="3"/>
      <c r="Q137" s="4">
        <v>46081</v>
      </c>
      <c r="R137" s="5">
        <v>8642.8799999999992</v>
      </c>
      <c r="S137" s="3">
        <v>239</v>
      </c>
      <c r="T137" s="3"/>
      <c r="U137" s="3">
        <v>0</v>
      </c>
      <c r="V137" s="3" t="s">
        <v>8</v>
      </c>
      <c r="W137" s="5">
        <v>8642.89</v>
      </c>
      <c r="X137" s="3">
        <v>0</v>
      </c>
      <c r="Y137" s="3">
        <v>0</v>
      </c>
      <c r="Z137" s="3">
        <v>0</v>
      </c>
      <c r="AA137" s="5">
        <v>-0.39</v>
      </c>
      <c r="AB137" s="5">
        <v>8642.5</v>
      </c>
      <c r="AD137" s="25"/>
      <c r="AE137" s="25"/>
      <c r="AF137" s="25"/>
      <c r="AG137" s="32"/>
      <c r="AH137" s="18"/>
      <c r="AI137" s="3"/>
      <c r="AJ137" s="3"/>
      <c r="AK137" s="5"/>
      <c r="AL137" s="15">
        <f>AH137+AI137+AJ137+AK137+AG137</f>
        <v>0</v>
      </c>
      <c r="AM137" s="15">
        <f>AB137-AL137</f>
        <v>8642.5</v>
      </c>
      <c r="AN137" s="15">
        <f>AM137</f>
        <v>8642.5</v>
      </c>
      <c r="AO137" s="15">
        <f>AM137-AN137</f>
        <v>0</v>
      </c>
      <c r="AQ137" s="15">
        <f>AL137-AF137</f>
        <v>0</v>
      </c>
    </row>
    <row r="138" spans="1:43" hidden="1" x14ac:dyDescent="0.25">
      <c r="A138">
        <v>177</v>
      </c>
      <c r="B138" s="10" t="s">
        <v>913</v>
      </c>
      <c r="C138" s="10" t="s">
        <v>1125</v>
      </c>
      <c r="D138" s="3" t="s">
        <v>914</v>
      </c>
      <c r="E138" s="3" t="s">
        <v>314</v>
      </c>
      <c r="F138" s="3" t="s">
        <v>915</v>
      </c>
      <c r="G138" s="3" t="s">
        <v>316</v>
      </c>
      <c r="H138" s="3" t="s">
        <v>14</v>
      </c>
      <c r="I138" s="3" t="s">
        <v>6</v>
      </c>
      <c r="J138" s="3" t="s">
        <v>33</v>
      </c>
      <c r="K138" s="3" t="s">
        <v>916</v>
      </c>
      <c r="L138" s="3"/>
      <c r="M138" s="3"/>
      <c r="N138" s="3"/>
      <c r="O138" s="3">
        <v>1451</v>
      </c>
      <c r="P138" s="3"/>
      <c r="Q138" s="4">
        <v>46081</v>
      </c>
      <c r="R138" s="5">
        <v>14970.66</v>
      </c>
      <c r="S138" s="3">
        <v>280</v>
      </c>
      <c r="T138" s="3"/>
      <c r="U138" s="3">
        <v>0</v>
      </c>
      <c r="V138" s="3" t="s">
        <v>8</v>
      </c>
      <c r="W138" s="5">
        <v>14970.65</v>
      </c>
      <c r="X138" s="3">
        <v>0</v>
      </c>
      <c r="Y138" s="3">
        <v>0</v>
      </c>
      <c r="Z138" s="3">
        <v>0</v>
      </c>
      <c r="AA138" s="3">
        <v>0</v>
      </c>
      <c r="AB138" s="5">
        <v>14970.65</v>
      </c>
      <c r="AD138" s="25"/>
      <c r="AE138" s="25"/>
      <c r="AF138" s="25"/>
      <c r="AG138" s="32"/>
      <c r="AH138" s="18"/>
      <c r="AI138" s="3"/>
      <c r="AJ138" s="3"/>
      <c r="AK138" s="3"/>
      <c r="AL138" s="15">
        <f>AH138+AI138+AJ138+AK138+AG138</f>
        <v>0</v>
      </c>
      <c r="AM138" s="15">
        <f>AB138-AL138</f>
        <v>14970.65</v>
      </c>
      <c r="AN138" s="15">
        <f>AM138</f>
        <v>14970.65</v>
      </c>
      <c r="AO138" s="15">
        <f>AM138-AN138</f>
        <v>0</v>
      </c>
      <c r="AQ138" s="15">
        <f>AL138-AF138</f>
        <v>0</v>
      </c>
    </row>
    <row r="139" spans="1:43" hidden="1" x14ac:dyDescent="0.25">
      <c r="A139">
        <v>178</v>
      </c>
      <c r="B139" s="10" t="s">
        <v>917</v>
      </c>
      <c r="C139" s="10" t="s">
        <v>1126</v>
      </c>
      <c r="D139" s="3" t="s">
        <v>918</v>
      </c>
      <c r="E139" s="3" t="s">
        <v>314</v>
      </c>
      <c r="F139" s="3" t="s">
        <v>919</v>
      </c>
      <c r="G139" s="3" t="s">
        <v>316</v>
      </c>
      <c r="H139" s="3" t="s">
        <v>14</v>
      </c>
      <c r="I139" s="3" t="s">
        <v>6</v>
      </c>
      <c r="J139" s="3" t="s">
        <v>33</v>
      </c>
      <c r="K139" s="3" t="s">
        <v>920</v>
      </c>
      <c r="L139" s="3"/>
      <c r="M139" s="3"/>
      <c r="N139" s="3"/>
      <c r="O139" s="3">
        <v>8466</v>
      </c>
      <c r="P139" s="3"/>
      <c r="Q139" s="4">
        <v>46081</v>
      </c>
      <c r="R139" s="5">
        <v>6746.73</v>
      </c>
      <c r="S139" s="3">
        <v>213</v>
      </c>
      <c r="T139" s="3"/>
      <c r="U139" s="3">
        <v>0</v>
      </c>
      <c r="V139" s="3" t="s">
        <v>8</v>
      </c>
      <c r="W139" s="5">
        <v>6746.73</v>
      </c>
      <c r="X139" s="3">
        <v>0</v>
      </c>
      <c r="Y139" s="3">
        <v>0</v>
      </c>
      <c r="Z139" s="3">
        <v>0</v>
      </c>
      <c r="AA139" s="3">
        <v>0</v>
      </c>
      <c r="AB139" s="5">
        <v>6746.73</v>
      </c>
      <c r="AD139" s="25"/>
      <c r="AE139" s="25"/>
      <c r="AF139" s="25"/>
      <c r="AG139" s="32"/>
      <c r="AH139" s="18"/>
      <c r="AI139" s="3"/>
      <c r="AJ139" s="3"/>
      <c r="AK139" s="3"/>
      <c r="AL139" s="15">
        <f>AH139+AI139+AJ139+AK139+AG139</f>
        <v>0</v>
      </c>
      <c r="AM139" s="15">
        <f>AB139-AL139</f>
        <v>6746.73</v>
      </c>
      <c r="AN139" s="15">
        <f>AM139</f>
        <v>6746.73</v>
      </c>
      <c r="AO139" s="15">
        <f>AM139-AN139</f>
        <v>0</v>
      </c>
      <c r="AQ139" s="15">
        <f>AL139-AF139</f>
        <v>0</v>
      </c>
    </row>
    <row r="140" spans="1:43" hidden="1" x14ac:dyDescent="0.25">
      <c r="A140">
        <v>179</v>
      </c>
      <c r="B140" s="10" t="s">
        <v>921</v>
      </c>
      <c r="C140" s="10" t="s">
        <v>1127</v>
      </c>
      <c r="D140" s="3" t="s">
        <v>922</v>
      </c>
      <c r="E140" s="3" t="s">
        <v>314</v>
      </c>
      <c r="F140" s="3" t="s">
        <v>923</v>
      </c>
      <c r="G140" s="3" t="s">
        <v>316</v>
      </c>
      <c r="H140" s="3" t="s">
        <v>14</v>
      </c>
      <c r="I140" s="3" t="s">
        <v>6</v>
      </c>
      <c r="J140" s="3" t="s">
        <v>33</v>
      </c>
      <c r="K140" s="3" t="s">
        <v>924</v>
      </c>
      <c r="L140" s="3"/>
      <c r="M140" s="3"/>
      <c r="N140" s="3"/>
      <c r="O140" s="3">
        <v>2570</v>
      </c>
      <c r="P140" s="3"/>
      <c r="Q140" s="4">
        <v>46081</v>
      </c>
      <c r="R140" s="5">
        <v>7011.14</v>
      </c>
      <c r="S140" s="3">
        <v>294</v>
      </c>
      <c r="T140" s="3"/>
      <c r="U140" s="3">
        <v>0</v>
      </c>
      <c r="V140" s="3" t="s">
        <v>8</v>
      </c>
      <c r="W140" s="5">
        <v>8368.25</v>
      </c>
      <c r="X140" s="3">
        <v>0</v>
      </c>
      <c r="Y140" s="3">
        <v>0</v>
      </c>
      <c r="Z140" s="3">
        <v>0</v>
      </c>
      <c r="AA140" s="5">
        <v>-7.0000000000000007E-2</v>
      </c>
      <c r="AB140" s="5">
        <v>8368.18</v>
      </c>
      <c r="AD140" s="25"/>
      <c r="AE140" s="25"/>
      <c r="AF140" s="25"/>
      <c r="AG140" s="32"/>
      <c r="AH140" s="18"/>
      <c r="AI140" s="3"/>
      <c r="AJ140" s="3"/>
      <c r="AK140" s="5"/>
      <c r="AL140" s="15">
        <f>AH140+AI140+AJ140+AK140+AG140</f>
        <v>0</v>
      </c>
      <c r="AM140" s="15">
        <f>AB140-AL140</f>
        <v>8368.18</v>
      </c>
      <c r="AN140" s="15">
        <f>AM140</f>
        <v>8368.18</v>
      </c>
      <c r="AO140" s="15">
        <f>AM140-AN140</f>
        <v>0</v>
      </c>
      <c r="AQ140" s="15">
        <f>AL140-AF140</f>
        <v>0</v>
      </c>
    </row>
    <row r="141" spans="1:43" hidden="1" x14ac:dyDescent="0.25">
      <c r="A141">
        <v>180</v>
      </c>
      <c r="B141" s="10" t="s">
        <v>925</v>
      </c>
      <c r="C141" s="10" t="s">
        <v>1128</v>
      </c>
      <c r="D141" s="3" t="s">
        <v>926</v>
      </c>
      <c r="E141" s="3" t="s">
        <v>314</v>
      </c>
      <c r="F141" s="3" t="s">
        <v>927</v>
      </c>
      <c r="G141" s="3" t="s">
        <v>316</v>
      </c>
      <c r="H141" s="3" t="s">
        <v>14</v>
      </c>
      <c r="I141" s="3" t="s">
        <v>6</v>
      </c>
      <c r="J141" s="3" t="s">
        <v>33</v>
      </c>
      <c r="K141" s="3" t="s">
        <v>928</v>
      </c>
      <c r="L141" s="3"/>
      <c r="M141" s="3"/>
      <c r="N141" s="3"/>
      <c r="O141" s="3">
        <v>6056</v>
      </c>
      <c r="P141" s="3"/>
      <c r="Q141" s="4">
        <v>46081</v>
      </c>
      <c r="R141" s="5">
        <v>2070.63</v>
      </c>
      <c r="S141" s="3">
        <v>61</v>
      </c>
      <c r="T141" s="3" t="s">
        <v>929</v>
      </c>
      <c r="U141" s="3">
        <v>0</v>
      </c>
      <c r="V141" s="3" t="s">
        <v>8</v>
      </c>
      <c r="W141" s="5">
        <v>2070.63</v>
      </c>
      <c r="X141" s="3">
        <v>0</v>
      </c>
      <c r="Y141" s="3">
        <v>0</v>
      </c>
      <c r="Z141" s="3">
        <v>0</v>
      </c>
      <c r="AA141" s="3">
        <v>0</v>
      </c>
      <c r="AB141" s="5">
        <v>2070.63</v>
      </c>
      <c r="AD141" s="25"/>
      <c r="AE141" s="25"/>
      <c r="AF141" s="25"/>
      <c r="AG141" s="32"/>
      <c r="AH141" s="18"/>
      <c r="AI141" s="3"/>
      <c r="AJ141" s="3"/>
      <c r="AK141" s="3"/>
      <c r="AL141" s="15">
        <f>AH141+AI141+AJ141+AK141+AG141</f>
        <v>0</v>
      </c>
      <c r="AM141" s="15">
        <f>AB141-AL141</f>
        <v>2070.63</v>
      </c>
      <c r="AN141" s="15">
        <f>AM141</f>
        <v>2070.63</v>
      </c>
      <c r="AO141" s="15">
        <f>AM141-AN141</f>
        <v>0</v>
      </c>
      <c r="AQ141" s="15">
        <f>AL141-AF141</f>
        <v>0</v>
      </c>
    </row>
    <row r="142" spans="1:43" hidden="1" x14ac:dyDescent="0.25">
      <c r="A142">
        <v>181</v>
      </c>
      <c r="B142" s="10" t="s">
        <v>930</v>
      </c>
      <c r="C142" s="10" t="s">
        <v>1129</v>
      </c>
      <c r="D142" s="3" t="s">
        <v>931</v>
      </c>
      <c r="E142" s="3" t="s">
        <v>314</v>
      </c>
      <c r="F142" s="3" t="s">
        <v>932</v>
      </c>
      <c r="G142" s="3" t="s">
        <v>316</v>
      </c>
      <c r="H142" s="3" t="s">
        <v>14</v>
      </c>
      <c r="I142" s="3" t="s">
        <v>6</v>
      </c>
      <c r="J142" s="3" t="s">
        <v>33</v>
      </c>
      <c r="K142" s="3" t="s">
        <v>933</v>
      </c>
      <c r="L142" s="3"/>
      <c r="M142" s="3"/>
      <c r="N142" s="3"/>
      <c r="O142" s="6" t="s">
        <v>399</v>
      </c>
      <c r="P142" s="3"/>
      <c r="Q142" s="4">
        <v>46081</v>
      </c>
      <c r="R142" s="5">
        <v>7546.12</v>
      </c>
      <c r="S142" s="3">
        <v>317</v>
      </c>
      <c r="T142" s="3"/>
      <c r="U142" s="3">
        <v>0</v>
      </c>
      <c r="V142" s="3" t="s">
        <v>8</v>
      </c>
      <c r="W142" s="5">
        <v>8563.8700000000008</v>
      </c>
      <c r="X142" s="3">
        <v>0</v>
      </c>
      <c r="Y142" s="3">
        <v>0</v>
      </c>
      <c r="Z142" s="3">
        <v>0</v>
      </c>
      <c r="AA142" s="3">
        <v>0</v>
      </c>
      <c r="AB142" s="5">
        <v>8563.8700000000008</v>
      </c>
      <c r="AD142" s="25"/>
      <c r="AE142" s="25"/>
      <c r="AF142" s="25"/>
      <c r="AG142" s="32"/>
      <c r="AH142" s="18"/>
      <c r="AI142" s="3"/>
      <c r="AJ142" s="3"/>
      <c r="AK142" s="3"/>
      <c r="AL142" s="15">
        <f>AH142+AI142+AJ142+AK142+AG142</f>
        <v>0</v>
      </c>
      <c r="AM142" s="15">
        <f>AB142-AL142</f>
        <v>8563.8700000000008</v>
      </c>
      <c r="AN142" s="15">
        <f>AM142</f>
        <v>8563.8700000000008</v>
      </c>
      <c r="AO142" s="15">
        <f>AM142-AN142</f>
        <v>0</v>
      </c>
      <c r="AQ142" s="15">
        <f>AL142-AF142</f>
        <v>0</v>
      </c>
    </row>
    <row r="143" spans="1:43" hidden="1" x14ac:dyDescent="0.25">
      <c r="A143">
        <v>182</v>
      </c>
      <c r="B143" s="10" t="s">
        <v>934</v>
      </c>
      <c r="C143" s="10" t="s">
        <v>1130</v>
      </c>
      <c r="D143" s="3" t="s">
        <v>935</v>
      </c>
      <c r="E143" s="3" t="s">
        <v>314</v>
      </c>
      <c r="F143" s="3" t="s">
        <v>936</v>
      </c>
      <c r="G143" s="3" t="s">
        <v>316</v>
      </c>
      <c r="H143" s="3" t="s">
        <v>14</v>
      </c>
      <c r="I143" s="3" t="s">
        <v>6</v>
      </c>
      <c r="J143" s="3" t="s">
        <v>33</v>
      </c>
      <c r="K143" s="3" t="s">
        <v>937</v>
      </c>
      <c r="L143" s="3"/>
      <c r="M143" s="3"/>
      <c r="N143" s="3"/>
      <c r="O143" s="3">
        <v>8240</v>
      </c>
      <c r="P143" s="3"/>
      <c r="Q143" s="4">
        <v>46081</v>
      </c>
      <c r="R143" s="5">
        <v>2748.44</v>
      </c>
      <c r="S143" s="3">
        <v>66</v>
      </c>
      <c r="T143" s="3"/>
      <c r="U143" s="3">
        <v>0</v>
      </c>
      <c r="V143" s="3" t="s">
        <v>8</v>
      </c>
      <c r="W143" s="5">
        <v>2748.44</v>
      </c>
      <c r="X143" s="3">
        <v>0</v>
      </c>
      <c r="Y143" s="3">
        <v>0</v>
      </c>
      <c r="Z143" s="3">
        <v>0</v>
      </c>
      <c r="AA143" s="3">
        <v>0</v>
      </c>
      <c r="AB143" s="5">
        <v>2748.44</v>
      </c>
      <c r="AD143" s="25"/>
      <c r="AE143" s="25"/>
      <c r="AF143" s="25"/>
      <c r="AG143" s="32"/>
      <c r="AH143" s="18"/>
      <c r="AI143" s="3"/>
      <c r="AJ143" s="3"/>
      <c r="AK143" s="3"/>
      <c r="AL143" s="15">
        <f>AH143+AI143+AJ143+AK143+AG143</f>
        <v>0</v>
      </c>
      <c r="AM143" s="15">
        <f>AB143-AL143</f>
        <v>2748.44</v>
      </c>
      <c r="AN143" s="15">
        <f>AM143</f>
        <v>2748.44</v>
      </c>
      <c r="AO143" s="15">
        <f>AM143-AN143</f>
        <v>0</v>
      </c>
      <c r="AQ143" s="15">
        <f>AL143-AF143</f>
        <v>0</v>
      </c>
    </row>
    <row r="144" spans="1:43" hidden="1" x14ac:dyDescent="0.25">
      <c r="A144">
        <v>183</v>
      </c>
      <c r="B144" s="10" t="s">
        <v>938</v>
      </c>
      <c r="C144" s="10" t="s">
        <v>1131</v>
      </c>
      <c r="D144" s="3" t="s">
        <v>939</v>
      </c>
      <c r="E144" s="3" t="s">
        <v>314</v>
      </c>
      <c r="F144" s="3" t="s">
        <v>940</v>
      </c>
      <c r="G144" s="3" t="s">
        <v>316</v>
      </c>
      <c r="H144" s="3" t="s">
        <v>14</v>
      </c>
      <c r="I144" s="3" t="s">
        <v>6</v>
      </c>
      <c r="J144" s="3" t="s">
        <v>33</v>
      </c>
      <c r="K144" s="3" t="s">
        <v>941</v>
      </c>
      <c r="L144" s="3"/>
      <c r="M144" s="3"/>
      <c r="N144" s="3"/>
      <c r="O144" s="3">
        <v>7532</v>
      </c>
      <c r="P144" s="3"/>
      <c r="Q144" s="4">
        <v>46081</v>
      </c>
      <c r="R144" s="5">
        <v>7334.45</v>
      </c>
      <c r="S144" s="3">
        <v>109</v>
      </c>
      <c r="T144" s="3"/>
      <c r="U144" s="3">
        <v>0</v>
      </c>
      <c r="V144" s="3" t="s">
        <v>8</v>
      </c>
      <c r="W144" s="5">
        <v>7334.45</v>
      </c>
      <c r="X144" s="3">
        <v>0</v>
      </c>
      <c r="Y144" s="3">
        <v>0</v>
      </c>
      <c r="Z144" s="3">
        <v>0</v>
      </c>
      <c r="AA144" s="3">
        <v>0</v>
      </c>
      <c r="AB144" s="5">
        <v>7334.45</v>
      </c>
      <c r="AD144" s="25"/>
      <c r="AE144" s="25"/>
      <c r="AF144" s="25"/>
      <c r="AG144" s="32"/>
      <c r="AH144" s="18"/>
      <c r="AI144" s="3"/>
      <c r="AJ144" s="3"/>
      <c r="AK144" s="3"/>
      <c r="AL144" s="15">
        <f>AH144+AI144+AJ144+AK144+AG144</f>
        <v>0</v>
      </c>
      <c r="AM144" s="15">
        <f>AB144-AL144</f>
        <v>7334.45</v>
      </c>
      <c r="AN144" s="15">
        <f>AM144</f>
        <v>7334.45</v>
      </c>
      <c r="AO144" s="15">
        <f>AM144-AN144</f>
        <v>0</v>
      </c>
      <c r="AQ144" s="15">
        <f>AL144-AF144</f>
        <v>0</v>
      </c>
    </row>
    <row r="145" spans="1:43" hidden="1" x14ac:dyDescent="0.25">
      <c r="A145">
        <v>184</v>
      </c>
      <c r="B145" s="10" t="s">
        <v>942</v>
      </c>
      <c r="C145" s="10" t="s">
        <v>1132</v>
      </c>
      <c r="D145" s="3" t="s">
        <v>943</v>
      </c>
      <c r="E145" s="3" t="s">
        <v>314</v>
      </c>
      <c r="F145" s="3" t="s">
        <v>944</v>
      </c>
      <c r="G145" s="3" t="s">
        <v>316</v>
      </c>
      <c r="H145" s="3" t="s">
        <v>14</v>
      </c>
      <c r="I145" s="3" t="s">
        <v>6</v>
      </c>
      <c r="J145" s="3" t="s">
        <v>33</v>
      </c>
      <c r="K145" s="3" t="s">
        <v>945</v>
      </c>
      <c r="L145" s="3"/>
      <c r="M145" s="3"/>
      <c r="N145" s="3"/>
      <c r="O145" s="3">
        <v>1035</v>
      </c>
      <c r="P145" s="3"/>
      <c r="Q145" s="4">
        <v>46081</v>
      </c>
      <c r="R145" s="5">
        <v>6243.43</v>
      </c>
      <c r="S145" s="3">
        <v>181</v>
      </c>
      <c r="T145" s="3"/>
      <c r="U145" s="3">
        <v>0</v>
      </c>
      <c r="V145" s="3" t="s">
        <v>8</v>
      </c>
      <c r="W145" s="5">
        <v>6243.39</v>
      </c>
      <c r="X145" s="3">
        <v>0</v>
      </c>
      <c r="Y145" s="3">
        <v>0</v>
      </c>
      <c r="Z145" s="3">
        <v>0</v>
      </c>
      <c r="AA145" s="3">
        <v>0</v>
      </c>
      <c r="AB145" s="5">
        <v>6243.39</v>
      </c>
      <c r="AD145" s="25"/>
      <c r="AE145" s="25"/>
      <c r="AF145" s="25"/>
      <c r="AG145" s="32"/>
      <c r="AH145" s="18"/>
      <c r="AI145" s="3"/>
      <c r="AJ145" s="3"/>
      <c r="AK145" s="3"/>
      <c r="AL145" s="15">
        <f>AH145+AI145+AJ145+AK145+AG145</f>
        <v>0</v>
      </c>
      <c r="AM145" s="15">
        <f>AB145-AL145</f>
        <v>6243.39</v>
      </c>
      <c r="AN145" s="15">
        <f>AM145</f>
        <v>6243.39</v>
      </c>
      <c r="AO145" s="15">
        <f>AM145-AN145</f>
        <v>0</v>
      </c>
      <c r="AQ145" s="15">
        <f>AL145-AF145</f>
        <v>0</v>
      </c>
    </row>
    <row r="146" spans="1:43" hidden="1" x14ac:dyDescent="0.25">
      <c r="A146">
        <v>114</v>
      </c>
      <c r="B146" s="10" t="s">
        <v>602</v>
      </c>
      <c r="C146" s="10" t="s">
        <v>1083</v>
      </c>
      <c r="D146" s="3" t="s">
        <v>603</v>
      </c>
      <c r="E146" s="3" t="s">
        <v>603</v>
      </c>
      <c r="F146" s="3"/>
      <c r="G146" s="3" t="s">
        <v>604</v>
      </c>
      <c r="H146" s="3" t="s">
        <v>14</v>
      </c>
      <c r="I146" s="3" t="s">
        <v>6</v>
      </c>
      <c r="J146" s="3"/>
      <c r="K146" s="3" t="s">
        <v>605</v>
      </c>
      <c r="L146" s="3"/>
      <c r="M146" s="3"/>
      <c r="N146" s="3"/>
      <c r="O146" s="3"/>
      <c r="P146" s="3"/>
      <c r="Q146" s="4">
        <v>46081</v>
      </c>
      <c r="R146" s="5">
        <v>214.27</v>
      </c>
      <c r="S146" s="3">
        <v>39</v>
      </c>
      <c r="T146" s="3"/>
      <c r="U146" s="3">
        <v>0</v>
      </c>
      <c r="V146" s="3" t="s">
        <v>8</v>
      </c>
      <c r="W146" s="5">
        <v>214.27</v>
      </c>
      <c r="X146" s="3">
        <v>0</v>
      </c>
      <c r="Y146" s="3">
        <v>0</v>
      </c>
      <c r="Z146" s="3">
        <v>0</v>
      </c>
      <c r="AA146" s="3">
        <v>0</v>
      </c>
      <c r="AB146" s="5">
        <v>214.27</v>
      </c>
      <c r="AD146" s="25"/>
      <c r="AE146" s="25"/>
      <c r="AF146" s="25"/>
      <c r="AG146" s="32"/>
      <c r="AH146" s="18"/>
      <c r="AI146" s="3"/>
      <c r="AJ146" s="3"/>
      <c r="AK146" s="3"/>
      <c r="AL146" s="15">
        <f>AH146+AI146+AJ146+AK146+AG146</f>
        <v>0</v>
      </c>
      <c r="AM146" s="15">
        <f>AB146-AL146</f>
        <v>214.27</v>
      </c>
      <c r="AN146" s="15">
        <f>AM146</f>
        <v>214.27</v>
      </c>
      <c r="AO146" s="15">
        <f>AM146-AN146</f>
        <v>0</v>
      </c>
      <c r="AQ146" s="15">
        <f>AL146-AF146</f>
        <v>0</v>
      </c>
    </row>
    <row r="147" spans="1:43" hidden="1" x14ac:dyDescent="0.25">
      <c r="A147">
        <v>113</v>
      </c>
      <c r="B147" s="10" t="s">
        <v>595</v>
      </c>
      <c r="C147" s="10" t="s">
        <v>1082</v>
      </c>
      <c r="D147" s="3" t="s">
        <v>596</v>
      </c>
      <c r="E147" s="3" t="s">
        <v>597</v>
      </c>
      <c r="F147" s="3" t="s">
        <v>598</v>
      </c>
      <c r="G147" s="3" t="s">
        <v>599</v>
      </c>
      <c r="H147" s="3" t="s">
        <v>14</v>
      </c>
      <c r="I147" s="3" t="s">
        <v>6</v>
      </c>
      <c r="J147" s="3" t="s">
        <v>15</v>
      </c>
      <c r="K147" s="3" t="s">
        <v>600</v>
      </c>
      <c r="L147" s="3"/>
      <c r="M147" s="3"/>
      <c r="N147" s="3"/>
      <c r="O147" s="3">
        <v>9460</v>
      </c>
      <c r="P147" s="3"/>
      <c r="Q147" s="4">
        <v>46081</v>
      </c>
      <c r="R147" s="5">
        <v>175.18</v>
      </c>
      <c r="S147" s="3">
        <v>27</v>
      </c>
      <c r="T147" s="3" t="s">
        <v>601</v>
      </c>
      <c r="U147" s="3">
        <v>0</v>
      </c>
      <c r="V147" s="3" t="s">
        <v>8</v>
      </c>
      <c r="W147" s="5">
        <v>175.18</v>
      </c>
      <c r="X147" s="3">
        <v>0</v>
      </c>
      <c r="Y147" s="3">
        <v>0</v>
      </c>
      <c r="Z147" s="3">
        <v>0</v>
      </c>
      <c r="AA147" s="3">
        <v>0</v>
      </c>
      <c r="AB147" s="5">
        <v>175.18</v>
      </c>
      <c r="AD147" s="25"/>
      <c r="AE147" s="25"/>
      <c r="AF147" s="25"/>
      <c r="AG147" s="32"/>
      <c r="AH147" s="18"/>
      <c r="AI147" s="3"/>
      <c r="AJ147" s="3"/>
      <c r="AK147" s="3"/>
      <c r="AL147" s="15">
        <f>AH147+AI147+AJ147+AK147+AG147</f>
        <v>0</v>
      </c>
      <c r="AM147" s="15">
        <f>AB147-AL147</f>
        <v>175.18</v>
      </c>
      <c r="AN147" s="15">
        <f>AM147</f>
        <v>175.18</v>
      </c>
      <c r="AO147" s="15">
        <f>AM147-AN147</f>
        <v>0</v>
      </c>
      <c r="AQ147" s="15">
        <f>AL147-AF147</f>
        <v>0</v>
      </c>
    </row>
    <row r="148" spans="1:43" hidden="1" x14ac:dyDescent="0.25">
      <c r="A148">
        <v>117</v>
      </c>
      <c r="B148" s="10" t="s">
        <v>615</v>
      </c>
      <c r="C148" s="10" t="s">
        <v>1084</v>
      </c>
      <c r="D148" s="3" t="s">
        <v>616</v>
      </c>
      <c r="E148" s="3"/>
      <c r="F148" s="3" t="s">
        <v>617</v>
      </c>
      <c r="G148" s="3" t="s">
        <v>618</v>
      </c>
      <c r="H148" s="3" t="s">
        <v>14</v>
      </c>
      <c r="I148" s="3" t="s">
        <v>6</v>
      </c>
      <c r="J148" s="3"/>
      <c r="K148" s="3" t="s">
        <v>619</v>
      </c>
      <c r="L148" s="3" t="s">
        <v>620</v>
      </c>
      <c r="M148" s="3"/>
      <c r="N148" s="3"/>
      <c r="O148" s="3">
        <v>2066</v>
      </c>
      <c r="P148" s="3"/>
      <c r="Q148" s="4">
        <v>46055</v>
      </c>
      <c r="R148" s="5">
        <v>30000</v>
      </c>
      <c r="S148" s="3">
        <v>56</v>
      </c>
      <c r="T148" s="3"/>
      <c r="U148" s="3">
        <v>0</v>
      </c>
      <c r="V148" s="3" t="s">
        <v>8</v>
      </c>
      <c r="W148" s="16">
        <v>11037.7</v>
      </c>
      <c r="X148" s="16">
        <v>9657.7000000000007</v>
      </c>
      <c r="Y148" s="16">
        <f>170538.28-X148-W148</f>
        <v>149842.87999999998</v>
      </c>
      <c r="Z148" s="40">
        <v>0</v>
      </c>
      <c r="AA148" s="16">
        <v>0</v>
      </c>
      <c r="AB148" s="16">
        <f>SUM(W148:AA148)</f>
        <v>170538.27999999997</v>
      </c>
      <c r="AD148" s="25" t="s">
        <v>1152</v>
      </c>
      <c r="AE148" s="25" t="s">
        <v>1188</v>
      </c>
      <c r="AF148" s="26">
        <v>30000</v>
      </c>
      <c r="AG148" s="32"/>
      <c r="AH148" s="19"/>
      <c r="AI148" s="5">
        <f>AF148</f>
        <v>30000</v>
      </c>
      <c r="AJ148" s="3"/>
      <c r="AK148" s="5"/>
      <c r="AL148" s="15">
        <f>AH148+AI148+AJ148+AK148+AG148</f>
        <v>30000</v>
      </c>
      <c r="AM148" s="15">
        <f>AB148-AL148</f>
        <v>140538.27999999997</v>
      </c>
      <c r="AN148">
        <v>140538.28</v>
      </c>
      <c r="AO148" s="15">
        <f>AM148-AN148</f>
        <v>0</v>
      </c>
      <c r="AQ148" s="15">
        <f>AL148-AF148</f>
        <v>0</v>
      </c>
    </row>
    <row r="149" spans="1:43" hidden="1" x14ac:dyDescent="0.25">
      <c r="A149">
        <v>131</v>
      </c>
      <c r="B149" s="10" t="s">
        <v>682</v>
      </c>
      <c r="C149" s="10" t="s">
        <v>1090</v>
      </c>
      <c r="D149" s="21" t="s">
        <v>683</v>
      </c>
      <c r="E149" s="21" t="s">
        <v>684</v>
      </c>
      <c r="F149" s="21" t="s">
        <v>685</v>
      </c>
      <c r="G149" s="21" t="s">
        <v>686</v>
      </c>
      <c r="H149" s="21" t="s">
        <v>14</v>
      </c>
      <c r="I149" s="21" t="s">
        <v>6</v>
      </c>
      <c r="J149" s="21"/>
      <c r="K149" s="21" t="s">
        <v>687</v>
      </c>
      <c r="L149" s="21"/>
      <c r="M149" s="21"/>
      <c r="N149" s="21" t="s">
        <v>22</v>
      </c>
      <c r="O149" s="21"/>
      <c r="P149" s="21"/>
      <c r="Q149" s="22">
        <v>46049</v>
      </c>
      <c r="R149" s="23">
        <v>79159.33</v>
      </c>
      <c r="S149" s="21">
        <v>116</v>
      </c>
      <c r="T149" s="21"/>
      <c r="U149" s="21">
        <v>0</v>
      </c>
      <c r="V149" s="21" t="s">
        <v>8</v>
      </c>
      <c r="W149" s="23">
        <v>79009.83</v>
      </c>
      <c r="X149" s="5">
        <v>805</v>
      </c>
      <c r="Y149" s="3">
        <v>0</v>
      </c>
      <c r="Z149" s="3">
        <v>0.01</v>
      </c>
      <c r="AA149" s="3">
        <v>0</v>
      </c>
      <c r="AB149" s="5">
        <v>79814.84</v>
      </c>
      <c r="AD149" s="25" t="s">
        <v>1156</v>
      </c>
      <c r="AE149" s="25" t="s">
        <v>1161</v>
      </c>
      <c r="AF149" s="26">
        <v>1437.51</v>
      </c>
      <c r="AG149" s="33">
        <f>AF150</f>
        <v>0</v>
      </c>
      <c r="AH149" s="19">
        <f>AF149</f>
        <v>1437.51</v>
      </c>
      <c r="AI149" s="3"/>
      <c r="AJ149" s="3"/>
      <c r="AK149" s="3"/>
      <c r="AL149" s="15">
        <f>AH149+AI149+AJ149+AK149+AG149</f>
        <v>1437.51</v>
      </c>
      <c r="AM149" s="15">
        <f>AB149-AL149</f>
        <v>78377.33</v>
      </c>
      <c r="AN149">
        <v>1437.5</v>
      </c>
      <c r="AO149" s="15">
        <f>AM149-AN149</f>
        <v>76939.83</v>
      </c>
      <c r="AQ149" s="15">
        <f>AL149-AF149</f>
        <v>0</v>
      </c>
    </row>
    <row r="150" spans="1:43" hidden="1" x14ac:dyDescent="0.25">
      <c r="A150">
        <v>119</v>
      </c>
      <c r="B150" s="10" t="s">
        <v>625</v>
      </c>
      <c r="C150" s="10" t="s">
        <v>1085</v>
      </c>
      <c r="D150" s="3" t="s">
        <v>626</v>
      </c>
      <c r="E150" s="3" t="s">
        <v>626</v>
      </c>
      <c r="F150" s="3"/>
      <c r="G150" s="3" t="s">
        <v>627</v>
      </c>
      <c r="H150" s="3" t="s">
        <v>14</v>
      </c>
      <c r="I150" s="3" t="s">
        <v>6</v>
      </c>
      <c r="J150" s="3" t="s">
        <v>15</v>
      </c>
      <c r="K150" s="3" t="s">
        <v>628</v>
      </c>
      <c r="L150" s="3"/>
      <c r="M150" s="3"/>
      <c r="N150" s="3" t="s">
        <v>22</v>
      </c>
      <c r="O150" s="3"/>
      <c r="P150" s="3"/>
      <c r="Q150" s="4">
        <v>46079</v>
      </c>
      <c r="R150" s="5">
        <v>143.41999999999999</v>
      </c>
      <c r="S150" s="3">
        <v>60</v>
      </c>
      <c r="T150" s="3"/>
      <c r="U150" s="3">
        <v>0</v>
      </c>
      <c r="V150" s="3" t="s">
        <v>8</v>
      </c>
      <c r="W150" s="3">
        <v>0</v>
      </c>
      <c r="X150" s="3">
        <v>0</v>
      </c>
      <c r="Y150" s="3">
        <v>0</v>
      </c>
      <c r="Z150" s="5">
        <v>143.41999999999999</v>
      </c>
      <c r="AA150" s="5">
        <v>143.41999999999999</v>
      </c>
      <c r="AB150" s="5">
        <v>286.83999999999997</v>
      </c>
      <c r="AD150" s="25"/>
      <c r="AE150" s="25"/>
      <c r="AF150" s="25"/>
      <c r="AG150" s="32"/>
      <c r="AH150" s="18"/>
      <c r="AI150" s="3"/>
      <c r="AJ150" s="5"/>
      <c r="AK150" s="5"/>
      <c r="AL150" s="15">
        <f>AH150+AI150+AJ150+AK150+AG150</f>
        <v>0</v>
      </c>
      <c r="AM150" s="15">
        <f>AB150-AL150</f>
        <v>286.83999999999997</v>
      </c>
      <c r="AN150" s="15">
        <f>AM150</f>
        <v>286.83999999999997</v>
      </c>
      <c r="AO150" s="15">
        <f>AM150-AN150</f>
        <v>0</v>
      </c>
      <c r="AQ150" s="15">
        <f>AL150-AF150</f>
        <v>0</v>
      </c>
    </row>
    <row r="151" spans="1:43" hidden="1" x14ac:dyDescent="0.25">
      <c r="A151">
        <v>120</v>
      </c>
      <c r="B151" s="10" t="s">
        <v>629</v>
      </c>
      <c r="C151" s="10" t="s">
        <v>1086</v>
      </c>
      <c r="D151" s="3" t="s">
        <v>630</v>
      </c>
      <c r="E151" s="3" t="s">
        <v>631</v>
      </c>
      <c r="F151" s="3"/>
      <c r="G151" s="3" t="s">
        <v>632</v>
      </c>
      <c r="H151" s="3" t="s">
        <v>14</v>
      </c>
      <c r="I151" s="3" t="s">
        <v>6</v>
      </c>
      <c r="J151" s="3" t="s">
        <v>15</v>
      </c>
      <c r="K151" s="3" t="s">
        <v>633</v>
      </c>
      <c r="L151" s="3"/>
      <c r="M151" s="3"/>
      <c r="N151" s="3"/>
      <c r="O151" s="3">
        <v>2196</v>
      </c>
      <c r="P151" s="3"/>
      <c r="Q151" s="4">
        <v>46081</v>
      </c>
      <c r="R151" s="5">
        <v>742.42</v>
      </c>
      <c r="S151" s="3">
        <v>85</v>
      </c>
      <c r="T151" s="3"/>
      <c r="U151" s="3">
        <v>0</v>
      </c>
      <c r="V151" s="3" t="s">
        <v>8</v>
      </c>
      <c r="W151" s="5">
        <v>742.42</v>
      </c>
      <c r="X151" s="3">
        <v>0</v>
      </c>
      <c r="Y151" s="3">
        <v>0</v>
      </c>
      <c r="Z151" s="3">
        <v>0</v>
      </c>
      <c r="AA151" s="3">
        <v>0</v>
      </c>
      <c r="AB151" s="5">
        <v>742.42</v>
      </c>
      <c r="AD151" s="25" t="s">
        <v>1201</v>
      </c>
      <c r="AE151" s="25" t="s">
        <v>630</v>
      </c>
      <c r="AF151" s="26">
        <v>742.72</v>
      </c>
      <c r="AG151" s="33">
        <f>AF151</f>
        <v>742.72</v>
      </c>
      <c r="AH151" s="18"/>
      <c r="AI151" s="3"/>
      <c r="AJ151" s="3"/>
      <c r="AK151" s="3"/>
      <c r="AL151" s="15">
        <f>AH151+AI151+AJ151+AK151+AG151</f>
        <v>742.72</v>
      </c>
      <c r="AM151" s="15">
        <f>AB151-AL151</f>
        <v>-0.30000000000006821</v>
      </c>
      <c r="AN151" s="15">
        <f>AM151</f>
        <v>-0.30000000000006821</v>
      </c>
      <c r="AO151" s="15">
        <f>AM151-AN151</f>
        <v>0</v>
      </c>
      <c r="AQ151" s="15">
        <f>AL151-AF151</f>
        <v>0</v>
      </c>
    </row>
    <row r="152" spans="1:43" hidden="1" x14ac:dyDescent="0.25">
      <c r="A152">
        <v>124</v>
      </c>
      <c r="B152" s="10" t="s">
        <v>645</v>
      </c>
      <c r="C152" s="10" t="s">
        <v>1087</v>
      </c>
      <c r="D152" s="3" t="s">
        <v>646</v>
      </c>
      <c r="E152" s="3" t="s">
        <v>647</v>
      </c>
      <c r="F152" s="3"/>
      <c r="G152" s="3" t="s">
        <v>648</v>
      </c>
      <c r="H152" s="3" t="s">
        <v>14</v>
      </c>
      <c r="I152" s="3" t="s">
        <v>6</v>
      </c>
      <c r="J152" s="3"/>
      <c r="K152" s="3" t="s">
        <v>649</v>
      </c>
      <c r="L152" s="3"/>
      <c r="M152" s="3"/>
      <c r="N152" s="3" t="s">
        <v>22</v>
      </c>
      <c r="O152" s="3"/>
      <c r="P152" s="3"/>
      <c r="Q152" s="4">
        <v>46081</v>
      </c>
      <c r="R152" s="5">
        <v>18400</v>
      </c>
      <c r="S152" s="3">
        <v>71</v>
      </c>
      <c r="T152" s="3"/>
      <c r="U152" s="3">
        <v>0</v>
      </c>
      <c r="V152" s="3" t="s">
        <v>8</v>
      </c>
      <c r="W152" s="5">
        <v>20861</v>
      </c>
      <c r="X152" s="3">
        <v>0</v>
      </c>
      <c r="Y152" s="3">
        <v>0</v>
      </c>
      <c r="Z152" s="3">
        <v>0</v>
      </c>
      <c r="AA152" s="3">
        <v>0</v>
      </c>
      <c r="AB152" s="5">
        <v>20861</v>
      </c>
      <c r="AD152" s="25" t="s">
        <v>1201</v>
      </c>
      <c r="AE152" s="25" t="s">
        <v>1267</v>
      </c>
      <c r="AF152" s="26">
        <v>20861</v>
      </c>
      <c r="AG152" s="33">
        <f>AF152</f>
        <v>20861</v>
      </c>
      <c r="AH152" s="18"/>
      <c r="AI152" s="3"/>
      <c r="AJ152" s="3"/>
      <c r="AK152" s="3"/>
      <c r="AL152" s="15">
        <f>AH152+AI152+AJ152+AK152+AG152</f>
        <v>20861</v>
      </c>
      <c r="AM152" s="15">
        <f>AB152-AL152</f>
        <v>0</v>
      </c>
      <c r="AN152" s="15">
        <f>AM152</f>
        <v>0</v>
      </c>
      <c r="AO152" s="15">
        <f>AM152-AN152</f>
        <v>0</v>
      </c>
      <c r="AQ152" s="15">
        <f>AL152-AF152</f>
        <v>0</v>
      </c>
    </row>
    <row r="153" spans="1:43" hidden="1" x14ac:dyDescent="0.25">
      <c r="A153">
        <v>126</v>
      </c>
      <c r="B153" s="10" t="s">
        <v>655</v>
      </c>
      <c r="C153" s="10" t="s">
        <v>1088</v>
      </c>
      <c r="D153" s="3" t="s">
        <v>656</v>
      </c>
      <c r="E153" s="3" t="s">
        <v>657</v>
      </c>
      <c r="F153" s="3" t="s">
        <v>658</v>
      </c>
      <c r="G153" s="3" t="s">
        <v>659</v>
      </c>
      <c r="H153" s="3" t="s">
        <v>14</v>
      </c>
      <c r="I153" s="3" t="s">
        <v>6</v>
      </c>
      <c r="J153" s="3"/>
      <c r="K153" s="3" t="s">
        <v>660</v>
      </c>
      <c r="L153" s="3"/>
      <c r="M153" s="3"/>
      <c r="N153" s="3" t="s">
        <v>22</v>
      </c>
      <c r="O153" s="3"/>
      <c r="P153" s="3"/>
      <c r="Q153" s="4">
        <v>46051</v>
      </c>
      <c r="R153" s="5">
        <v>13627.5</v>
      </c>
      <c r="S153" s="3">
        <v>31</v>
      </c>
      <c r="T153" s="3"/>
      <c r="U153" s="3">
        <v>0</v>
      </c>
      <c r="V153" s="3" t="s">
        <v>8</v>
      </c>
      <c r="W153" s="5">
        <v>13627.5</v>
      </c>
      <c r="X153" s="3">
        <v>0</v>
      </c>
      <c r="Y153" s="3">
        <v>0</v>
      </c>
      <c r="Z153" s="3">
        <v>0</v>
      </c>
      <c r="AA153" s="3">
        <v>0</v>
      </c>
      <c r="AB153" s="5">
        <v>13627.5</v>
      </c>
      <c r="AD153" s="25" t="s">
        <v>1149</v>
      </c>
      <c r="AE153" s="25">
        <v>118236</v>
      </c>
      <c r="AF153" s="26">
        <v>13627.5</v>
      </c>
      <c r="AG153" s="33">
        <f>W153</f>
        <v>13627.5</v>
      </c>
      <c r="AH153" s="18"/>
      <c r="AI153" s="3"/>
      <c r="AJ153" s="3"/>
      <c r="AK153" s="3"/>
      <c r="AL153" s="15">
        <f>AH153+AI153+AJ153+AK153+AG153</f>
        <v>13627.5</v>
      </c>
      <c r="AM153" s="15">
        <f>AB153-AL153</f>
        <v>0</v>
      </c>
      <c r="AN153" s="15">
        <f>AM153</f>
        <v>0</v>
      </c>
      <c r="AO153" s="15">
        <f>AM153-AN153</f>
        <v>0</v>
      </c>
      <c r="AQ153" s="15">
        <f>AL153-AF153</f>
        <v>0</v>
      </c>
    </row>
    <row r="154" spans="1:43" hidden="1" x14ac:dyDescent="0.25">
      <c r="A154">
        <v>130</v>
      </c>
      <c r="B154" s="10" t="s">
        <v>676</v>
      </c>
      <c r="C154" s="10" t="s">
        <v>1089</v>
      </c>
      <c r="D154" s="3" t="s">
        <v>677</v>
      </c>
      <c r="E154" s="3" t="s">
        <v>678</v>
      </c>
      <c r="F154" s="3" t="s">
        <v>679</v>
      </c>
      <c r="G154" s="3" t="s">
        <v>680</v>
      </c>
      <c r="H154" s="3" t="s">
        <v>14</v>
      </c>
      <c r="I154" s="3" t="s">
        <v>6</v>
      </c>
      <c r="J154" s="3" t="s">
        <v>15</v>
      </c>
      <c r="K154" s="3" t="s">
        <v>681</v>
      </c>
      <c r="L154" s="3"/>
      <c r="M154" s="3"/>
      <c r="N154" s="3"/>
      <c r="O154" s="3">
        <v>2000</v>
      </c>
      <c r="P154" s="3"/>
      <c r="Q154" s="4">
        <v>46081</v>
      </c>
      <c r="R154" s="5">
        <v>338.25</v>
      </c>
      <c r="S154" s="3">
        <v>41</v>
      </c>
      <c r="T154" s="3"/>
      <c r="U154" s="3">
        <v>0</v>
      </c>
      <c r="V154" s="3" t="s">
        <v>8</v>
      </c>
      <c r="W154" s="5">
        <v>338.25</v>
      </c>
      <c r="X154" s="3">
        <v>0</v>
      </c>
      <c r="Y154" s="3">
        <v>0.33</v>
      </c>
      <c r="Z154" s="3">
        <v>0</v>
      </c>
      <c r="AA154" s="5">
        <v>-0.33</v>
      </c>
      <c r="AB154" s="5">
        <v>338.25</v>
      </c>
      <c r="AD154" s="25" t="s">
        <v>1201</v>
      </c>
      <c r="AE154" s="25" t="s">
        <v>1245</v>
      </c>
      <c r="AF154" s="26">
        <v>338.25</v>
      </c>
      <c r="AG154" s="33">
        <f>AF154</f>
        <v>338.25</v>
      </c>
      <c r="AH154" s="18"/>
      <c r="AI154" s="3"/>
      <c r="AJ154" s="3"/>
      <c r="AK154" s="5"/>
      <c r="AL154" s="15">
        <f>AH154+AI154+AJ154+AK154+AG154</f>
        <v>338.25</v>
      </c>
      <c r="AM154" s="15">
        <f>AB154-AL154</f>
        <v>0</v>
      </c>
      <c r="AN154" s="15">
        <f>AM154</f>
        <v>0</v>
      </c>
      <c r="AO154" s="15">
        <f>AM154-AN154</f>
        <v>0</v>
      </c>
      <c r="AQ154" s="15">
        <f>AL154-AF154</f>
        <v>0</v>
      </c>
    </row>
    <row r="155" spans="1:43" hidden="1" x14ac:dyDescent="0.25">
      <c r="A155">
        <v>133</v>
      </c>
      <c r="B155" s="10" t="s">
        <v>688</v>
      </c>
      <c r="C155" s="10" t="s">
        <v>1091</v>
      </c>
      <c r="D155" s="3" t="s">
        <v>689</v>
      </c>
      <c r="E155" s="3" t="s">
        <v>690</v>
      </c>
      <c r="F155" s="3" t="s">
        <v>691</v>
      </c>
      <c r="G155" s="3" t="s">
        <v>692</v>
      </c>
      <c r="H155" s="3" t="s">
        <v>14</v>
      </c>
      <c r="I155" s="3" t="s">
        <v>6</v>
      </c>
      <c r="J155" s="3"/>
      <c r="K155" s="3" t="s">
        <v>693</v>
      </c>
      <c r="L155" s="3"/>
      <c r="M155" s="3"/>
      <c r="N155" s="3"/>
      <c r="O155" s="3"/>
      <c r="P155" s="3"/>
      <c r="Q155" s="4">
        <v>46062</v>
      </c>
      <c r="R155" s="5">
        <v>14934.9</v>
      </c>
      <c r="S155" s="3">
        <v>284</v>
      </c>
      <c r="T155" s="3" t="s">
        <v>694</v>
      </c>
      <c r="U155" s="3">
        <v>0</v>
      </c>
      <c r="V155" s="3" t="s">
        <v>8</v>
      </c>
      <c r="W155" s="5">
        <v>14934.9</v>
      </c>
      <c r="X155" s="3">
        <v>0</v>
      </c>
      <c r="Y155" s="3">
        <v>0</v>
      </c>
      <c r="Z155" s="3">
        <v>0</v>
      </c>
      <c r="AA155" s="3">
        <v>0</v>
      </c>
      <c r="AB155" s="5">
        <v>14934.9</v>
      </c>
      <c r="AD155" s="25" t="s">
        <v>1175</v>
      </c>
      <c r="AE155" s="25" t="s">
        <v>1176</v>
      </c>
      <c r="AF155" s="26">
        <v>14934.9</v>
      </c>
      <c r="AG155" s="33">
        <f>W155</f>
        <v>14934.9</v>
      </c>
      <c r="AH155" s="18"/>
      <c r="AI155" s="3"/>
      <c r="AJ155" s="3"/>
      <c r="AK155" s="3"/>
      <c r="AL155" s="15">
        <f>AH155+AI155+AJ155+AK155+AG155</f>
        <v>14934.9</v>
      </c>
      <c r="AM155" s="15">
        <f>AB155-AL155</f>
        <v>0</v>
      </c>
      <c r="AN155">
        <v>0</v>
      </c>
      <c r="AO155" s="15">
        <f>AM155-AN155</f>
        <v>0</v>
      </c>
      <c r="AQ155" s="15">
        <f>AL155-AF155</f>
        <v>0</v>
      </c>
    </row>
    <row r="156" spans="1:43" hidden="1" x14ac:dyDescent="0.25">
      <c r="A156">
        <v>134</v>
      </c>
      <c r="B156" s="10" t="s">
        <v>695</v>
      </c>
      <c r="C156" s="10" t="s">
        <v>1092</v>
      </c>
      <c r="D156" s="3" t="s">
        <v>696</v>
      </c>
      <c r="E156" s="3" t="s">
        <v>697</v>
      </c>
      <c r="F156" s="3" t="s">
        <v>698</v>
      </c>
      <c r="G156" s="3" t="s">
        <v>699</v>
      </c>
      <c r="H156" s="3" t="s">
        <v>14</v>
      </c>
      <c r="I156" s="3" t="s">
        <v>6</v>
      </c>
      <c r="J156" s="3"/>
      <c r="K156" s="3" t="s">
        <v>700</v>
      </c>
      <c r="L156" s="3"/>
      <c r="M156" s="3"/>
      <c r="N156" s="3"/>
      <c r="O156" s="3">
        <v>2136</v>
      </c>
      <c r="P156" s="3"/>
      <c r="Q156" s="4">
        <v>46081</v>
      </c>
      <c r="R156" s="5">
        <v>1682.26</v>
      </c>
      <c r="S156" s="3">
        <v>66</v>
      </c>
      <c r="T156" s="3"/>
      <c r="U156" s="3">
        <v>0</v>
      </c>
      <c r="V156" s="3" t="s">
        <v>8</v>
      </c>
      <c r="W156" s="5">
        <v>1682.26</v>
      </c>
      <c r="X156" s="3">
        <v>0</v>
      </c>
      <c r="Y156" s="3">
        <v>0</v>
      </c>
      <c r="Z156" s="3">
        <v>0</v>
      </c>
      <c r="AA156" s="3">
        <v>0</v>
      </c>
      <c r="AB156" s="5">
        <v>1682.26</v>
      </c>
      <c r="AD156" s="25" t="s">
        <v>1201</v>
      </c>
      <c r="AE156" s="25" t="s">
        <v>1253</v>
      </c>
      <c r="AF156" s="26">
        <v>1682.26</v>
      </c>
      <c r="AG156" s="33">
        <f>AF156</f>
        <v>1682.26</v>
      </c>
      <c r="AH156" s="18"/>
      <c r="AI156" s="3"/>
      <c r="AJ156" s="3"/>
      <c r="AK156" s="3"/>
      <c r="AL156" s="15">
        <f>AH156+AI156+AJ156+AK156+AG156</f>
        <v>1682.26</v>
      </c>
      <c r="AM156" s="15">
        <f>AB156-AL156</f>
        <v>0</v>
      </c>
      <c r="AN156" s="15">
        <f>AM156</f>
        <v>0</v>
      </c>
      <c r="AO156" s="15">
        <f>AM156-AN156</f>
        <v>0</v>
      </c>
      <c r="AQ156" s="15">
        <f>AL156-AF156</f>
        <v>0</v>
      </c>
    </row>
    <row r="157" spans="1:43" hidden="1" x14ac:dyDescent="0.25">
      <c r="A157">
        <v>138</v>
      </c>
      <c r="B157" s="10" t="s">
        <v>719</v>
      </c>
      <c r="C157" s="10" t="s">
        <v>1093</v>
      </c>
      <c r="D157" s="3" t="s">
        <v>720</v>
      </c>
      <c r="E157" s="3" t="s">
        <v>721</v>
      </c>
      <c r="F157" s="3" t="s">
        <v>722</v>
      </c>
      <c r="G157" s="3" t="s">
        <v>723</v>
      </c>
      <c r="H157" s="3" t="s">
        <v>14</v>
      </c>
      <c r="I157" s="3" t="s">
        <v>6</v>
      </c>
      <c r="J157" s="3" t="s">
        <v>15</v>
      </c>
      <c r="K157" s="3" t="s">
        <v>724</v>
      </c>
      <c r="L157" s="3"/>
      <c r="M157" s="3"/>
      <c r="N157" s="3"/>
      <c r="O157" s="3">
        <v>1462</v>
      </c>
      <c r="P157" s="3"/>
      <c r="Q157" s="4">
        <v>46081</v>
      </c>
      <c r="R157" s="5">
        <v>60140.26</v>
      </c>
      <c r="S157" s="3">
        <v>549</v>
      </c>
      <c r="T157" s="3"/>
      <c r="U157" s="3">
        <v>0</v>
      </c>
      <c r="V157" s="3" t="s">
        <v>8</v>
      </c>
      <c r="W157" s="5">
        <v>60140.26</v>
      </c>
      <c r="X157" s="3">
        <v>0</v>
      </c>
      <c r="Y157" s="3">
        <v>0</v>
      </c>
      <c r="Z157" s="3">
        <v>0</v>
      </c>
      <c r="AA157" s="3">
        <v>0</v>
      </c>
      <c r="AB157" s="5">
        <v>60140.26</v>
      </c>
      <c r="AD157" s="25"/>
      <c r="AE157" s="25"/>
      <c r="AF157" s="25"/>
      <c r="AG157" s="32"/>
      <c r="AH157" s="18"/>
      <c r="AI157" s="3"/>
      <c r="AJ157" s="3"/>
      <c r="AK157" s="3"/>
      <c r="AL157" s="15">
        <f>AH157+AI157+AJ157+AK157+AG157</f>
        <v>0</v>
      </c>
      <c r="AM157" s="15">
        <f>AB157-AL157</f>
        <v>60140.26</v>
      </c>
      <c r="AN157" s="15">
        <f>AM157</f>
        <v>60140.26</v>
      </c>
      <c r="AO157" s="15">
        <f>AM157-AN157</f>
        <v>0</v>
      </c>
      <c r="AQ157" s="15">
        <f>AL157-AF157</f>
        <v>0</v>
      </c>
    </row>
    <row r="158" spans="1:43" hidden="1" x14ac:dyDescent="0.25">
      <c r="A158">
        <v>141</v>
      </c>
      <c r="B158" s="10" t="s">
        <v>737</v>
      </c>
      <c r="C158" s="10" t="s">
        <v>1096</v>
      </c>
      <c r="D158" s="3" t="s">
        <v>738</v>
      </c>
      <c r="E158" s="3" t="s">
        <v>739</v>
      </c>
      <c r="F158" s="3"/>
      <c r="G158" s="3" t="s">
        <v>740</v>
      </c>
      <c r="H158" s="3" t="s">
        <v>14</v>
      </c>
      <c r="I158" s="3"/>
      <c r="J158" s="3"/>
      <c r="K158" s="3" t="s">
        <v>741</v>
      </c>
      <c r="L158" s="3"/>
      <c r="M158" s="3"/>
      <c r="N158" s="3"/>
      <c r="O158" s="3">
        <v>2144</v>
      </c>
      <c r="P158" s="3"/>
      <c r="Q158" s="4">
        <v>46077</v>
      </c>
      <c r="R158" s="5">
        <v>2817.5</v>
      </c>
      <c r="S158" s="3">
        <v>179</v>
      </c>
      <c r="T158" s="3"/>
      <c r="U158" s="3">
        <v>0</v>
      </c>
      <c r="V158" s="3" t="s">
        <v>8</v>
      </c>
      <c r="W158" s="5">
        <v>2817.5</v>
      </c>
      <c r="X158" s="3">
        <v>0</v>
      </c>
      <c r="Y158" s="3">
        <v>0</v>
      </c>
      <c r="Z158" s="3">
        <v>0</v>
      </c>
      <c r="AA158" s="3">
        <v>0</v>
      </c>
      <c r="AB158" s="5">
        <v>2817.5</v>
      </c>
      <c r="AD158" s="25" t="s">
        <v>1163</v>
      </c>
      <c r="AE158" s="25" t="s">
        <v>737</v>
      </c>
      <c r="AF158" s="26">
        <v>2817.5</v>
      </c>
      <c r="AG158" s="32"/>
      <c r="AH158" s="19">
        <f>AF158</f>
        <v>2817.5</v>
      </c>
      <c r="AI158" s="3"/>
      <c r="AJ158" s="3"/>
      <c r="AK158" s="3"/>
      <c r="AL158" s="15">
        <f>AH158+AI158+AJ158+AK158+AG158</f>
        <v>2817.5</v>
      </c>
      <c r="AM158" s="15">
        <f>AB158-AL158</f>
        <v>0</v>
      </c>
      <c r="AN158">
        <v>0</v>
      </c>
      <c r="AO158" s="15">
        <f>AM158-AN158</f>
        <v>0</v>
      </c>
      <c r="AQ158" s="15">
        <f>AL158-AF158</f>
        <v>0</v>
      </c>
    </row>
    <row r="159" spans="1:43" hidden="1" x14ac:dyDescent="0.25">
      <c r="A159">
        <v>140</v>
      </c>
      <c r="B159" s="10" t="s">
        <v>731</v>
      </c>
      <c r="C159" s="10" t="s">
        <v>1095</v>
      </c>
      <c r="D159" s="3" t="s">
        <v>732</v>
      </c>
      <c r="E159" s="3" t="s">
        <v>733</v>
      </c>
      <c r="F159" s="3" t="s">
        <v>734</v>
      </c>
      <c r="G159" s="3" t="s">
        <v>735</v>
      </c>
      <c r="H159" s="3" t="s">
        <v>14</v>
      </c>
      <c r="I159" s="3" t="s">
        <v>6</v>
      </c>
      <c r="J159" s="3"/>
      <c r="K159" s="3" t="s">
        <v>736</v>
      </c>
      <c r="L159" s="3"/>
      <c r="M159" s="3"/>
      <c r="N159" s="3"/>
      <c r="O159" s="3">
        <v>2037</v>
      </c>
      <c r="P159" s="3"/>
      <c r="Q159" s="4">
        <v>46080</v>
      </c>
      <c r="R159" s="5">
        <v>938.4</v>
      </c>
      <c r="S159" s="3">
        <v>106</v>
      </c>
      <c r="T159" s="3"/>
      <c r="U159" s="3">
        <v>0</v>
      </c>
      <c r="V159" s="3" t="s">
        <v>8</v>
      </c>
      <c r="W159" s="5">
        <v>938.4</v>
      </c>
      <c r="X159" s="3">
        <v>0</v>
      </c>
      <c r="Y159" s="3">
        <v>0</v>
      </c>
      <c r="Z159" s="3">
        <v>0</v>
      </c>
      <c r="AA159" s="3">
        <v>0</v>
      </c>
      <c r="AB159" s="5">
        <v>938.4</v>
      </c>
      <c r="AD159" s="25"/>
      <c r="AE159" s="25"/>
      <c r="AF159" s="25"/>
      <c r="AG159" s="32"/>
      <c r="AH159" s="18"/>
      <c r="AI159" s="3"/>
      <c r="AJ159" s="3"/>
      <c r="AK159" s="3"/>
      <c r="AL159" s="15">
        <f>AH159+AI159+AJ159+AK159+AG159</f>
        <v>0</v>
      </c>
      <c r="AM159" s="15">
        <f>AB159-AL159</f>
        <v>938.4</v>
      </c>
      <c r="AN159" s="15">
        <f>AM159</f>
        <v>938.4</v>
      </c>
      <c r="AO159" s="15">
        <f>AM159-AN159</f>
        <v>0</v>
      </c>
      <c r="AQ159" s="15">
        <f>AL159-AF159</f>
        <v>0</v>
      </c>
    </row>
    <row r="160" spans="1:43" hidden="1" x14ac:dyDescent="0.25">
      <c r="A160">
        <v>142</v>
      </c>
      <c r="B160" s="10" t="s">
        <v>742</v>
      </c>
      <c r="C160" s="10" t="s">
        <v>1097</v>
      </c>
      <c r="D160" s="3" t="s">
        <v>743</v>
      </c>
      <c r="E160" s="3" t="s">
        <v>744</v>
      </c>
      <c r="F160" s="3" t="s">
        <v>745</v>
      </c>
      <c r="G160" s="3" t="s">
        <v>746</v>
      </c>
      <c r="H160" s="3" t="s">
        <v>14</v>
      </c>
      <c r="I160" s="3" t="s">
        <v>6</v>
      </c>
      <c r="J160" s="3" t="s">
        <v>15</v>
      </c>
      <c r="K160" s="3" t="s">
        <v>747</v>
      </c>
      <c r="L160" s="3"/>
      <c r="M160" s="3"/>
      <c r="N160" s="3" t="s">
        <v>22</v>
      </c>
      <c r="O160" s="3"/>
      <c r="P160" s="3"/>
      <c r="Q160" s="4">
        <v>46081</v>
      </c>
      <c r="R160" s="5">
        <v>232.14</v>
      </c>
      <c r="S160" s="3">
        <v>68</v>
      </c>
      <c r="T160" s="3"/>
      <c r="U160" s="3">
        <v>0</v>
      </c>
      <c r="V160" s="3" t="s">
        <v>8</v>
      </c>
      <c r="W160" s="5">
        <v>232.14</v>
      </c>
      <c r="X160" s="3">
        <v>0</v>
      </c>
      <c r="Y160" s="3">
        <v>0</v>
      </c>
      <c r="Z160" s="3">
        <v>0</v>
      </c>
      <c r="AA160" s="3">
        <v>0</v>
      </c>
      <c r="AB160" s="5">
        <v>232.14</v>
      </c>
      <c r="AD160" s="25"/>
      <c r="AE160" s="25"/>
      <c r="AF160" s="25"/>
      <c r="AG160" s="32"/>
      <c r="AH160" s="18"/>
      <c r="AI160" s="3"/>
      <c r="AJ160" s="3"/>
      <c r="AK160" s="3"/>
      <c r="AL160" s="15">
        <f>AH160+AI160+AJ160+AK160+AG160</f>
        <v>0</v>
      </c>
      <c r="AM160" s="15">
        <f>AB160-AL160</f>
        <v>232.14</v>
      </c>
      <c r="AN160" s="15">
        <f>AM160</f>
        <v>232.14</v>
      </c>
      <c r="AO160" s="15">
        <f>AM160-AN160</f>
        <v>0</v>
      </c>
      <c r="AQ160" s="15">
        <f>AL160-AF160</f>
        <v>0</v>
      </c>
    </row>
    <row r="161" spans="1:43" hidden="1" x14ac:dyDescent="0.25">
      <c r="A161">
        <v>168</v>
      </c>
      <c r="B161" s="10" t="s">
        <v>867</v>
      </c>
      <c r="C161" s="10" t="s">
        <v>1118</v>
      </c>
      <c r="D161" s="3" t="s">
        <v>868</v>
      </c>
      <c r="E161" s="3" t="s">
        <v>869</v>
      </c>
      <c r="F161" s="3" t="s">
        <v>870</v>
      </c>
      <c r="G161" s="3" t="s">
        <v>871</v>
      </c>
      <c r="H161" s="3" t="s">
        <v>14</v>
      </c>
      <c r="I161" s="3" t="s">
        <v>6</v>
      </c>
      <c r="J161" s="3" t="s">
        <v>15</v>
      </c>
      <c r="K161" s="3" t="s">
        <v>872</v>
      </c>
      <c r="L161" s="3"/>
      <c r="M161" s="3"/>
      <c r="N161" s="3" t="s">
        <v>22</v>
      </c>
      <c r="O161" s="3"/>
      <c r="P161" s="3"/>
      <c r="Q161" s="4">
        <v>46080</v>
      </c>
      <c r="R161" s="5">
        <v>69723.350000000006</v>
      </c>
      <c r="S161" s="3">
        <v>344</v>
      </c>
      <c r="T161" s="3"/>
      <c r="U161" s="3">
        <v>0</v>
      </c>
      <c r="V161" s="3" t="s">
        <v>8</v>
      </c>
      <c r="W161" s="5">
        <v>101242.55</v>
      </c>
      <c r="X161" s="3">
        <v>0</v>
      </c>
      <c r="Y161" s="3">
        <v>0</v>
      </c>
      <c r="Z161" s="3">
        <v>0</v>
      </c>
      <c r="AA161" s="3">
        <v>0</v>
      </c>
      <c r="AB161" s="5">
        <v>101242.55</v>
      </c>
      <c r="AD161" s="25" t="s">
        <v>1201</v>
      </c>
      <c r="AE161" s="25" t="s">
        <v>1202</v>
      </c>
      <c r="AF161" s="26">
        <v>101242.55</v>
      </c>
      <c r="AG161" s="33">
        <f>[2]Sheet1!$D$50</f>
        <v>101242.55</v>
      </c>
      <c r="AH161" s="18"/>
      <c r="AI161" s="3"/>
      <c r="AJ161" s="3"/>
      <c r="AK161" s="3"/>
      <c r="AL161" s="15">
        <f>AH161+AI161+AJ161+AK161+AG161</f>
        <v>101242.55</v>
      </c>
      <c r="AM161" s="15">
        <f>AB161-AL161</f>
        <v>0</v>
      </c>
      <c r="AN161" s="15">
        <f>AM161</f>
        <v>0</v>
      </c>
      <c r="AO161" s="15">
        <f>AM161-AN161</f>
        <v>0</v>
      </c>
      <c r="AQ161" s="15">
        <f>AL161-AF161</f>
        <v>0</v>
      </c>
    </row>
    <row r="162" spans="1:43" hidden="1" x14ac:dyDescent="0.25">
      <c r="A162">
        <v>146</v>
      </c>
      <c r="B162" s="10">
        <v>682</v>
      </c>
      <c r="C162" s="10" t="s">
        <v>1099</v>
      </c>
      <c r="D162" s="3" t="s">
        <v>762</v>
      </c>
      <c r="E162" s="3" t="s">
        <v>763</v>
      </c>
      <c r="F162" s="3" t="s">
        <v>764</v>
      </c>
      <c r="G162" s="3" t="s">
        <v>765</v>
      </c>
      <c r="H162" s="3" t="s">
        <v>14</v>
      </c>
      <c r="I162" s="3" t="s">
        <v>6</v>
      </c>
      <c r="J162" s="3" t="s">
        <v>15</v>
      </c>
      <c r="K162" s="3"/>
      <c r="L162" s="3"/>
      <c r="M162" s="3"/>
      <c r="N162" s="3"/>
      <c r="O162" s="3"/>
      <c r="P162" s="3"/>
      <c r="Q162" s="4">
        <v>46081</v>
      </c>
      <c r="R162" s="5">
        <v>5559.8</v>
      </c>
      <c r="S162" s="3">
        <v>261</v>
      </c>
      <c r="T162" s="3"/>
      <c r="U162" s="3">
        <v>0</v>
      </c>
      <c r="V162" s="3" t="s">
        <v>8</v>
      </c>
      <c r="W162" s="5">
        <v>5559.8</v>
      </c>
      <c r="X162" s="3">
        <v>0</v>
      </c>
      <c r="Y162" s="3">
        <v>0</v>
      </c>
      <c r="Z162" s="3">
        <v>0</v>
      </c>
      <c r="AA162" s="3">
        <v>0</v>
      </c>
      <c r="AB162" s="5">
        <v>5559.8</v>
      </c>
      <c r="AD162" s="25" t="s">
        <v>1201</v>
      </c>
      <c r="AE162" s="25" t="s">
        <v>762</v>
      </c>
      <c r="AF162" s="26">
        <v>5559.8</v>
      </c>
      <c r="AG162" s="33">
        <f>W162</f>
        <v>5559.8</v>
      </c>
      <c r="AH162" s="18"/>
      <c r="AI162" s="3"/>
      <c r="AJ162" s="3"/>
      <c r="AK162" s="3"/>
      <c r="AL162" s="15">
        <f>AH162+AI162+AJ162+AK162+AG162</f>
        <v>5559.8</v>
      </c>
      <c r="AM162" s="15">
        <f>AB162-AL162</f>
        <v>0</v>
      </c>
      <c r="AN162" s="15">
        <f>AM162</f>
        <v>0</v>
      </c>
      <c r="AO162" s="15">
        <f>AM162-AN162</f>
        <v>0</v>
      </c>
      <c r="AQ162" s="15">
        <f>AL162-AF162</f>
        <v>0</v>
      </c>
    </row>
    <row r="163" spans="1:43" hidden="1" x14ac:dyDescent="0.25">
      <c r="A163">
        <v>148</v>
      </c>
      <c r="B163" s="10" t="s">
        <v>767</v>
      </c>
      <c r="C163" s="10" t="s">
        <v>1101</v>
      </c>
      <c r="D163" s="3" t="s">
        <v>768</v>
      </c>
      <c r="E163" s="3" t="s">
        <v>769</v>
      </c>
      <c r="F163" s="3" t="s">
        <v>770</v>
      </c>
      <c r="G163" s="3" t="s">
        <v>771</v>
      </c>
      <c r="H163" s="3" t="s">
        <v>14</v>
      </c>
      <c r="I163" s="3"/>
      <c r="J163" s="3"/>
      <c r="K163" s="3" t="s">
        <v>772</v>
      </c>
      <c r="L163" s="3"/>
      <c r="M163" s="3"/>
      <c r="N163" s="3"/>
      <c r="O163" s="3">
        <v>1465</v>
      </c>
      <c r="P163" s="3"/>
      <c r="Q163" s="4">
        <v>46052</v>
      </c>
      <c r="R163" s="5">
        <v>21721.360000000001</v>
      </c>
      <c r="S163" s="3">
        <v>172</v>
      </c>
      <c r="T163" s="3"/>
      <c r="U163" s="3">
        <v>0</v>
      </c>
      <c r="V163" s="3" t="s">
        <v>8</v>
      </c>
      <c r="W163" s="5">
        <v>10860.68</v>
      </c>
      <c r="X163" s="5">
        <v>10860.68</v>
      </c>
      <c r="Y163" s="3">
        <v>0</v>
      </c>
      <c r="Z163" s="3">
        <v>0</v>
      </c>
      <c r="AA163" s="3">
        <v>0</v>
      </c>
      <c r="AB163" s="5">
        <v>21721.360000000001</v>
      </c>
      <c r="AD163" s="25" t="s">
        <v>1154</v>
      </c>
      <c r="AE163" s="25" t="s">
        <v>1171</v>
      </c>
      <c r="AF163" s="26">
        <v>10860.68</v>
      </c>
      <c r="AG163" s="32"/>
      <c r="AH163" s="19">
        <f>X163</f>
        <v>10860.68</v>
      </c>
      <c r="AI163" s="3"/>
      <c r="AJ163" s="3"/>
      <c r="AK163" s="3"/>
      <c r="AL163" s="15">
        <f>AH163+AI163+AJ163+AK163+AG163</f>
        <v>10860.68</v>
      </c>
      <c r="AM163" s="15">
        <f>AB163-AL163</f>
        <v>10860.68</v>
      </c>
      <c r="AN163">
        <v>10860.68</v>
      </c>
      <c r="AO163" s="15">
        <f>AM163-AN163</f>
        <v>0</v>
      </c>
      <c r="AQ163" s="15">
        <f>AL163-AF163</f>
        <v>0</v>
      </c>
    </row>
    <row r="164" spans="1:43" hidden="1" x14ac:dyDescent="0.25">
      <c r="A164">
        <v>33</v>
      </c>
      <c r="B164" s="10" t="s">
        <v>171</v>
      </c>
      <c r="C164" s="10" t="s">
        <v>1018</v>
      </c>
      <c r="D164" s="3" t="s">
        <v>172</v>
      </c>
      <c r="E164" s="3" t="s">
        <v>173</v>
      </c>
      <c r="F164" s="3" t="s">
        <v>174</v>
      </c>
      <c r="G164" s="3" t="s">
        <v>175</v>
      </c>
      <c r="H164" s="3" t="s">
        <v>14</v>
      </c>
      <c r="I164" s="3" t="s">
        <v>6</v>
      </c>
      <c r="J164" s="3" t="s">
        <v>15</v>
      </c>
      <c r="K164" s="3" t="s">
        <v>176</v>
      </c>
      <c r="L164" s="3"/>
      <c r="M164" s="3"/>
      <c r="N164" s="3"/>
      <c r="O164" s="3">
        <v>2059</v>
      </c>
      <c r="P164" s="3"/>
      <c r="Q164" s="4">
        <v>46081</v>
      </c>
      <c r="R164" s="5">
        <v>2005.36</v>
      </c>
      <c r="S164" s="3">
        <v>90</v>
      </c>
      <c r="T164" s="3"/>
      <c r="U164" s="3">
        <v>0</v>
      </c>
      <c r="V164" s="3" t="s">
        <v>8</v>
      </c>
      <c r="W164" s="5">
        <v>2005.36</v>
      </c>
      <c r="X164" s="3">
        <v>0</v>
      </c>
      <c r="Y164" s="3">
        <v>0</v>
      </c>
      <c r="Z164" s="3">
        <v>0</v>
      </c>
      <c r="AA164" s="3">
        <v>0</v>
      </c>
      <c r="AB164" s="5">
        <v>2005.36</v>
      </c>
      <c r="AD164" s="25" t="s">
        <v>1201</v>
      </c>
      <c r="AE164" s="25" t="s">
        <v>172</v>
      </c>
      <c r="AF164" s="26">
        <v>2005.36</v>
      </c>
      <c r="AG164" s="33">
        <f>AF164</f>
        <v>2005.36</v>
      </c>
      <c r="AH164" s="18"/>
      <c r="AI164" s="3"/>
      <c r="AJ164" s="3"/>
      <c r="AK164" s="3"/>
      <c r="AL164" s="15">
        <f>AH164+AI164+AJ164+AK164+AG164</f>
        <v>2005.36</v>
      </c>
      <c r="AM164" s="15">
        <f>AB164-AL164</f>
        <v>0</v>
      </c>
      <c r="AN164" s="15">
        <f>AM164</f>
        <v>0</v>
      </c>
      <c r="AO164" s="15">
        <f>AM164-AN164</f>
        <v>0</v>
      </c>
      <c r="AQ164" s="15">
        <f>AL164-AF164</f>
        <v>0</v>
      </c>
    </row>
    <row r="165" spans="1:43" hidden="1" x14ac:dyDescent="0.25">
      <c r="A165">
        <v>149</v>
      </c>
      <c r="B165" s="10" t="s">
        <v>773</v>
      </c>
      <c r="C165" s="10" t="s">
        <v>1102</v>
      </c>
      <c r="D165" s="3" t="s">
        <v>774</v>
      </c>
      <c r="E165" s="3" t="s">
        <v>774</v>
      </c>
      <c r="F165" s="3" t="s">
        <v>775</v>
      </c>
      <c r="G165" s="3" t="s">
        <v>776</v>
      </c>
      <c r="H165" s="3" t="s">
        <v>14</v>
      </c>
      <c r="I165" s="3" t="s">
        <v>6</v>
      </c>
      <c r="J165" s="3" t="s">
        <v>15</v>
      </c>
      <c r="K165" s="3" t="s">
        <v>777</v>
      </c>
      <c r="L165" s="3"/>
      <c r="M165" s="3"/>
      <c r="N165" s="3"/>
      <c r="O165" s="3">
        <v>2196</v>
      </c>
      <c r="P165" s="3"/>
      <c r="Q165" s="4">
        <v>46081</v>
      </c>
      <c r="R165" s="5">
        <v>162.97999999999999</v>
      </c>
      <c r="S165" s="3">
        <v>60</v>
      </c>
      <c r="T165" s="3"/>
      <c r="U165" s="3">
        <v>0</v>
      </c>
      <c r="V165" s="3" t="s">
        <v>8</v>
      </c>
      <c r="W165" s="5">
        <v>162.97999999999999</v>
      </c>
      <c r="X165" s="3">
        <v>0</v>
      </c>
      <c r="Y165" s="3">
        <v>0</v>
      </c>
      <c r="Z165" s="3">
        <v>0</v>
      </c>
      <c r="AA165" s="3">
        <v>0</v>
      </c>
      <c r="AB165" s="5">
        <v>162.97999999999999</v>
      </c>
      <c r="AD165" s="25"/>
      <c r="AE165" s="25"/>
      <c r="AF165" s="25"/>
      <c r="AG165" s="89"/>
      <c r="AH165" s="18"/>
      <c r="AI165" s="3"/>
      <c r="AJ165" s="3"/>
      <c r="AK165" s="3"/>
      <c r="AL165" s="15">
        <f>AH165+AI165+AJ165+AK165+AG165</f>
        <v>0</v>
      </c>
      <c r="AM165" s="15">
        <f>AB165-AL165</f>
        <v>162.97999999999999</v>
      </c>
      <c r="AN165" s="15">
        <f>AM165</f>
        <v>162.97999999999999</v>
      </c>
      <c r="AO165" s="15">
        <f>AM165-AN165</f>
        <v>0</v>
      </c>
      <c r="AQ165" s="15">
        <f>AL165-AF165</f>
        <v>0</v>
      </c>
    </row>
    <row r="166" spans="1:43" hidden="1" x14ac:dyDescent="0.25">
      <c r="A166">
        <v>151</v>
      </c>
      <c r="B166" s="10" t="s">
        <v>781</v>
      </c>
      <c r="C166" s="10" t="s">
        <v>1104</v>
      </c>
      <c r="D166" s="3" t="s">
        <v>782</v>
      </c>
      <c r="E166" s="3" t="s">
        <v>783</v>
      </c>
      <c r="F166" s="3"/>
      <c r="G166" s="3" t="s">
        <v>784</v>
      </c>
      <c r="H166" s="3" t="s">
        <v>14</v>
      </c>
      <c r="I166" s="3" t="s">
        <v>6</v>
      </c>
      <c r="J166" s="3" t="s">
        <v>15</v>
      </c>
      <c r="K166" s="3" t="s">
        <v>785</v>
      </c>
      <c r="L166" s="3"/>
      <c r="M166" s="3"/>
      <c r="N166" s="3" t="s">
        <v>22</v>
      </c>
      <c r="O166" s="3"/>
      <c r="P166" s="3"/>
      <c r="Q166" s="4">
        <v>46081</v>
      </c>
      <c r="R166" s="5">
        <v>297.85000000000002</v>
      </c>
      <c r="S166" s="3">
        <v>68</v>
      </c>
      <c r="T166" s="3"/>
      <c r="U166" s="3">
        <v>0</v>
      </c>
      <c r="V166" s="3" t="s">
        <v>8</v>
      </c>
      <c r="W166" s="5">
        <v>297.85000000000002</v>
      </c>
      <c r="X166" s="3">
        <v>0</v>
      </c>
      <c r="Y166" s="3">
        <v>0</v>
      </c>
      <c r="Z166" s="3">
        <v>0</v>
      </c>
      <c r="AA166" s="3">
        <v>0</v>
      </c>
      <c r="AB166" s="5">
        <v>297.85000000000002</v>
      </c>
      <c r="AD166" s="25"/>
      <c r="AE166" s="25"/>
      <c r="AF166" s="25"/>
      <c r="AG166" s="32"/>
      <c r="AH166" s="18"/>
      <c r="AI166" s="3"/>
      <c r="AJ166" s="3"/>
      <c r="AK166" s="3"/>
      <c r="AL166" s="15">
        <f>AH166+AI166+AJ166+AK166+AG166</f>
        <v>0</v>
      </c>
      <c r="AM166" s="15">
        <f>AB166-AL166</f>
        <v>297.85000000000002</v>
      </c>
      <c r="AN166" s="15">
        <f>AM166</f>
        <v>297.85000000000002</v>
      </c>
      <c r="AO166" s="15">
        <f>AM166-AN166</f>
        <v>0</v>
      </c>
      <c r="AQ166" s="15">
        <f>AL166-AF166</f>
        <v>0</v>
      </c>
    </row>
    <row r="167" spans="1:43" hidden="1" x14ac:dyDescent="0.25">
      <c r="A167">
        <v>153</v>
      </c>
      <c r="B167" s="10" t="s">
        <v>794</v>
      </c>
      <c r="C167" s="10" t="s">
        <v>1105</v>
      </c>
      <c r="D167" s="3" t="s">
        <v>795</v>
      </c>
      <c r="E167" s="3" t="s">
        <v>796</v>
      </c>
      <c r="F167" s="3" t="s">
        <v>797</v>
      </c>
      <c r="G167" s="3" t="s">
        <v>798</v>
      </c>
      <c r="H167" s="3" t="s">
        <v>14</v>
      </c>
      <c r="I167" s="3" t="s">
        <v>6</v>
      </c>
      <c r="J167" s="3"/>
      <c r="K167" s="3" t="s">
        <v>799</v>
      </c>
      <c r="L167" s="3"/>
      <c r="M167" s="3"/>
      <c r="N167" s="3"/>
      <c r="O167" s="6" t="s">
        <v>800</v>
      </c>
      <c r="P167" s="3"/>
      <c r="Q167" s="4">
        <v>46080</v>
      </c>
      <c r="R167" s="5">
        <v>71630.789999999994</v>
      </c>
      <c r="S167" s="3">
        <v>346</v>
      </c>
      <c r="T167" s="3"/>
      <c r="U167" s="3">
        <v>0</v>
      </c>
      <c r="V167" s="3" t="s">
        <v>8</v>
      </c>
      <c r="W167" s="5">
        <v>5017</v>
      </c>
      <c r="X167" s="3">
        <v>0</v>
      </c>
      <c r="Y167" s="3">
        <v>0</v>
      </c>
      <c r="Z167" s="3">
        <v>0</v>
      </c>
      <c r="AA167" s="5">
        <v>-0.01</v>
      </c>
      <c r="AB167" s="5">
        <v>5016.99</v>
      </c>
      <c r="AD167" s="25" t="s">
        <v>1167</v>
      </c>
      <c r="AE167" s="25" t="s">
        <v>1168</v>
      </c>
      <c r="AF167" s="26">
        <v>5017</v>
      </c>
      <c r="AG167" s="33">
        <f>W167</f>
        <v>5017</v>
      </c>
      <c r="AH167" s="18"/>
      <c r="AI167" s="3"/>
      <c r="AJ167" s="3"/>
      <c r="AK167" s="5"/>
      <c r="AL167" s="15">
        <f>AH167+AI167+AJ167+AK167+AG167</f>
        <v>5017</v>
      </c>
      <c r="AM167" s="15">
        <f>AB167-AL167</f>
        <v>-1.0000000000218279E-2</v>
      </c>
      <c r="AN167">
        <v>0</v>
      </c>
      <c r="AO167" s="15">
        <f>AM167-AN167</f>
        <v>-1.0000000000218279E-2</v>
      </c>
      <c r="AQ167" s="15">
        <f>AL167-AF167</f>
        <v>0</v>
      </c>
    </row>
    <row r="168" spans="1:43" hidden="1" x14ac:dyDescent="0.25">
      <c r="A168">
        <v>154</v>
      </c>
      <c r="B168" s="10" t="s">
        <v>801</v>
      </c>
      <c r="C168" s="3" t="s">
        <v>1106</v>
      </c>
      <c r="D168" s="3" t="s">
        <v>802</v>
      </c>
      <c r="E168" s="3" t="s">
        <v>803</v>
      </c>
      <c r="F168" s="3" t="s">
        <v>804</v>
      </c>
      <c r="G168" s="3" t="s">
        <v>805</v>
      </c>
      <c r="H168" s="3" t="s">
        <v>14</v>
      </c>
      <c r="I168" s="3"/>
      <c r="J168" s="3"/>
      <c r="K168" s="3" t="s">
        <v>806</v>
      </c>
      <c r="L168" s="3"/>
      <c r="M168" s="3"/>
      <c r="N168" s="3"/>
      <c r="O168" s="3">
        <v>1462</v>
      </c>
      <c r="P168" s="3"/>
      <c r="Q168" s="4">
        <v>46055</v>
      </c>
      <c r="R168" s="5">
        <v>25968.959999999999</v>
      </c>
      <c r="S168" s="3">
        <v>1218</v>
      </c>
      <c r="T168" s="3"/>
      <c r="U168" s="3">
        <v>0</v>
      </c>
      <c r="V168" s="3" t="s">
        <v>8</v>
      </c>
      <c r="W168" s="5">
        <v>26116.12</v>
      </c>
      <c r="X168" s="5">
        <v>23990.9</v>
      </c>
      <c r="Y168" s="3">
        <v>0</v>
      </c>
      <c r="Z168" s="3">
        <v>0</v>
      </c>
      <c r="AA168" s="3">
        <v>0.02</v>
      </c>
      <c r="AB168" s="5">
        <v>50107.040000000001</v>
      </c>
      <c r="AD168" s="25" t="s">
        <v>1147</v>
      </c>
      <c r="AE168" s="25" t="s">
        <v>1185</v>
      </c>
      <c r="AF168" s="26">
        <v>23990.9</v>
      </c>
      <c r="AG168" s="32"/>
      <c r="AH168" s="19">
        <f>AF168</f>
        <v>23990.9</v>
      </c>
      <c r="AI168" s="3"/>
      <c r="AJ168" s="3"/>
      <c r="AK168" s="3"/>
      <c r="AL168" s="15">
        <f>AH168+AI168+AJ168+AK168+AG168</f>
        <v>23990.9</v>
      </c>
      <c r="AM168" s="15">
        <f>AB168-AL168</f>
        <v>26116.14</v>
      </c>
      <c r="AN168">
        <v>26116.14</v>
      </c>
      <c r="AO168" s="15">
        <f>AM168-AN168</f>
        <v>0</v>
      </c>
      <c r="AQ168" s="15">
        <f>AL168-AF168</f>
        <v>0</v>
      </c>
    </row>
    <row r="169" spans="1:43" hidden="1" x14ac:dyDescent="0.25">
      <c r="A169">
        <v>155</v>
      </c>
      <c r="B169" s="10" t="s">
        <v>807</v>
      </c>
      <c r="C169" s="10" t="s">
        <v>1107</v>
      </c>
      <c r="D169" s="3" t="s">
        <v>808</v>
      </c>
      <c r="E169" s="3" t="s">
        <v>809</v>
      </c>
      <c r="F169" s="3" t="s">
        <v>810</v>
      </c>
      <c r="G169" s="3" t="s">
        <v>811</v>
      </c>
      <c r="H169" s="3" t="s">
        <v>14</v>
      </c>
      <c r="I169" s="3"/>
      <c r="J169" s="3" t="s">
        <v>15</v>
      </c>
      <c r="K169" s="3" t="s">
        <v>812</v>
      </c>
      <c r="L169" s="3"/>
      <c r="M169" s="3"/>
      <c r="N169" s="3"/>
      <c r="O169" s="3">
        <v>2090</v>
      </c>
      <c r="P169" s="3"/>
      <c r="Q169" s="4">
        <v>46081</v>
      </c>
      <c r="R169" s="5">
        <v>188.7</v>
      </c>
      <c r="S169" s="3">
        <v>76</v>
      </c>
      <c r="T169" s="3"/>
      <c r="U169" s="3">
        <v>0</v>
      </c>
      <c r="V169" s="3" t="s">
        <v>8</v>
      </c>
      <c r="W169" s="5">
        <v>188.7</v>
      </c>
      <c r="X169" s="3">
        <v>0</v>
      </c>
      <c r="Y169" s="3">
        <v>0</v>
      </c>
      <c r="Z169" s="3">
        <v>0</v>
      </c>
      <c r="AA169" s="3">
        <v>0</v>
      </c>
      <c r="AB169" s="5">
        <v>188.7</v>
      </c>
      <c r="AD169" s="25"/>
      <c r="AE169" s="25"/>
      <c r="AF169" s="25"/>
      <c r="AG169" s="32"/>
      <c r="AH169" s="18"/>
      <c r="AI169" s="3"/>
      <c r="AJ169" s="3"/>
      <c r="AK169" s="3"/>
      <c r="AL169" s="15">
        <f>AH169+AI169+AJ169+AK169+AG169</f>
        <v>0</v>
      </c>
      <c r="AM169" s="15">
        <f>AB169-AL169</f>
        <v>188.7</v>
      </c>
      <c r="AN169" s="15">
        <f>AM169</f>
        <v>188.7</v>
      </c>
      <c r="AO169" s="15">
        <f>AM169-AN169</f>
        <v>0</v>
      </c>
      <c r="AQ169" s="15">
        <f>AL169-AF169</f>
        <v>0</v>
      </c>
    </row>
    <row r="170" spans="1:43" hidden="1" x14ac:dyDescent="0.25">
      <c r="A170">
        <v>160</v>
      </c>
      <c r="B170" s="10" t="s">
        <v>836</v>
      </c>
      <c r="C170" s="10" t="s">
        <v>1112</v>
      </c>
      <c r="D170" s="3" t="s">
        <v>837</v>
      </c>
      <c r="E170" s="3"/>
      <c r="F170" s="3"/>
      <c r="G170" s="3"/>
      <c r="H170" s="3" t="s">
        <v>14</v>
      </c>
      <c r="I170" s="3" t="s">
        <v>6</v>
      </c>
      <c r="J170" s="3"/>
      <c r="K170" s="3" t="s">
        <v>838</v>
      </c>
      <c r="L170" s="3"/>
      <c r="M170" s="3"/>
      <c r="N170" s="3"/>
      <c r="O170" s="3">
        <v>3600</v>
      </c>
      <c r="P170" s="3"/>
      <c r="Q170" s="4">
        <v>46078</v>
      </c>
      <c r="R170" s="5">
        <v>1309.52</v>
      </c>
      <c r="S170" s="3">
        <v>204</v>
      </c>
      <c r="T170" s="3"/>
      <c r="U170" s="3">
        <v>0</v>
      </c>
      <c r="V170" s="3" t="s">
        <v>8</v>
      </c>
      <c r="W170" s="5">
        <v>7202.4</v>
      </c>
      <c r="X170" s="5">
        <v>6547.64</v>
      </c>
      <c r="Y170" s="3">
        <v>0</v>
      </c>
      <c r="Z170" s="3">
        <v>0</v>
      </c>
      <c r="AA170" s="3">
        <v>0.9</v>
      </c>
      <c r="AB170" s="5">
        <v>13750.94</v>
      </c>
      <c r="AD170" s="25" t="s">
        <v>1154</v>
      </c>
      <c r="AE170" s="25" t="s">
        <v>1155</v>
      </c>
      <c r="AF170" s="26">
        <v>654.76</v>
      </c>
      <c r="AG170" s="32"/>
      <c r="AH170" s="19">
        <f>AF170</f>
        <v>654.76</v>
      </c>
      <c r="AI170" s="3"/>
      <c r="AJ170" s="3"/>
      <c r="AK170" s="3"/>
      <c r="AL170" s="15">
        <f>AH170+AI170+AJ170+AK170+AG170</f>
        <v>654.76</v>
      </c>
      <c r="AM170" s="15">
        <f>AB170-AL170</f>
        <v>13096.18</v>
      </c>
      <c r="AN170">
        <v>13095.28</v>
      </c>
      <c r="AO170" s="15">
        <f>AM170-AN170</f>
        <v>0.8999999999996362</v>
      </c>
      <c r="AQ170" s="15">
        <f>AL170-AF170</f>
        <v>0</v>
      </c>
    </row>
    <row r="171" spans="1:43" hidden="1" x14ac:dyDescent="0.25">
      <c r="A171">
        <v>156</v>
      </c>
      <c r="B171" s="10" t="s">
        <v>813</v>
      </c>
      <c r="C171" s="10" t="s">
        <v>1108</v>
      </c>
      <c r="D171" s="3" t="s">
        <v>814</v>
      </c>
      <c r="E171" s="3" t="s">
        <v>815</v>
      </c>
      <c r="F171" s="3" t="s">
        <v>816</v>
      </c>
      <c r="G171" s="3" t="s">
        <v>817</v>
      </c>
      <c r="H171" s="3" t="s">
        <v>14</v>
      </c>
      <c r="I171" s="3" t="s">
        <v>6</v>
      </c>
      <c r="J171" s="3"/>
      <c r="K171" s="3" t="s">
        <v>818</v>
      </c>
      <c r="L171" s="3"/>
      <c r="M171" s="3"/>
      <c r="N171" s="3"/>
      <c r="O171" s="3">
        <v>8305</v>
      </c>
      <c r="P171" s="3"/>
      <c r="Q171" s="4">
        <v>46080</v>
      </c>
      <c r="R171" s="5">
        <v>9359.0499999999993</v>
      </c>
      <c r="S171" s="3">
        <v>293</v>
      </c>
      <c r="T171" s="3"/>
      <c r="U171" s="3">
        <v>0</v>
      </c>
      <c r="V171" s="3" t="s">
        <v>8</v>
      </c>
      <c r="W171" s="5">
        <v>16364.48</v>
      </c>
      <c r="X171" s="5">
        <v>48581.06</v>
      </c>
      <c r="Y171" s="3">
        <v>0</v>
      </c>
      <c r="Z171" s="3">
        <v>0</v>
      </c>
      <c r="AA171" s="5">
        <v>-402.56</v>
      </c>
      <c r="AB171" s="5">
        <v>64542.98</v>
      </c>
      <c r="AD171" s="25" t="s">
        <v>1201</v>
      </c>
      <c r="AE171" s="25" t="s">
        <v>1266</v>
      </c>
      <c r="AF171" s="26">
        <v>19464.05</v>
      </c>
      <c r="AG171" s="33">
        <f>AF171</f>
        <v>19464.05</v>
      </c>
      <c r="AH171" s="19"/>
      <c r="AI171" s="3"/>
      <c r="AJ171" s="3"/>
      <c r="AK171" s="5"/>
      <c r="AL171" s="15">
        <f>AH171+AI171+AJ171+AK171+AG171</f>
        <v>19464.05</v>
      </c>
      <c r="AM171" s="15">
        <f>AB171-AL171</f>
        <v>45078.930000000008</v>
      </c>
      <c r="AN171" s="15">
        <f>AM171</f>
        <v>45078.930000000008</v>
      </c>
      <c r="AO171" s="15">
        <f>AM171-AN171</f>
        <v>0</v>
      </c>
      <c r="AQ171" s="15">
        <f>AL171-AF171</f>
        <v>0</v>
      </c>
    </row>
    <row r="172" spans="1:43" hidden="1" x14ac:dyDescent="0.25">
      <c r="A172">
        <v>157</v>
      </c>
      <c r="B172" s="10" t="s">
        <v>819</v>
      </c>
      <c r="C172" s="10" t="s">
        <v>1109</v>
      </c>
      <c r="D172" s="3" t="s">
        <v>820</v>
      </c>
      <c r="E172" s="3" t="s">
        <v>821</v>
      </c>
      <c r="F172" s="3" t="s">
        <v>822</v>
      </c>
      <c r="G172" s="3" t="s">
        <v>823</v>
      </c>
      <c r="H172" s="3" t="s">
        <v>14</v>
      </c>
      <c r="I172" s="3" t="s">
        <v>6</v>
      </c>
      <c r="J172" s="3" t="s">
        <v>15</v>
      </c>
      <c r="K172" s="3" t="s">
        <v>824</v>
      </c>
      <c r="L172" s="3"/>
      <c r="M172" s="3"/>
      <c r="N172" s="3"/>
      <c r="O172" s="3">
        <v>2067</v>
      </c>
      <c r="P172" s="3"/>
      <c r="Q172" s="4">
        <v>46081</v>
      </c>
      <c r="R172" s="5">
        <v>204.7</v>
      </c>
      <c r="S172" s="3">
        <v>107</v>
      </c>
      <c r="T172" s="3"/>
      <c r="U172" s="3">
        <v>0</v>
      </c>
      <c r="V172" s="3" t="s">
        <v>8</v>
      </c>
      <c r="W172" s="5">
        <v>204.7</v>
      </c>
      <c r="X172" s="3">
        <v>0</v>
      </c>
      <c r="Y172" s="3">
        <v>0</v>
      </c>
      <c r="Z172" s="3">
        <v>0</v>
      </c>
      <c r="AA172" s="3">
        <v>0</v>
      </c>
      <c r="AB172" s="5">
        <v>204.7</v>
      </c>
      <c r="AD172" s="25"/>
      <c r="AE172" s="25"/>
      <c r="AF172" s="25"/>
      <c r="AG172" s="32"/>
      <c r="AH172" s="18"/>
      <c r="AI172" s="3"/>
      <c r="AJ172" s="3"/>
      <c r="AK172" s="3"/>
      <c r="AL172" s="15">
        <f>AH172+AI172+AJ172+AK172+AG172</f>
        <v>0</v>
      </c>
      <c r="AM172" s="15">
        <f>AB172-AL172</f>
        <v>204.7</v>
      </c>
      <c r="AN172" s="15">
        <f>AM172</f>
        <v>204.7</v>
      </c>
      <c r="AO172" s="15">
        <f>AM172-AN172</f>
        <v>0</v>
      </c>
      <c r="AQ172" s="15">
        <f>AL172-AF172</f>
        <v>0</v>
      </c>
    </row>
    <row r="173" spans="1:43" hidden="1" x14ac:dyDescent="0.25">
      <c r="A173">
        <v>158</v>
      </c>
      <c r="B173" s="10" t="s">
        <v>825</v>
      </c>
      <c r="C173" s="10" t="s">
        <v>1110</v>
      </c>
      <c r="D173" s="3" t="s">
        <v>826</v>
      </c>
      <c r="E173" s="3" t="s">
        <v>827</v>
      </c>
      <c r="F173" s="3"/>
      <c r="G173" s="3" t="s">
        <v>828</v>
      </c>
      <c r="H173" s="3" t="s">
        <v>14</v>
      </c>
      <c r="I173" s="3" t="s">
        <v>6</v>
      </c>
      <c r="J173" s="3"/>
      <c r="K173" s="3" t="s">
        <v>829</v>
      </c>
      <c r="L173" s="3"/>
      <c r="M173" s="3"/>
      <c r="N173" s="3" t="s">
        <v>22</v>
      </c>
      <c r="O173" s="3">
        <v>1401</v>
      </c>
      <c r="P173" s="3"/>
      <c r="Q173" s="4">
        <v>46060</v>
      </c>
      <c r="R173" s="5">
        <v>11641.45</v>
      </c>
      <c r="S173" s="3">
        <v>56</v>
      </c>
      <c r="T173" s="3"/>
      <c r="U173" s="3">
        <v>0</v>
      </c>
      <c r="V173" s="3" t="s">
        <v>8</v>
      </c>
      <c r="W173" s="5">
        <v>5828.2</v>
      </c>
      <c r="X173" s="5">
        <v>5828.2</v>
      </c>
      <c r="Y173" s="3">
        <v>0</v>
      </c>
      <c r="Z173" s="3">
        <v>0</v>
      </c>
      <c r="AA173" s="3">
        <v>0</v>
      </c>
      <c r="AB173" s="5">
        <v>11656.4</v>
      </c>
      <c r="AD173" s="25" t="s">
        <v>1151</v>
      </c>
      <c r="AE173" s="25" t="s">
        <v>826</v>
      </c>
      <c r="AF173" s="26">
        <v>5828.2</v>
      </c>
      <c r="AG173" s="32"/>
      <c r="AH173" s="19">
        <f>X173</f>
        <v>5828.2</v>
      </c>
      <c r="AI173" s="3"/>
      <c r="AJ173" s="3"/>
      <c r="AK173" s="3"/>
      <c r="AL173" s="15">
        <f>AH173+AI173+AJ173+AK173+AG173</f>
        <v>5828.2</v>
      </c>
      <c r="AM173" s="15">
        <f>AB173-AL173</f>
        <v>5828.2</v>
      </c>
      <c r="AN173">
        <v>5828.2</v>
      </c>
      <c r="AO173" s="15">
        <f>AM173-AN173</f>
        <v>0</v>
      </c>
      <c r="AQ173" s="15">
        <f>AL173-AF173</f>
        <v>0</v>
      </c>
    </row>
    <row r="174" spans="1:43" hidden="1" x14ac:dyDescent="0.25">
      <c r="A174">
        <v>159</v>
      </c>
      <c r="B174" s="10" t="s">
        <v>830</v>
      </c>
      <c r="C174" s="10" t="s">
        <v>1111</v>
      </c>
      <c r="D174" s="3" t="s">
        <v>831</v>
      </c>
      <c r="E174" s="3" t="s">
        <v>832</v>
      </c>
      <c r="F174" s="3" t="s">
        <v>833</v>
      </c>
      <c r="G174" s="3" t="s">
        <v>834</v>
      </c>
      <c r="H174" s="3" t="s">
        <v>14</v>
      </c>
      <c r="I174" s="3" t="s">
        <v>6</v>
      </c>
      <c r="J174" s="3" t="s">
        <v>15</v>
      </c>
      <c r="K174" s="3" t="s">
        <v>835</v>
      </c>
      <c r="L174" s="3"/>
      <c r="M174" s="3"/>
      <c r="N174" s="3"/>
      <c r="O174" s="3">
        <v>2130</v>
      </c>
      <c r="P174" s="3"/>
      <c r="Q174" s="4">
        <v>46081</v>
      </c>
      <c r="R174" s="5">
        <v>227.7</v>
      </c>
      <c r="S174" s="3">
        <v>55</v>
      </c>
      <c r="T174" s="3"/>
      <c r="U174" s="3">
        <v>0</v>
      </c>
      <c r="V174" s="3" t="s">
        <v>8</v>
      </c>
      <c r="W174" s="5">
        <v>227.7</v>
      </c>
      <c r="X174" s="3">
        <v>0</v>
      </c>
      <c r="Y174" s="3">
        <v>0</v>
      </c>
      <c r="Z174" s="3">
        <v>0</v>
      </c>
      <c r="AA174" s="3">
        <v>0</v>
      </c>
      <c r="AB174" s="5">
        <v>227.7</v>
      </c>
      <c r="AD174" s="25"/>
      <c r="AE174" s="25"/>
      <c r="AF174" s="25"/>
      <c r="AG174" s="32"/>
      <c r="AH174" s="18"/>
      <c r="AI174" s="3"/>
      <c r="AJ174" s="3"/>
      <c r="AK174" s="3"/>
      <c r="AL174" s="15">
        <f>AH174+AI174+AJ174+AK174+AG174</f>
        <v>0</v>
      </c>
      <c r="AM174" s="15">
        <f>AB174-AL174</f>
        <v>227.7</v>
      </c>
      <c r="AN174" s="15">
        <f>AM174</f>
        <v>227.7</v>
      </c>
      <c r="AO174" s="15">
        <f>AM174-AN174</f>
        <v>0</v>
      </c>
      <c r="AQ174" s="15">
        <f>AL174-AF174</f>
        <v>0</v>
      </c>
    </row>
    <row r="175" spans="1:43" hidden="1" x14ac:dyDescent="0.25">
      <c r="A175">
        <v>163</v>
      </c>
      <c r="B175" s="10" t="s">
        <v>850</v>
      </c>
      <c r="C175" s="10" t="s">
        <v>1113</v>
      </c>
      <c r="D175" s="3" t="s">
        <v>851</v>
      </c>
      <c r="E175" s="3" t="s">
        <v>852</v>
      </c>
      <c r="F175" s="3" t="s">
        <v>853</v>
      </c>
      <c r="G175" s="3" t="s">
        <v>854</v>
      </c>
      <c r="H175" s="3" t="s">
        <v>14</v>
      </c>
      <c r="I175" s="3" t="s">
        <v>6</v>
      </c>
      <c r="J175" s="3" t="s">
        <v>15</v>
      </c>
      <c r="K175" s="3" t="s">
        <v>855</v>
      </c>
      <c r="L175" s="3">
        <v>1900</v>
      </c>
      <c r="M175" s="3"/>
      <c r="N175" s="3" t="s">
        <v>22</v>
      </c>
      <c r="O175" s="3"/>
      <c r="P175" s="3"/>
      <c r="Q175" s="4">
        <v>46056</v>
      </c>
      <c r="R175" s="5">
        <v>23840.65</v>
      </c>
      <c r="S175" s="3">
        <v>181</v>
      </c>
      <c r="T175" s="3"/>
      <c r="U175" s="3">
        <v>0</v>
      </c>
      <c r="V175" s="3" t="s">
        <v>8</v>
      </c>
      <c r="W175" s="5">
        <v>23840.65</v>
      </c>
      <c r="X175" s="3">
        <v>0</v>
      </c>
      <c r="Y175" s="3">
        <v>0</v>
      </c>
      <c r="Z175" s="3">
        <v>0</v>
      </c>
      <c r="AA175" s="3">
        <v>0</v>
      </c>
      <c r="AB175" s="5">
        <v>23840.65</v>
      </c>
      <c r="AD175" s="25" t="s">
        <v>1183</v>
      </c>
      <c r="AE175" s="25" t="s">
        <v>1184</v>
      </c>
      <c r="AF175" s="26">
        <v>23840.65</v>
      </c>
      <c r="AG175" s="33">
        <f>AF175</f>
        <v>23840.65</v>
      </c>
      <c r="AH175" s="18"/>
      <c r="AI175" s="3"/>
      <c r="AJ175" s="3"/>
      <c r="AK175" s="3"/>
      <c r="AL175" s="15">
        <f>AH175+AI175+AJ175+AK175+AG175</f>
        <v>23840.65</v>
      </c>
      <c r="AM175" s="15">
        <f>AB175-AL175</f>
        <v>0</v>
      </c>
      <c r="AN175">
        <v>0</v>
      </c>
      <c r="AO175" s="15">
        <f>AM175-AN175</f>
        <v>0</v>
      </c>
      <c r="AQ175" s="15">
        <f>AL175-AF175</f>
        <v>0</v>
      </c>
    </row>
    <row r="176" spans="1:43" hidden="1" x14ac:dyDescent="0.25">
      <c r="A176">
        <v>164</v>
      </c>
      <c r="B176" s="10" t="s">
        <v>856</v>
      </c>
      <c r="C176" s="10" t="s">
        <v>1114</v>
      </c>
      <c r="D176" s="3" t="s">
        <v>857</v>
      </c>
      <c r="E176" s="3" t="s">
        <v>857</v>
      </c>
      <c r="F176" s="3"/>
      <c r="G176" s="3" t="s">
        <v>858</v>
      </c>
      <c r="H176" s="3" t="s">
        <v>14</v>
      </c>
      <c r="I176" s="3" t="s">
        <v>6</v>
      </c>
      <c r="J176" s="3"/>
      <c r="K176" s="3" t="s">
        <v>859</v>
      </c>
      <c r="L176" s="3"/>
      <c r="M176" s="3"/>
      <c r="N176" s="3" t="s">
        <v>22</v>
      </c>
      <c r="O176" s="3"/>
      <c r="P176" s="3"/>
      <c r="Q176" s="3"/>
      <c r="R176" s="3">
        <v>0</v>
      </c>
      <c r="S176" s="3">
        <v>61</v>
      </c>
      <c r="T176" s="3"/>
      <c r="U176" s="3">
        <v>0</v>
      </c>
      <c r="V176" s="3" t="s">
        <v>8</v>
      </c>
      <c r="W176" s="5">
        <v>616.4</v>
      </c>
      <c r="X176" s="5">
        <v>3109.6</v>
      </c>
      <c r="Y176" s="3">
        <v>0</v>
      </c>
      <c r="Z176" s="3">
        <v>0</v>
      </c>
      <c r="AA176" s="3">
        <v>0</v>
      </c>
      <c r="AB176" s="5">
        <v>3726</v>
      </c>
      <c r="AD176" s="25"/>
      <c r="AE176" s="25"/>
      <c r="AF176" s="25"/>
      <c r="AG176" s="32"/>
      <c r="AH176" s="19"/>
      <c r="AI176" s="3"/>
      <c r="AJ176" s="3"/>
      <c r="AK176" s="3"/>
      <c r="AL176" s="15">
        <f>AH176+AI176+AJ176+AK176+AG176</f>
        <v>0</v>
      </c>
      <c r="AM176" s="15">
        <f>AB176-AL176</f>
        <v>3726</v>
      </c>
      <c r="AN176" s="15">
        <f>AM176</f>
        <v>3726</v>
      </c>
      <c r="AO176" s="15">
        <f>AM176-AN176</f>
        <v>0</v>
      </c>
      <c r="AQ176" s="15">
        <f>AL176-AF176</f>
        <v>0</v>
      </c>
    </row>
    <row r="177" spans="1:43" hidden="1" x14ac:dyDescent="0.25">
      <c r="A177">
        <v>167</v>
      </c>
      <c r="B177" s="10" t="s">
        <v>862</v>
      </c>
      <c r="C177" s="10" t="s">
        <v>1117</v>
      </c>
      <c r="D177" s="3" t="s">
        <v>863</v>
      </c>
      <c r="E177" s="3" t="s">
        <v>864</v>
      </c>
      <c r="F177" s="3"/>
      <c r="G177" s="3" t="s">
        <v>865</v>
      </c>
      <c r="H177" s="3" t="s">
        <v>14</v>
      </c>
      <c r="I177" s="3" t="s">
        <v>6</v>
      </c>
      <c r="J177" s="3"/>
      <c r="K177" s="3" t="s">
        <v>866</v>
      </c>
      <c r="L177" s="3"/>
      <c r="M177" s="3"/>
      <c r="N177" s="3" t="s">
        <v>22</v>
      </c>
      <c r="O177" s="3"/>
      <c r="P177" s="3"/>
      <c r="Q177" s="3"/>
      <c r="R177" s="3">
        <v>0</v>
      </c>
      <c r="S177" s="3">
        <v>53</v>
      </c>
      <c r="T177" s="3"/>
      <c r="U177" s="3">
        <v>0</v>
      </c>
      <c r="V177" s="3" t="s">
        <v>8</v>
      </c>
      <c r="W177" s="5">
        <v>31424.9</v>
      </c>
      <c r="X177" s="5">
        <v>85852.1</v>
      </c>
      <c r="Y177" s="3">
        <v>0</v>
      </c>
      <c r="Z177" s="3">
        <v>0</v>
      </c>
      <c r="AA177" s="3">
        <v>0</v>
      </c>
      <c r="AB177" s="5">
        <v>117277</v>
      </c>
      <c r="AD177" s="25"/>
      <c r="AE177" s="25"/>
      <c r="AF177" s="25"/>
      <c r="AG177" s="32"/>
      <c r="AH177" s="19"/>
      <c r="AI177" s="3"/>
      <c r="AJ177" s="3"/>
      <c r="AK177" s="3"/>
      <c r="AL177" s="15">
        <f>AH177+AI177+AJ177+AK177+AG177</f>
        <v>0</v>
      </c>
      <c r="AM177" s="15">
        <f>AB177-AL177</f>
        <v>117277</v>
      </c>
      <c r="AN177" s="15">
        <f>AM177</f>
        <v>117277</v>
      </c>
      <c r="AO177" s="15">
        <f>AM177-AN177</f>
        <v>0</v>
      </c>
      <c r="AQ177" s="15">
        <f>AL177-AF177</f>
        <v>0</v>
      </c>
    </row>
    <row r="178" spans="1:43" hidden="1" x14ac:dyDescent="0.25">
      <c r="A178">
        <v>165</v>
      </c>
      <c r="B178" s="10">
        <v>2273</v>
      </c>
      <c r="C178" s="10" t="s">
        <v>1115</v>
      </c>
      <c r="D178" s="3" t="s">
        <v>860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>
        <v>0</v>
      </c>
      <c r="S178" s="3">
        <v>31</v>
      </c>
      <c r="T178" s="3"/>
      <c r="U178" s="3">
        <v>0</v>
      </c>
      <c r="V178" s="3" t="s">
        <v>8</v>
      </c>
      <c r="W178" s="5">
        <v>76392.2</v>
      </c>
      <c r="X178" s="3">
        <v>0</v>
      </c>
      <c r="Y178" s="3">
        <v>0</v>
      </c>
      <c r="Z178" s="3">
        <v>0</v>
      </c>
      <c r="AA178" s="3">
        <v>0</v>
      </c>
      <c r="AB178" s="5">
        <v>76392.2</v>
      </c>
      <c r="AD178" s="25"/>
      <c r="AE178" s="25"/>
      <c r="AF178" s="25"/>
      <c r="AG178" s="32"/>
      <c r="AH178" s="18"/>
      <c r="AI178" s="3"/>
      <c r="AJ178" s="3"/>
      <c r="AK178" s="3"/>
      <c r="AL178" s="15">
        <f>AH178+AI178+AJ178+AK178+AG178</f>
        <v>0</v>
      </c>
      <c r="AM178" s="15">
        <f>AB178-AL178</f>
        <v>76392.2</v>
      </c>
      <c r="AN178">
        <v>76392.2</v>
      </c>
      <c r="AO178" s="15">
        <f>AM178-AN178</f>
        <v>0</v>
      </c>
      <c r="AQ178" s="15">
        <f>AL178-AF178</f>
        <v>0</v>
      </c>
    </row>
    <row r="179" spans="1:43" hidden="1" x14ac:dyDescent="0.25">
      <c r="A179">
        <v>166</v>
      </c>
      <c r="B179" s="10">
        <v>2274</v>
      </c>
      <c r="C179" s="10" t="s">
        <v>1116</v>
      </c>
      <c r="D179" s="3" t="s">
        <v>861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>
        <v>0</v>
      </c>
      <c r="S179" s="3">
        <v>31</v>
      </c>
      <c r="T179" s="3"/>
      <c r="U179" s="3">
        <v>0</v>
      </c>
      <c r="V179" s="3" t="s">
        <v>8</v>
      </c>
      <c r="W179" s="5">
        <v>66458.5</v>
      </c>
      <c r="X179" s="3">
        <v>0</v>
      </c>
      <c r="Y179" s="3">
        <v>0</v>
      </c>
      <c r="Z179" s="3">
        <v>0</v>
      </c>
      <c r="AA179" s="3">
        <v>0</v>
      </c>
      <c r="AB179" s="5">
        <v>66458.5</v>
      </c>
      <c r="AD179" s="25"/>
      <c r="AE179" s="25"/>
      <c r="AF179" s="25"/>
      <c r="AG179" s="32"/>
      <c r="AH179" s="18"/>
      <c r="AI179" s="3"/>
      <c r="AJ179" s="3"/>
      <c r="AK179" s="3"/>
      <c r="AL179" s="15">
        <f>AH179+AI179+AJ179+AK179+AG179</f>
        <v>0</v>
      </c>
      <c r="AM179" s="15">
        <f>AB179-AL179</f>
        <v>66458.5</v>
      </c>
      <c r="AN179">
        <v>66458.5</v>
      </c>
      <c r="AO179" s="15">
        <f>AM179-AN179</f>
        <v>0</v>
      </c>
      <c r="AQ179" s="15">
        <f>AL179-AF179</f>
        <v>0</v>
      </c>
    </row>
    <row r="180" spans="1:43" hidden="1" x14ac:dyDescent="0.25">
      <c r="A180">
        <v>144</v>
      </c>
      <c r="B180" s="10">
        <v>2275</v>
      </c>
      <c r="C180" s="10" t="s">
        <v>1098</v>
      </c>
      <c r="D180" s="3" t="s">
        <v>755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>
        <v>0</v>
      </c>
      <c r="S180" s="3">
        <v>31</v>
      </c>
      <c r="T180" s="3"/>
      <c r="U180" s="3">
        <v>0</v>
      </c>
      <c r="V180" s="3" t="s">
        <v>8</v>
      </c>
      <c r="W180" s="5">
        <v>13436.6</v>
      </c>
      <c r="X180" s="3">
        <v>0</v>
      </c>
      <c r="Y180" s="3">
        <v>0</v>
      </c>
      <c r="Z180" s="3">
        <v>0</v>
      </c>
      <c r="AA180" s="3">
        <v>0</v>
      </c>
      <c r="AB180" s="5">
        <v>13436.6</v>
      </c>
      <c r="AD180" s="25"/>
      <c r="AE180" s="25"/>
      <c r="AF180" s="25"/>
      <c r="AG180" s="32"/>
      <c r="AH180" s="18"/>
      <c r="AI180" s="3"/>
      <c r="AJ180" s="3"/>
      <c r="AK180" s="3"/>
      <c r="AL180" s="15">
        <f>AH180+AI180+AJ180+AK180+AG180</f>
        <v>0</v>
      </c>
      <c r="AM180" s="15">
        <f>AB180-AL180</f>
        <v>13436.6</v>
      </c>
      <c r="AN180">
        <v>13436.6</v>
      </c>
      <c r="AO180" s="15">
        <f>AM180-AN180</f>
        <v>0</v>
      </c>
      <c r="AQ180" s="15">
        <f>AL180-AF180</f>
        <v>0</v>
      </c>
    </row>
    <row r="181" spans="1:43" hidden="1" x14ac:dyDescent="0.25">
      <c r="A181">
        <v>147</v>
      </c>
      <c r="B181" s="10">
        <v>2276</v>
      </c>
      <c r="C181" s="10" t="s">
        <v>1100</v>
      </c>
      <c r="D181" s="3" t="s">
        <v>766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>
        <v>0</v>
      </c>
      <c r="S181" s="3">
        <v>31</v>
      </c>
      <c r="T181" s="3"/>
      <c r="U181" s="3">
        <v>0</v>
      </c>
      <c r="V181" s="3" t="s">
        <v>8</v>
      </c>
      <c r="W181" s="5">
        <v>19807.599999999999</v>
      </c>
      <c r="X181" s="3">
        <v>0</v>
      </c>
      <c r="Y181" s="3">
        <v>0</v>
      </c>
      <c r="Z181" s="3">
        <v>0</v>
      </c>
      <c r="AA181" s="3">
        <v>0</v>
      </c>
      <c r="AB181" s="5">
        <v>19807.599999999999</v>
      </c>
      <c r="AD181" s="25"/>
      <c r="AE181" s="25"/>
      <c r="AF181" s="25"/>
      <c r="AG181" s="32"/>
      <c r="AH181" s="18"/>
      <c r="AI181" s="3"/>
      <c r="AJ181" s="3"/>
      <c r="AK181" s="3"/>
      <c r="AL181" s="15">
        <f>AH181+AI181+AJ181+AK181+AG181</f>
        <v>0</v>
      </c>
      <c r="AM181" s="15">
        <f>AB181-AL181</f>
        <v>19807.599999999999</v>
      </c>
      <c r="AN181" s="15">
        <v>19807.599999999999</v>
      </c>
      <c r="AO181" s="15">
        <f>AM181-AN181</f>
        <v>0</v>
      </c>
      <c r="AQ181" s="15">
        <f>AL181-AF181</f>
        <v>0</v>
      </c>
    </row>
    <row r="182" spans="1:43" hidden="1" x14ac:dyDescent="0.25">
      <c r="A182">
        <v>185</v>
      </c>
      <c r="B182" s="10">
        <v>2271</v>
      </c>
      <c r="C182" s="10" t="s">
        <v>1133</v>
      </c>
      <c r="D182" s="3" t="s">
        <v>946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>
        <v>0</v>
      </c>
      <c r="S182" s="3">
        <v>31</v>
      </c>
      <c r="T182" s="3"/>
      <c r="U182" s="3">
        <v>0</v>
      </c>
      <c r="V182" s="3" t="s">
        <v>8</v>
      </c>
      <c r="W182" s="5">
        <v>26148.7</v>
      </c>
      <c r="X182" s="3">
        <v>0</v>
      </c>
      <c r="Y182" s="3">
        <v>0</v>
      </c>
      <c r="Z182" s="3">
        <v>0</v>
      </c>
      <c r="AA182" s="3">
        <v>0</v>
      </c>
      <c r="AB182" s="5">
        <v>26148.7</v>
      </c>
      <c r="AD182" s="25"/>
      <c r="AE182" s="25"/>
      <c r="AF182" s="25"/>
      <c r="AG182" s="32"/>
      <c r="AH182" s="18"/>
      <c r="AI182" s="3"/>
      <c r="AJ182" s="3"/>
      <c r="AK182" s="3"/>
      <c r="AL182" s="15">
        <f>AH182+AI182+AJ182+AK182+AG182</f>
        <v>0</v>
      </c>
      <c r="AM182" s="15">
        <f>AB182-AL182</f>
        <v>26148.7</v>
      </c>
      <c r="AN182" s="15">
        <v>26148.7</v>
      </c>
      <c r="AO182" s="15">
        <f>AM182-AN182</f>
        <v>0</v>
      </c>
      <c r="AQ182" s="15">
        <f>AL182-AF182</f>
        <v>0</v>
      </c>
    </row>
    <row r="183" spans="1:43" hidden="1" x14ac:dyDescent="0.25">
      <c r="A183">
        <v>43</v>
      </c>
      <c r="B183" s="10">
        <v>2272</v>
      </c>
      <c r="C183" s="10" t="s">
        <v>1027</v>
      </c>
      <c r="D183" s="3" t="s">
        <v>224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>
        <v>0</v>
      </c>
      <c r="S183" s="3">
        <v>31</v>
      </c>
      <c r="T183" s="3"/>
      <c r="U183" s="3">
        <v>0</v>
      </c>
      <c r="V183" s="3" t="s">
        <v>8</v>
      </c>
      <c r="W183" s="5">
        <v>8484.7000000000007</v>
      </c>
      <c r="X183" s="3">
        <v>0</v>
      </c>
      <c r="Y183" s="3">
        <v>0</v>
      </c>
      <c r="Z183" s="3">
        <v>0</v>
      </c>
      <c r="AA183" s="3">
        <v>0</v>
      </c>
      <c r="AB183" s="5">
        <v>8484.7000000000007</v>
      </c>
      <c r="AD183" s="25"/>
      <c r="AE183" s="25"/>
      <c r="AF183" s="25"/>
      <c r="AG183" s="32"/>
      <c r="AH183" s="18"/>
      <c r="AI183" s="3"/>
      <c r="AJ183" s="3"/>
      <c r="AK183" s="3"/>
      <c r="AL183" s="15">
        <f>AH183+AI183+AJ183+AK183+AG183</f>
        <v>0</v>
      </c>
      <c r="AM183" s="15">
        <f>AB183-AL183</f>
        <v>8484.7000000000007</v>
      </c>
      <c r="AN183" s="15">
        <v>8484.7000000000007</v>
      </c>
      <c r="AO183" s="15">
        <f>AM183-AN183</f>
        <v>0</v>
      </c>
      <c r="AQ183" s="15">
        <f>AL183-AF183</f>
        <v>0</v>
      </c>
    </row>
    <row r="184" spans="1:43" hidden="1" x14ac:dyDescent="0.25">
      <c r="A184">
        <v>169</v>
      </c>
      <c r="B184" s="10" t="s">
        <v>873</v>
      </c>
      <c r="C184" s="10" t="s">
        <v>1119</v>
      </c>
      <c r="D184" s="3" t="s">
        <v>874</v>
      </c>
      <c r="E184" s="3" t="s">
        <v>875</v>
      </c>
      <c r="F184" s="3" t="s">
        <v>876</v>
      </c>
      <c r="G184" s="3" t="s">
        <v>877</v>
      </c>
      <c r="H184" s="3" t="s">
        <v>14</v>
      </c>
      <c r="I184" s="3" t="s">
        <v>6</v>
      </c>
      <c r="J184" s="3" t="s">
        <v>15</v>
      </c>
      <c r="K184" s="3" t="s">
        <v>878</v>
      </c>
      <c r="L184" s="3"/>
      <c r="M184" s="3"/>
      <c r="N184" s="3" t="s">
        <v>22</v>
      </c>
      <c r="O184" s="3"/>
      <c r="P184" s="3"/>
      <c r="Q184" s="4">
        <v>46081</v>
      </c>
      <c r="R184" s="5">
        <v>7664.75</v>
      </c>
      <c r="S184" s="3">
        <v>117</v>
      </c>
      <c r="T184" s="3"/>
      <c r="U184" s="3">
        <v>0</v>
      </c>
      <c r="V184" s="3" t="s">
        <v>8</v>
      </c>
      <c r="W184" s="5">
        <v>7664.75</v>
      </c>
      <c r="X184" s="3">
        <v>0</v>
      </c>
      <c r="Y184" s="3">
        <v>0</v>
      </c>
      <c r="Z184" s="3">
        <v>0</v>
      </c>
      <c r="AA184" s="3">
        <v>0</v>
      </c>
      <c r="AB184" s="5">
        <v>7664.75</v>
      </c>
      <c r="AD184" s="25" t="s">
        <v>1201</v>
      </c>
      <c r="AE184" s="25" t="s">
        <v>1264</v>
      </c>
      <c r="AF184" s="26">
        <v>7664.75</v>
      </c>
      <c r="AG184" s="33">
        <f>AF184</f>
        <v>7664.75</v>
      </c>
      <c r="AH184" s="18"/>
      <c r="AI184" s="3"/>
      <c r="AJ184" s="3"/>
      <c r="AK184" s="3"/>
      <c r="AL184" s="15">
        <f>AH184+AI184+AJ184+AK184+AG184</f>
        <v>7664.75</v>
      </c>
      <c r="AM184" s="15">
        <f>AB184-AL184</f>
        <v>0</v>
      </c>
      <c r="AN184" s="15">
        <f>AM184</f>
        <v>0</v>
      </c>
      <c r="AO184" s="15">
        <f>AM184-AN184</f>
        <v>0</v>
      </c>
      <c r="AQ184" s="15">
        <f>AL184-AF184</f>
        <v>0</v>
      </c>
    </row>
    <row r="185" spans="1:43" hidden="1" x14ac:dyDescent="0.25">
      <c r="A185">
        <v>170</v>
      </c>
      <c r="B185" s="10" t="s">
        <v>879</v>
      </c>
      <c r="C185" s="10" t="s">
        <v>1120</v>
      </c>
      <c r="D185" s="3" t="s">
        <v>880</v>
      </c>
      <c r="E185" s="3" t="s">
        <v>880</v>
      </c>
      <c r="F185" s="3" t="s">
        <v>881</v>
      </c>
      <c r="G185" s="3" t="s">
        <v>882</v>
      </c>
      <c r="H185" s="3" t="s">
        <v>14</v>
      </c>
      <c r="I185" s="3" t="s">
        <v>6</v>
      </c>
      <c r="J185" s="3" t="s">
        <v>15</v>
      </c>
      <c r="K185" s="3" t="s">
        <v>883</v>
      </c>
      <c r="L185" s="3"/>
      <c r="M185" s="3"/>
      <c r="N185" s="3" t="s">
        <v>22</v>
      </c>
      <c r="O185" s="3"/>
      <c r="P185" s="3"/>
      <c r="Q185" s="4">
        <v>46081</v>
      </c>
      <c r="R185" s="5">
        <v>90.85</v>
      </c>
      <c r="S185" s="3">
        <v>175</v>
      </c>
      <c r="T185" s="3"/>
      <c r="U185" s="3">
        <v>0</v>
      </c>
      <c r="V185" s="3" t="s">
        <v>8</v>
      </c>
      <c r="W185" s="3">
        <v>0</v>
      </c>
      <c r="X185" s="3">
        <v>0</v>
      </c>
      <c r="Y185" s="3">
        <v>0</v>
      </c>
      <c r="Z185" s="3">
        <v>0</v>
      </c>
      <c r="AA185" s="5">
        <v>90.85</v>
      </c>
      <c r="AB185" s="5">
        <v>90.85</v>
      </c>
      <c r="AD185" s="25"/>
      <c r="AE185" s="25"/>
      <c r="AF185" s="25"/>
      <c r="AG185" s="32"/>
      <c r="AH185" s="18"/>
      <c r="AI185" s="3"/>
      <c r="AJ185" s="3"/>
      <c r="AK185" s="5"/>
      <c r="AL185" s="15">
        <f>AH185+AI185+AJ185+AK185+AG185</f>
        <v>0</v>
      </c>
      <c r="AM185" s="15">
        <f>AB185-AL185</f>
        <v>90.85</v>
      </c>
      <c r="AN185" s="15">
        <f>AM185</f>
        <v>90.85</v>
      </c>
      <c r="AO185" s="15">
        <f>AM185-AN185</f>
        <v>0</v>
      </c>
      <c r="AQ185" s="15">
        <f>AL185-AF185</f>
        <v>0</v>
      </c>
    </row>
    <row r="186" spans="1:43" hidden="1" x14ac:dyDescent="0.25">
      <c r="A186">
        <v>172</v>
      </c>
      <c r="B186" s="10">
        <v>1067</v>
      </c>
      <c r="C186" s="10" t="s">
        <v>1121</v>
      </c>
      <c r="D186" s="3" t="s">
        <v>889</v>
      </c>
      <c r="E186" s="3" t="s">
        <v>890</v>
      </c>
      <c r="F186" s="6" t="s">
        <v>891</v>
      </c>
      <c r="G186" s="3" t="s">
        <v>892</v>
      </c>
      <c r="H186" s="3" t="s">
        <v>14</v>
      </c>
      <c r="I186" s="3" t="s">
        <v>6</v>
      </c>
      <c r="J186" s="3" t="s">
        <v>33</v>
      </c>
      <c r="K186" s="3" t="s">
        <v>893</v>
      </c>
      <c r="L186" s="3"/>
      <c r="M186" s="3"/>
      <c r="N186" s="3"/>
      <c r="O186" s="3">
        <v>1610</v>
      </c>
      <c r="P186" s="3"/>
      <c r="Q186" s="4">
        <v>46031</v>
      </c>
      <c r="R186" s="5">
        <v>893.55</v>
      </c>
      <c r="S186" s="3">
        <v>45</v>
      </c>
      <c r="T186" s="3"/>
      <c r="U186" s="3">
        <v>0</v>
      </c>
      <c r="V186" s="3" t="s">
        <v>8</v>
      </c>
      <c r="W186" s="5">
        <v>893.55</v>
      </c>
      <c r="X186" s="5">
        <v>893.55</v>
      </c>
      <c r="Y186" s="16">
        <v>893.55</v>
      </c>
      <c r="Z186" s="3">
        <v>0</v>
      </c>
      <c r="AA186" s="3">
        <v>0</v>
      </c>
      <c r="AB186" s="5">
        <v>2680.65</v>
      </c>
      <c r="AD186" s="25" t="s">
        <v>1152</v>
      </c>
      <c r="AE186" s="25" t="s">
        <v>1158</v>
      </c>
      <c r="AF186" s="26">
        <v>893.55</v>
      </c>
      <c r="AG186" s="32"/>
      <c r="AH186" s="19"/>
      <c r="AI186" s="16">
        <f>AF186</f>
        <v>893.55</v>
      </c>
      <c r="AJ186" s="3"/>
      <c r="AK186" s="3"/>
      <c r="AL186" s="15">
        <f>AH186+AI186+AJ186+AK186+AG186</f>
        <v>893.55</v>
      </c>
      <c r="AM186" s="15">
        <f>AB186-AL186</f>
        <v>1787.1000000000001</v>
      </c>
      <c r="AN186">
        <v>1787.1</v>
      </c>
      <c r="AO186" s="15">
        <f>AM186-AN186</f>
        <v>0</v>
      </c>
      <c r="AQ186" s="15">
        <f>AL186-AF186</f>
        <v>0</v>
      </c>
    </row>
    <row r="187" spans="1:43" hidden="1" x14ac:dyDescent="0.25">
      <c r="A187">
        <v>173</v>
      </c>
      <c r="B187" s="10" t="s">
        <v>894</v>
      </c>
      <c r="C187" s="10" t="s">
        <v>1122</v>
      </c>
      <c r="D187" s="3" t="s">
        <v>895</v>
      </c>
      <c r="E187" s="3" t="s">
        <v>896</v>
      </c>
      <c r="F187" s="3" t="s">
        <v>897</v>
      </c>
      <c r="G187" s="3" t="s">
        <v>898</v>
      </c>
      <c r="H187" s="3" t="s">
        <v>14</v>
      </c>
      <c r="I187" s="3" t="s">
        <v>6</v>
      </c>
      <c r="J187" s="3" t="s">
        <v>15</v>
      </c>
      <c r="K187" s="3" t="s">
        <v>899</v>
      </c>
      <c r="L187" s="3"/>
      <c r="M187" s="3"/>
      <c r="N187" s="3"/>
      <c r="O187" s="3">
        <v>1613</v>
      </c>
      <c r="P187" s="3"/>
      <c r="Q187" s="4">
        <v>46081</v>
      </c>
      <c r="R187" s="5">
        <v>1478.53</v>
      </c>
      <c r="S187" s="3">
        <v>227</v>
      </c>
      <c r="T187" s="3"/>
      <c r="U187" s="3">
        <v>0</v>
      </c>
      <c r="V187" s="3" t="s">
        <v>8</v>
      </c>
      <c r="W187" s="5">
        <v>1478.53</v>
      </c>
      <c r="X187" s="3">
        <v>0</v>
      </c>
      <c r="Y187" s="3">
        <v>0</v>
      </c>
      <c r="Z187" s="3">
        <v>0</v>
      </c>
      <c r="AA187" s="3">
        <v>0</v>
      </c>
      <c r="AB187" s="5">
        <v>1478.53</v>
      </c>
      <c r="AD187" s="25" t="s">
        <v>1201</v>
      </c>
      <c r="AE187" s="25" t="s">
        <v>1252</v>
      </c>
      <c r="AF187" s="26">
        <v>1478.53</v>
      </c>
      <c r="AG187" s="33">
        <f>AF187</f>
        <v>1478.53</v>
      </c>
      <c r="AH187" s="18"/>
      <c r="AI187" s="3"/>
      <c r="AJ187" s="3"/>
      <c r="AK187" s="3"/>
      <c r="AL187" s="15">
        <f>AH187+AI187+AJ187+AK187+AG187</f>
        <v>1478.53</v>
      </c>
      <c r="AM187" s="15">
        <f>AB187-AL187</f>
        <v>0</v>
      </c>
      <c r="AN187" s="15">
        <f>AM187</f>
        <v>0</v>
      </c>
      <c r="AO187" s="15">
        <f>AM187-AN187</f>
        <v>0</v>
      </c>
      <c r="AQ187" s="15">
        <f>AL187-AF187</f>
        <v>0</v>
      </c>
    </row>
    <row r="188" spans="1:43" hidden="1" x14ac:dyDescent="0.25">
      <c r="A188">
        <v>174</v>
      </c>
      <c r="B188" s="10" t="s">
        <v>900</v>
      </c>
      <c r="C188" s="10" t="s">
        <v>1123</v>
      </c>
      <c r="D188" s="3" t="s">
        <v>901</v>
      </c>
      <c r="E188" s="3"/>
      <c r="F188" s="3"/>
      <c r="G188" s="3"/>
      <c r="H188" s="3" t="s">
        <v>14</v>
      </c>
      <c r="I188" s="3"/>
      <c r="J188" s="3"/>
      <c r="K188" s="3" t="s">
        <v>902</v>
      </c>
      <c r="L188" s="3"/>
      <c r="M188" s="3"/>
      <c r="N188" s="3" t="s">
        <v>22</v>
      </c>
      <c r="O188" s="3"/>
      <c r="P188" s="3"/>
      <c r="Q188" s="3"/>
      <c r="R188" s="3">
        <v>0</v>
      </c>
      <c r="S188" s="3">
        <v>182</v>
      </c>
      <c r="T188" s="3"/>
      <c r="U188" s="3">
        <v>0</v>
      </c>
      <c r="V188" s="3" t="s">
        <v>8</v>
      </c>
      <c r="W188" s="5">
        <v>224.25</v>
      </c>
      <c r="X188" s="5">
        <v>224.25</v>
      </c>
      <c r="Y188" s="5">
        <v>224.25</v>
      </c>
      <c r="Z188" s="3">
        <v>0</v>
      </c>
      <c r="AA188" s="3">
        <v>0</v>
      </c>
      <c r="AB188" s="5">
        <v>672.75</v>
      </c>
      <c r="AD188" s="25"/>
      <c r="AE188" s="25"/>
      <c r="AF188" s="25"/>
      <c r="AG188" s="32"/>
      <c r="AH188" s="19"/>
      <c r="AI188" s="5"/>
      <c r="AJ188" s="3"/>
      <c r="AK188" s="3"/>
      <c r="AL188" s="15">
        <f>AH188+AI188+AJ188+AK188+AG188</f>
        <v>0</v>
      </c>
      <c r="AM188" s="15">
        <f>AB188-AL188</f>
        <v>672.75</v>
      </c>
      <c r="AN188" s="15">
        <f>AM188</f>
        <v>672.75</v>
      </c>
      <c r="AO188" s="15">
        <f>AM188-AN188</f>
        <v>0</v>
      </c>
      <c r="AQ188" s="15">
        <f>AL188-AF188</f>
        <v>0</v>
      </c>
    </row>
    <row r="189" spans="1:43" hidden="1" x14ac:dyDescent="0.25">
      <c r="A189">
        <v>186</v>
      </c>
      <c r="B189" s="10">
        <v>1162</v>
      </c>
      <c r="C189" s="10" t="s">
        <v>1134</v>
      </c>
      <c r="D189" s="3" t="s">
        <v>947</v>
      </c>
      <c r="E189" s="3" t="s">
        <v>948</v>
      </c>
      <c r="F189" s="3" t="s">
        <v>949</v>
      </c>
      <c r="G189" s="3" t="s">
        <v>950</v>
      </c>
      <c r="H189" s="3" t="s">
        <v>14</v>
      </c>
      <c r="I189" s="3" t="s">
        <v>6</v>
      </c>
      <c r="J189" s="3" t="s">
        <v>33</v>
      </c>
      <c r="K189" s="3" t="s">
        <v>951</v>
      </c>
      <c r="L189" s="3"/>
      <c r="M189" s="3"/>
      <c r="N189" s="3"/>
      <c r="O189" s="3"/>
      <c r="P189" s="3"/>
      <c r="Q189" s="4">
        <v>46063</v>
      </c>
      <c r="R189" s="5">
        <v>147380.65</v>
      </c>
      <c r="S189" s="3">
        <v>460</v>
      </c>
      <c r="T189" s="3"/>
      <c r="U189" s="3">
        <v>0</v>
      </c>
      <c r="V189" s="3" t="s">
        <v>8</v>
      </c>
      <c r="W189" s="5">
        <v>187171.36</v>
      </c>
      <c r="X189" s="5">
        <v>135453.88</v>
      </c>
      <c r="Y189" s="5">
        <v>4340.17</v>
      </c>
      <c r="Z189" s="3">
        <v>0</v>
      </c>
      <c r="AA189" s="5">
        <v>-371.36</v>
      </c>
      <c r="AB189" s="5">
        <v>326594.05</v>
      </c>
      <c r="AD189" s="25" t="s">
        <v>1183</v>
      </c>
      <c r="AE189" s="25" t="s">
        <v>1193</v>
      </c>
      <c r="AF189" s="26">
        <v>134422.32999999999</v>
      </c>
      <c r="AG189" s="32"/>
      <c r="AH189" s="19">
        <f>AF189</f>
        <v>134422.32999999999</v>
      </c>
      <c r="AI189" s="5"/>
      <c r="AJ189" s="3"/>
      <c r="AK189" s="5"/>
      <c r="AL189" s="15">
        <f>AH189+AI189+AJ189+AK189+AG189</f>
        <v>134422.32999999999</v>
      </c>
      <c r="AM189" s="15">
        <f>AB189-AL189</f>
        <v>192171.72</v>
      </c>
      <c r="AN189">
        <v>192171.72</v>
      </c>
      <c r="AO189" s="15">
        <f>AM189-AN189</f>
        <v>0</v>
      </c>
      <c r="AQ189" s="15">
        <f>AL189-AF189</f>
        <v>0</v>
      </c>
    </row>
    <row r="190" spans="1:43" hidden="1" x14ac:dyDescent="0.25">
      <c r="A190">
        <v>187</v>
      </c>
      <c r="B190" s="10" t="s">
        <v>952</v>
      </c>
      <c r="C190" s="10" t="s">
        <v>1135</v>
      </c>
      <c r="D190" s="3" t="s">
        <v>953</v>
      </c>
      <c r="E190" s="3" t="s">
        <v>953</v>
      </c>
      <c r="F190" s="3"/>
      <c r="G190" s="3" t="s">
        <v>954</v>
      </c>
      <c r="H190" s="3" t="s">
        <v>14</v>
      </c>
      <c r="I190" s="3" t="s">
        <v>6</v>
      </c>
      <c r="J190" s="3"/>
      <c r="K190" s="3" t="s">
        <v>955</v>
      </c>
      <c r="L190" s="3"/>
      <c r="M190" s="3"/>
      <c r="N190" s="3" t="s">
        <v>22</v>
      </c>
      <c r="O190" s="3"/>
      <c r="P190" s="3"/>
      <c r="Q190" s="4">
        <v>46081</v>
      </c>
      <c r="R190" s="5">
        <v>79.349999999999994</v>
      </c>
      <c r="S190" s="3">
        <v>72</v>
      </c>
      <c r="T190" s="3"/>
      <c r="U190" s="3">
        <v>0</v>
      </c>
      <c r="V190" s="3" t="s">
        <v>8</v>
      </c>
      <c r="W190" s="5">
        <v>79.349999999999994</v>
      </c>
      <c r="X190" s="3">
        <v>0</v>
      </c>
      <c r="Y190" s="3">
        <v>0</v>
      </c>
      <c r="Z190" s="3">
        <v>0</v>
      </c>
      <c r="AA190" s="3">
        <v>0</v>
      </c>
      <c r="AB190" s="5">
        <v>79.349999999999994</v>
      </c>
      <c r="AD190" s="25"/>
      <c r="AE190" s="25"/>
      <c r="AF190" s="25"/>
      <c r="AG190" s="32"/>
      <c r="AH190" s="18"/>
      <c r="AI190" s="3"/>
      <c r="AJ190" s="3"/>
      <c r="AK190" s="3"/>
      <c r="AL190" s="15">
        <f>AH190+AI190+AJ190+AK190+AG190</f>
        <v>0</v>
      </c>
      <c r="AM190" s="15">
        <f>AB190-AL190</f>
        <v>79.349999999999994</v>
      </c>
      <c r="AN190" s="15">
        <f>AM190</f>
        <v>79.349999999999994</v>
      </c>
      <c r="AO190" s="15">
        <f>AM190-AN190</f>
        <v>0</v>
      </c>
      <c r="AQ190" s="15">
        <f>AL190-AF190</f>
        <v>0</v>
      </c>
    </row>
    <row r="191" spans="1:43" hidden="1" x14ac:dyDescent="0.25">
      <c r="A191">
        <v>188</v>
      </c>
      <c r="B191" s="10" t="s">
        <v>956</v>
      </c>
      <c r="C191" s="10" t="s">
        <v>1136</v>
      </c>
      <c r="D191" s="3" t="s">
        <v>957</v>
      </c>
      <c r="E191" s="3" t="s">
        <v>958</v>
      </c>
      <c r="F191" s="6" t="s">
        <v>959</v>
      </c>
      <c r="G191" s="3" t="s">
        <v>960</v>
      </c>
      <c r="H191" s="3" t="s">
        <v>14</v>
      </c>
      <c r="I191" s="3" t="s">
        <v>6</v>
      </c>
      <c r="J191" s="3"/>
      <c r="K191" s="3" t="s">
        <v>961</v>
      </c>
      <c r="L191" s="3"/>
      <c r="M191" s="3"/>
      <c r="N191" s="3" t="s">
        <v>22</v>
      </c>
      <c r="O191" s="3">
        <v>2191</v>
      </c>
      <c r="P191" s="3"/>
      <c r="Q191" s="4">
        <v>46081</v>
      </c>
      <c r="R191" s="5">
        <v>4400.6099999999997</v>
      </c>
      <c r="S191" s="3">
        <v>278</v>
      </c>
      <c r="T191" s="3"/>
      <c r="U191" s="3">
        <v>0</v>
      </c>
      <c r="V191" s="3" t="s">
        <v>8</v>
      </c>
      <c r="W191" s="5">
        <v>4400.6099999999997</v>
      </c>
      <c r="X191" s="5">
        <v>4400.6099999999997</v>
      </c>
      <c r="Y191" s="3">
        <v>0</v>
      </c>
      <c r="Z191" s="3">
        <v>0</v>
      </c>
      <c r="AA191" s="3">
        <v>0</v>
      </c>
      <c r="AB191" s="5">
        <v>8801.2199999999993</v>
      </c>
      <c r="AD191" s="25" t="s">
        <v>1201</v>
      </c>
      <c r="AE191" s="25" t="s">
        <v>1263</v>
      </c>
      <c r="AF191" s="26">
        <v>4400.6099999999997</v>
      </c>
      <c r="AG191" s="32"/>
      <c r="AH191" s="19">
        <f>AF191</f>
        <v>4400.6099999999997</v>
      </c>
      <c r="AI191" s="3"/>
      <c r="AJ191" s="3"/>
      <c r="AK191" s="3"/>
      <c r="AL191" s="15">
        <f>AH191+AI191+AJ191+AK191+AG191</f>
        <v>4400.6099999999997</v>
      </c>
      <c r="AM191" s="15">
        <f>AB191-AL191</f>
        <v>4400.6099999999997</v>
      </c>
      <c r="AN191" s="15">
        <f>AM191</f>
        <v>4400.6099999999997</v>
      </c>
      <c r="AO191" s="15">
        <f>AM191-AN191</f>
        <v>0</v>
      </c>
      <c r="AQ191" s="15">
        <f>AL191-AF191</f>
        <v>0</v>
      </c>
    </row>
    <row r="192" spans="1:43" hidden="1" x14ac:dyDescent="0.25">
      <c r="A192">
        <v>17</v>
      </c>
      <c r="B192" s="10"/>
      <c r="C192" s="10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4"/>
      <c r="R192" s="5"/>
      <c r="S192" s="3"/>
      <c r="T192" s="3"/>
      <c r="U192" s="3"/>
      <c r="V192" s="3"/>
      <c r="W192" s="5"/>
      <c r="X192" s="5"/>
      <c r="Y192" s="3"/>
      <c r="Z192" s="3"/>
      <c r="AA192" s="3"/>
      <c r="AB192" s="5"/>
      <c r="AD192" s="25" t="s">
        <v>1156</v>
      </c>
      <c r="AE192" s="25" t="s">
        <v>1190</v>
      </c>
      <c r="AF192" s="58">
        <v>200000</v>
      </c>
      <c r="AG192" s="32"/>
      <c r="AH192" s="19"/>
      <c r="AI192" s="3"/>
      <c r="AJ192" s="3"/>
      <c r="AK192" s="3"/>
      <c r="AL192" s="15"/>
      <c r="AM192" s="15"/>
      <c r="AO192" s="15"/>
      <c r="AQ192" s="15">
        <f>AL192-AF192</f>
        <v>-200000</v>
      </c>
    </row>
    <row r="193" spans="1:43" hidden="1" x14ac:dyDescent="0.25">
      <c r="A193">
        <v>78</v>
      </c>
      <c r="B193" s="41"/>
      <c r="C193" s="41"/>
      <c r="D193" s="40"/>
      <c r="E193" s="40"/>
      <c r="F193" s="47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2"/>
      <c r="R193" s="16"/>
      <c r="S193" s="40"/>
      <c r="T193" s="40"/>
      <c r="U193" s="40"/>
      <c r="V193" s="40"/>
      <c r="W193" s="16"/>
      <c r="X193" s="16"/>
      <c r="Y193" s="16"/>
      <c r="Z193" s="40"/>
      <c r="AA193" s="16"/>
      <c r="AB193" s="16"/>
      <c r="AC193" s="43"/>
      <c r="AD193" s="44" t="s">
        <v>1149</v>
      </c>
      <c r="AE193" s="44" t="s">
        <v>1189</v>
      </c>
      <c r="AF193" s="27">
        <v>36516.94</v>
      </c>
      <c r="AG193" s="48"/>
      <c r="AH193" s="20"/>
      <c r="AI193" s="16"/>
      <c r="AJ193" s="40"/>
      <c r="AK193" s="16"/>
      <c r="AL193" s="17"/>
      <c r="AM193" s="17"/>
      <c r="AN193" s="43"/>
      <c r="AO193" s="17"/>
      <c r="AQ193" s="15">
        <f>AL193-AF193</f>
        <v>-36516.94</v>
      </c>
    </row>
    <row r="194" spans="1:43" hidden="1" x14ac:dyDescent="0.25">
      <c r="A194">
        <v>123</v>
      </c>
      <c r="B194" s="10" t="s">
        <v>640</v>
      </c>
      <c r="C194" s="10"/>
      <c r="D194" s="3" t="s">
        <v>641</v>
      </c>
      <c r="E194" s="3" t="s">
        <v>642</v>
      </c>
      <c r="F194" s="3"/>
      <c r="G194" s="3" t="s">
        <v>643</v>
      </c>
      <c r="H194" s="3" t="s">
        <v>14</v>
      </c>
      <c r="I194" s="3" t="s">
        <v>6</v>
      </c>
      <c r="J194" s="3"/>
      <c r="K194" s="3" t="s">
        <v>644</v>
      </c>
      <c r="L194" s="3"/>
      <c r="M194" s="3"/>
      <c r="N194" s="3" t="s">
        <v>22</v>
      </c>
      <c r="O194" s="3"/>
      <c r="P194" s="3"/>
      <c r="Q194" s="4">
        <v>46045</v>
      </c>
      <c r="R194" s="5">
        <v>21948.9</v>
      </c>
      <c r="S194" s="3">
        <v>59</v>
      </c>
      <c r="T194" s="3"/>
      <c r="U194" s="3">
        <v>0</v>
      </c>
      <c r="V194" s="3" t="s">
        <v>8</v>
      </c>
      <c r="W194" s="5">
        <v>21319.15</v>
      </c>
      <c r="X194" s="5">
        <v>3117.61</v>
      </c>
      <c r="Y194" s="5">
        <v>747.5</v>
      </c>
      <c r="Z194" s="3">
        <v>0.02</v>
      </c>
      <c r="AA194" s="3">
        <v>0</v>
      </c>
      <c r="AB194" s="5">
        <v>25184.28</v>
      </c>
      <c r="AD194" s="25" t="s">
        <v>1164</v>
      </c>
      <c r="AE194" s="25" t="s">
        <v>640</v>
      </c>
      <c r="AF194" s="26">
        <v>3117.65</v>
      </c>
      <c r="AG194" s="32"/>
      <c r="AH194" s="19">
        <f>AF194</f>
        <v>3117.65</v>
      </c>
      <c r="AI194" s="5"/>
      <c r="AJ194" s="3"/>
      <c r="AK194" s="3"/>
      <c r="AL194" s="15">
        <f>AH194+AI194+AJ194+AK194+AG194</f>
        <v>3117.65</v>
      </c>
      <c r="AM194" s="15">
        <f>AB194-AL194</f>
        <v>22066.629999999997</v>
      </c>
      <c r="AN194" s="15">
        <f>AM194</f>
        <v>22066.629999999997</v>
      </c>
      <c r="AO194" s="15">
        <f>AM194-AN194</f>
        <v>0</v>
      </c>
      <c r="AQ194" s="15">
        <f>AL194-AF194</f>
        <v>0</v>
      </c>
    </row>
    <row r="195" spans="1:43" hidden="1" x14ac:dyDescent="0.25">
      <c r="A195">
        <v>132</v>
      </c>
      <c r="B195" s="10"/>
      <c r="C195" s="10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2"/>
      <c r="R195" s="23"/>
      <c r="S195" s="21"/>
      <c r="T195" s="21"/>
      <c r="U195" s="21"/>
      <c r="V195" s="21"/>
      <c r="W195" s="23"/>
      <c r="X195" s="5"/>
      <c r="Y195" s="3"/>
      <c r="Z195" s="3"/>
      <c r="AA195" s="3"/>
      <c r="AB195" s="5"/>
      <c r="AD195" s="25" t="s">
        <v>1165</v>
      </c>
      <c r="AE195" s="25" t="s">
        <v>1161</v>
      </c>
      <c r="AF195" s="26">
        <v>76939.83</v>
      </c>
      <c r="AG195" s="32"/>
      <c r="AH195" s="19"/>
      <c r="AI195" s="3"/>
      <c r="AJ195" s="3"/>
      <c r="AK195" s="3"/>
      <c r="AL195" s="15"/>
      <c r="AM195" s="15"/>
      <c r="AO195" s="15"/>
      <c r="AQ195" s="15">
        <f>AL195-AF195</f>
        <v>-76939.83</v>
      </c>
    </row>
    <row r="196" spans="1:43" hidden="1" x14ac:dyDescent="0.25">
      <c r="AF196" s="36">
        <f>SUM(AF8:AF195)</f>
        <v>1991370.8900000006</v>
      </c>
      <c r="AG196" s="36">
        <f t="shared" ref="AG196:AK196" si="0">SUM(AG8:AG195)</f>
        <v>698486.86000000022</v>
      </c>
      <c r="AH196" s="36">
        <f t="shared" si="0"/>
        <v>774701.60000000009</v>
      </c>
      <c r="AI196" s="36">
        <f t="shared" si="0"/>
        <v>39192.83</v>
      </c>
      <c r="AJ196" s="36">
        <f t="shared" si="0"/>
        <v>155649.04999999999</v>
      </c>
      <c r="AK196" s="36">
        <f t="shared" si="0"/>
        <v>15000</v>
      </c>
    </row>
    <row r="197" spans="1:43" hidden="1" x14ac:dyDescent="0.25">
      <c r="B197" s="11" t="s">
        <v>992</v>
      </c>
      <c r="C197" s="11"/>
      <c r="AB197" s="15">
        <f>SUM(AB8:AB195)</f>
        <v>4902021.93</v>
      </c>
      <c r="AK197" s="36"/>
    </row>
    <row r="198" spans="1:43" x14ac:dyDescent="0.25">
      <c r="B198" s="11" t="s">
        <v>993</v>
      </c>
      <c r="C198" s="11"/>
      <c r="AK198" s="36"/>
    </row>
  </sheetData>
  <sortState xmlns:xlrd2="http://schemas.microsoft.com/office/spreadsheetml/2017/richdata2" ref="A8:AQ195">
    <sortCondition ref="C8:C195"/>
  </sortState>
  <mergeCells count="2">
    <mergeCell ref="B5:AB6"/>
    <mergeCell ref="AG5:AK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C6BC-5A6A-43DC-BAA5-9653F02E9287}">
  <sheetPr>
    <tabColor rgb="FFFFFF00"/>
  </sheetPr>
  <dimension ref="A1:AE198"/>
  <sheetViews>
    <sheetView workbookViewId="0">
      <selection activeCell="W12" sqref="W12"/>
    </sheetView>
  </sheetViews>
  <sheetFormatPr defaultRowHeight="15" x14ac:dyDescent="0.25"/>
  <cols>
    <col min="2" max="2" width="15.140625" style="12" customWidth="1"/>
    <col min="3" max="3" width="12.5703125" style="12" customWidth="1"/>
    <col min="4" max="4" width="43.5703125" customWidth="1"/>
    <col min="5" max="5" width="35" hidden="1" customWidth="1"/>
    <col min="6" max="6" width="43" hidden="1" customWidth="1"/>
    <col min="7" max="7" width="46.7109375" hidden="1" customWidth="1"/>
    <col min="8" max="8" width="17.5703125" hidden="1" customWidth="1"/>
    <col min="9" max="9" width="16.28515625" hidden="1" customWidth="1"/>
    <col min="10" max="10" width="17.42578125" hidden="1" customWidth="1"/>
    <col min="11" max="11" width="84.140625" hidden="1" customWidth="1"/>
    <col min="12" max="12" width="13.5703125" hidden="1" customWidth="1"/>
    <col min="13" max="13" width="14.28515625" hidden="1" customWidth="1"/>
    <col min="14" max="15" width="11.5703125" hidden="1" customWidth="1"/>
    <col min="16" max="16" width="16.140625" hidden="1" customWidth="1"/>
    <col min="17" max="17" width="19.7109375" hidden="1" customWidth="1"/>
    <col min="18" max="18" width="14.42578125" hidden="1" customWidth="1"/>
    <col min="19" max="19" width="17.5703125" hidden="1" customWidth="1"/>
    <col min="20" max="20" width="29.140625" hidden="1" customWidth="1"/>
    <col min="21" max="21" width="13.140625" hidden="1" customWidth="1"/>
    <col min="22" max="22" width="3" customWidth="1"/>
    <col min="23" max="24" width="11.7109375" customWidth="1"/>
    <col min="25" max="25" width="11.42578125" customWidth="1"/>
    <col min="26" max="26" width="10.140625" customWidth="1"/>
    <col min="27" max="28" width="14.28515625" customWidth="1"/>
  </cols>
  <sheetData>
    <row r="1" spans="1:28" x14ac:dyDescent="0.25">
      <c r="B1" s="7" t="s">
        <v>987</v>
      </c>
      <c r="C1" s="7"/>
    </row>
    <row r="2" spans="1:28" x14ac:dyDescent="0.25">
      <c r="B2" s="7" t="s">
        <v>988</v>
      </c>
      <c r="C2" s="7"/>
    </row>
    <row r="3" spans="1:28" x14ac:dyDescent="0.25">
      <c r="B3" s="8"/>
      <c r="C3" s="8"/>
    </row>
    <row r="4" spans="1:28" ht="15.75" thickBot="1" x14ac:dyDescent="0.3">
      <c r="B4" s="8"/>
      <c r="C4" s="8"/>
    </row>
    <row r="5" spans="1:28" x14ac:dyDescent="0.25">
      <c r="B5" s="75" t="s">
        <v>1145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7"/>
    </row>
    <row r="6" spans="1:28" ht="15.75" thickBot="1" x14ac:dyDescent="0.3">
      <c r="B6" s="78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80"/>
    </row>
    <row r="7" spans="1:28" s="1" customFormat="1" x14ac:dyDescent="0.25">
      <c r="B7" s="64" t="s">
        <v>994</v>
      </c>
      <c r="C7" s="64" t="s">
        <v>995</v>
      </c>
      <c r="D7" s="65" t="s">
        <v>962</v>
      </c>
      <c r="E7" s="65" t="s">
        <v>963</v>
      </c>
      <c r="F7" s="65" t="s">
        <v>964</v>
      </c>
      <c r="G7" s="65" t="s">
        <v>965</v>
      </c>
      <c r="H7" s="65" t="s">
        <v>966</v>
      </c>
      <c r="I7" s="65" t="s">
        <v>967</v>
      </c>
      <c r="J7" s="65" t="s">
        <v>968</v>
      </c>
      <c r="K7" s="65" t="s">
        <v>969</v>
      </c>
      <c r="L7" s="65" t="s">
        <v>970</v>
      </c>
      <c r="M7" s="65" t="s">
        <v>971</v>
      </c>
      <c r="N7" s="65" t="s">
        <v>972</v>
      </c>
      <c r="O7" s="65" t="s">
        <v>973</v>
      </c>
      <c r="P7" s="65" t="s">
        <v>974</v>
      </c>
      <c r="Q7" s="65" t="s">
        <v>975</v>
      </c>
      <c r="R7" s="65" t="s">
        <v>976</v>
      </c>
      <c r="S7" s="65" t="s">
        <v>977</v>
      </c>
      <c r="T7" s="65" t="s">
        <v>978</v>
      </c>
      <c r="U7" s="65" t="s">
        <v>979</v>
      </c>
      <c r="V7" s="65" t="s">
        <v>980</v>
      </c>
      <c r="W7" s="65" t="s">
        <v>981</v>
      </c>
      <c r="X7" s="65" t="s">
        <v>982</v>
      </c>
      <c r="Y7" s="65" t="s">
        <v>983</v>
      </c>
      <c r="Z7" s="65" t="s">
        <v>984</v>
      </c>
      <c r="AA7" s="65" t="s">
        <v>985</v>
      </c>
      <c r="AB7" s="65" t="s">
        <v>986</v>
      </c>
    </row>
    <row r="8" spans="1:28" x14ac:dyDescent="0.25">
      <c r="A8">
        <v>1</v>
      </c>
      <c r="B8" s="10" t="s">
        <v>0</v>
      </c>
      <c r="C8" s="10"/>
      <c r="D8" s="3" t="s">
        <v>1</v>
      </c>
      <c r="E8" s="3" t="s">
        <v>2</v>
      </c>
      <c r="F8" s="3" t="s">
        <v>3</v>
      </c>
      <c r="G8" s="3" t="s">
        <v>4</v>
      </c>
      <c r="H8" s="3" t="s">
        <v>5</v>
      </c>
      <c r="I8" s="3" t="s">
        <v>6</v>
      </c>
      <c r="J8" s="3"/>
      <c r="K8" s="3" t="s">
        <v>7</v>
      </c>
      <c r="L8" s="3"/>
      <c r="M8" s="3"/>
      <c r="N8" s="3"/>
      <c r="O8" s="3">
        <v>1609</v>
      </c>
      <c r="P8" s="3"/>
      <c r="Q8" s="4">
        <v>45472</v>
      </c>
      <c r="R8" s="5">
        <v>113.85</v>
      </c>
      <c r="S8" s="3">
        <v>2500</v>
      </c>
      <c r="T8" s="3"/>
      <c r="U8" s="3">
        <v>0</v>
      </c>
      <c r="V8" s="3" t="s">
        <v>8</v>
      </c>
      <c r="W8" s="3">
        <v>0</v>
      </c>
      <c r="X8" s="3">
        <v>0</v>
      </c>
      <c r="Y8" s="3">
        <v>0</v>
      </c>
      <c r="Z8" s="3">
        <v>0</v>
      </c>
      <c r="AA8" s="5">
        <v>0</v>
      </c>
      <c r="AB8" s="5">
        <v>0</v>
      </c>
    </row>
    <row r="9" spans="1:28" x14ac:dyDescent="0.25">
      <c r="A9">
        <v>2</v>
      </c>
      <c r="B9" s="10" t="s">
        <v>9</v>
      </c>
      <c r="C9" s="10" t="s">
        <v>997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6</v>
      </c>
      <c r="J9" s="3" t="s">
        <v>15</v>
      </c>
      <c r="K9" s="3" t="s">
        <v>16</v>
      </c>
      <c r="L9" s="3"/>
      <c r="M9" s="3"/>
      <c r="N9" s="3"/>
      <c r="O9" s="3">
        <v>1411</v>
      </c>
      <c r="P9" s="3"/>
      <c r="Q9" s="4">
        <v>46081</v>
      </c>
      <c r="R9" s="5">
        <v>836.65</v>
      </c>
      <c r="S9" s="3">
        <v>148</v>
      </c>
      <c r="T9" s="3"/>
      <c r="U9" s="3">
        <v>0</v>
      </c>
      <c r="V9" s="3" t="s">
        <v>8</v>
      </c>
      <c r="W9" s="5">
        <v>836.65</v>
      </c>
      <c r="X9" s="3">
        <v>0</v>
      </c>
      <c r="Y9" s="3">
        <v>0</v>
      </c>
      <c r="Z9" s="3">
        <v>0</v>
      </c>
      <c r="AA9" s="3">
        <v>0</v>
      </c>
      <c r="AB9" s="5">
        <v>836.65</v>
      </c>
    </row>
    <row r="10" spans="1:28" x14ac:dyDescent="0.25">
      <c r="A10">
        <v>3</v>
      </c>
      <c r="B10" s="10" t="s">
        <v>17</v>
      </c>
      <c r="C10" s="10"/>
      <c r="D10" s="3" t="s">
        <v>18</v>
      </c>
      <c r="E10" s="3" t="s">
        <v>19</v>
      </c>
      <c r="F10" s="3"/>
      <c r="G10" s="3" t="s">
        <v>20</v>
      </c>
      <c r="H10" s="3" t="s">
        <v>14</v>
      </c>
      <c r="I10" s="3" t="s">
        <v>6</v>
      </c>
      <c r="J10" s="3"/>
      <c r="K10" s="3" t="s">
        <v>21</v>
      </c>
      <c r="L10" s="3"/>
      <c r="M10" s="3"/>
      <c r="N10" s="3" t="s">
        <v>22</v>
      </c>
      <c r="O10" s="3"/>
      <c r="P10" s="3"/>
      <c r="Q10" s="3"/>
      <c r="R10" s="3">
        <v>0</v>
      </c>
      <c r="S10" s="3">
        <v>50</v>
      </c>
      <c r="T10" s="3"/>
      <c r="U10" s="3">
        <v>0</v>
      </c>
      <c r="V10" s="3" t="s">
        <v>8</v>
      </c>
      <c r="W10" s="5">
        <v>7631.26</v>
      </c>
      <c r="X10" s="3">
        <v>0</v>
      </c>
      <c r="Y10" s="3">
        <v>0</v>
      </c>
      <c r="Z10" s="3">
        <v>0</v>
      </c>
      <c r="AA10" s="3">
        <v>0</v>
      </c>
      <c r="AB10" s="5">
        <v>7631.26</v>
      </c>
    </row>
    <row r="11" spans="1:28" x14ac:dyDescent="0.25">
      <c r="A11">
        <v>4</v>
      </c>
      <c r="B11" s="10">
        <v>1132</v>
      </c>
      <c r="C11" s="10" t="s">
        <v>996</v>
      </c>
      <c r="D11" s="3" t="s">
        <v>23</v>
      </c>
      <c r="E11" s="3" t="s">
        <v>23</v>
      </c>
      <c r="F11" s="3" t="s">
        <v>24</v>
      </c>
      <c r="G11" s="3" t="s">
        <v>25</v>
      </c>
      <c r="H11" s="3" t="s">
        <v>14</v>
      </c>
      <c r="I11" s="3" t="s">
        <v>6</v>
      </c>
      <c r="J11" s="3" t="s">
        <v>15</v>
      </c>
      <c r="K11" s="3" t="s">
        <v>26</v>
      </c>
      <c r="L11" s="3"/>
      <c r="M11" s="3"/>
      <c r="N11" s="3" t="s">
        <v>22</v>
      </c>
      <c r="O11" s="6" t="s">
        <v>27</v>
      </c>
      <c r="P11" s="3"/>
      <c r="Q11" s="4">
        <v>46081</v>
      </c>
      <c r="R11" s="5">
        <v>129.11000000000001</v>
      </c>
      <c r="S11" s="3">
        <v>39</v>
      </c>
      <c r="T11" s="3"/>
      <c r="U11" s="3">
        <v>0</v>
      </c>
      <c r="V11" s="3" t="s">
        <v>8</v>
      </c>
      <c r="W11" s="5">
        <v>545.41</v>
      </c>
      <c r="X11" s="3">
        <v>0</v>
      </c>
      <c r="Y11" s="3">
        <v>0</v>
      </c>
      <c r="Z11" s="3">
        <v>0</v>
      </c>
      <c r="AA11" s="3">
        <v>0</v>
      </c>
      <c r="AB11" s="5">
        <v>545.41</v>
      </c>
    </row>
    <row r="12" spans="1:28" s="67" customFormat="1" x14ac:dyDescent="0.25">
      <c r="A12" s="67">
        <v>5</v>
      </c>
      <c r="B12" s="68" t="s">
        <v>28</v>
      </c>
      <c r="C12" s="68" t="s">
        <v>998</v>
      </c>
      <c r="D12" s="69" t="s">
        <v>29</v>
      </c>
      <c r="E12" s="69" t="s">
        <v>30</v>
      </c>
      <c r="F12" s="69" t="s">
        <v>31</v>
      </c>
      <c r="G12" s="69" t="s">
        <v>32</v>
      </c>
      <c r="H12" s="69" t="s">
        <v>14</v>
      </c>
      <c r="I12" s="69" t="s">
        <v>6</v>
      </c>
      <c r="J12" s="69" t="s">
        <v>33</v>
      </c>
      <c r="K12" s="69" t="s">
        <v>34</v>
      </c>
      <c r="L12" s="69"/>
      <c r="M12" s="69"/>
      <c r="N12" s="69"/>
      <c r="O12" s="69">
        <v>2042</v>
      </c>
      <c r="P12" s="69"/>
      <c r="Q12" s="70">
        <v>46078</v>
      </c>
      <c r="R12" s="71">
        <v>11807.2</v>
      </c>
      <c r="S12" s="69">
        <v>153</v>
      </c>
      <c r="T12" s="69"/>
      <c r="U12" s="69">
        <v>0</v>
      </c>
      <c r="V12" s="69" t="s">
        <v>8</v>
      </c>
      <c r="W12" s="71">
        <v>11807.1</v>
      </c>
      <c r="X12" s="69">
        <v>0</v>
      </c>
      <c r="Y12" s="69">
        <v>0</v>
      </c>
      <c r="Z12" s="69">
        <v>0</v>
      </c>
      <c r="AA12" s="69">
        <v>0</v>
      </c>
      <c r="AB12" s="71">
        <v>11807.1</v>
      </c>
    </row>
    <row r="13" spans="1:28" x14ac:dyDescent="0.25">
      <c r="A13">
        <v>6</v>
      </c>
      <c r="B13" s="10">
        <v>1084</v>
      </c>
      <c r="C13" s="10" t="s">
        <v>999</v>
      </c>
      <c r="D13" s="3" t="s">
        <v>35</v>
      </c>
      <c r="E13" s="3" t="s">
        <v>36</v>
      </c>
      <c r="F13" s="3" t="s">
        <v>37</v>
      </c>
      <c r="G13" s="3" t="s">
        <v>38</v>
      </c>
      <c r="H13" s="3" t="s">
        <v>14</v>
      </c>
      <c r="I13" s="3" t="s">
        <v>6</v>
      </c>
      <c r="J13" s="3" t="s">
        <v>15</v>
      </c>
      <c r="K13" s="3" t="s">
        <v>39</v>
      </c>
      <c r="L13" s="3"/>
      <c r="M13" s="3"/>
      <c r="N13" s="3" t="s">
        <v>22</v>
      </c>
      <c r="O13" s="3"/>
      <c r="P13" s="3"/>
      <c r="Q13" s="4">
        <v>46081</v>
      </c>
      <c r="R13" s="5">
        <v>641.70000000000005</v>
      </c>
      <c r="S13" s="3">
        <v>41</v>
      </c>
      <c r="T13" s="3"/>
      <c r="U13" s="3">
        <v>0</v>
      </c>
      <c r="V13" s="3" t="s">
        <v>8</v>
      </c>
      <c r="W13" s="5">
        <v>641.70000000000005</v>
      </c>
      <c r="X13" s="3">
        <v>0</v>
      </c>
      <c r="Y13" s="3">
        <v>0</v>
      </c>
      <c r="Z13" s="3">
        <v>0</v>
      </c>
      <c r="AA13" s="3">
        <v>0</v>
      </c>
      <c r="AB13" s="5">
        <v>641.70000000000005</v>
      </c>
    </row>
    <row r="14" spans="1:28" x14ac:dyDescent="0.25">
      <c r="A14">
        <v>7</v>
      </c>
      <c r="B14" s="10" t="s">
        <v>40</v>
      </c>
      <c r="C14" s="10" t="s">
        <v>1000</v>
      </c>
      <c r="D14" s="3" t="s">
        <v>41</v>
      </c>
      <c r="E14" s="3" t="s">
        <v>41</v>
      </c>
      <c r="F14" s="3" t="s">
        <v>42</v>
      </c>
      <c r="G14" s="3" t="s">
        <v>43</v>
      </c>
      <c r="H14" s="3" t="s">
        <v>14</v>
      </c>
      <c r="I14" s="3" t="s">
        <v>6</v>
      </c>
      <c r="J14" s="3"/>
      <c r="K14" s="3" t="s">
        <v>44</v>
      </c>
      <c r="L14" s="3"/>
      <c r="M14" s="3"/>
      <c r="N14" s="3" t="s">
        <v>22</v>
      </c>
      <c r="O14" s="3"/>
      <c r="P14" s="3"/>
      <c r="Q14" s="4">
        <v>46081</v>
      </c>
      <c r="R14" s="5">
        <v>255.51</v>
      </c>
      <c r="S14" s="3">
        <v>126</v>
      </c>
      <c r="T14" s="3"/>
      <c r="U14" s="3">
        <v>0</v>
      </c>
      <c r="V14" s="3" t="s">
        <v>8</v>
      </c>
      <c r="W14" s="5">
        <v>255.51</v>
      </c>
      <c r="X14" s="3">
        <v>0</v>
      </c>
      <c r="Y14" s="3">
        <v>0</v>
      </c>
      <c r="Z14" s="3">
        <v>0</v>
      </c>
      <c r="AA14" s="3">
        <v>0</v>
      </c>
      <c r="AB14" s="5">
        <v>255.51</v>
      </c>
    </row>
    <row r="15" spans="1:28" x14ac:dyDescent="0.25">
      <c r="A15">
        <v>8</v>
      </c>
      <c r="B15" s="10" t="s">
        <v>45</v>
      </c>
      <c r="C15" s="10" t="s">
        <v>1001</v>
      </c>
      <c r="D15" s="3" t="s">
        <v>46</v>
      </c>
      <c r="E15" s="3" t="s">
        <v>47</v>
      </c>
      <c r="F15" s="3" t="s">
        <v>48</v>
      </c>
      <c r="G15" s="3" t="s">
        <v>49</v>
      </c>
      <c r="H15" s="3" t="s">
        <v>14</v>
      </c>
      <c r="I15" s="3" t="s">
        <v>6</v>
      </c>
      <c r="J15" s="3" t="s">
        <v>15</v>
      </c>
      <c r="K15" s="3" t="s">
        <v>50</v>
      </c>
      <c r="L15" s="3"/>
      <c r="M15" s="3"/>
      <c r="N15" s="3"/>
      <c r="O15" s="3">
        <v>1459</v>
      </c>
      <c r="P15" s="3"/>
      <c r="Q15" s="4">
        <v>46081</v>
      </c>
      <c r="R15" s="5">
        <v>321.32</v>
      </c>
      <c r="S15" s="3">
        <v>40</v>
      </c>
      <c r="T15" s="3"/>
      <c r="U15" s="3">
        <v>0</v>
      </c>
      <c r="V15" s="3" t="s">
        <v>8</v>
      </c>
      <c r="W15" s="5">
        <v>321.32</v>
      </c>
      <c r="X15" s="3">
        <v>0</v>
      </c>
      <c r="Y15" s="3">
        <v>0</v>
      </c>
      <c r="Z15" s="3">
        <v>0</v>
      </c>
      <c r="AA15" s="3">
        <v>0</v>
      </c>
      <c r="AB15" s="5">
        <v>321.32</v>
      </c>
    </row>
    <row r="16" spans="1:28" x14ac:dyDescent="0.25">
      <c r="A16">
        <v>9</v>
      </c>
      <c r="B16" s="10" t="s">
        <v>51</v>
      </c>
      <c r="C16" s="10" t="s">
        <v>1002</v>
      </c>
      <c r="D16" s="3" t="s">
        <v>52</v>
      </c>
      <c r="E16" s="3" t="s">
        <v>53</v>
      </c>
      <c r="F16" s="3" t="s">
        <v>54</v>
      </c>
      <c r="G16" s="3" t="s">
        <v>55</v>
      </c>
      <c r="H16" s="3" t="s">
        <v>14</v>
      </c>
      <c r="I16" s="3" t="s">
        <v>6</v>
      </c>
      <c r="J16" s="3" t="s">
        <v>15</v>
      </c>
      <c r="K16" s="3" t="s">
        <v>56</v>
      </c>
      <c r="L16" s="3"/>
      <c r="M16" s="3"/>
      <c r="N16" s="3"/>
      <c r="O16" s="3">
        <v>1620</v>
      </c>
      <c r="P16" s="3"/>
      <c r="Q16" s="4">
        <v>46067</v>
      </c>
      <c r="R16" s="5">
        <v>11962.51</v>
      </c>
      <c r="S16" s="3">
        <v>203</v>
      </c>
      <c r="T16" s="3"/>
      <c r="U16" s="3">
        <v>0</v>
      </c>
      <c r="V16" s="3" t="s">
        <v>8</v>
      </c>
      <c r="W16" s="5">
        <v>11962.51</v>
      </c>
      <c r="X16" s="5">
        <v>11962.51</v>
      </c>
      <c r="Y16" s="3">
        <v>0</v>
      </c>
      <c r="Z16" s="3">
        <v>0</v>
      </c>
      <c r="AA16" s="3">
        <v>0</v>
      </c>
      <c r="AB16" s="5">
        <v>23925.02</v>
      </c>
    </row>
    <row r="17" spans="1:28" x14ac:dyDescent="0.25">
      <c r="A17">
        <v>10</v>
      </c>
      <c r="B17" s="10" t="s">
        <v>57</v>
      </c>
      <c r="C17" s="10" t="s">
        <v>1003</v>
      </c>
      <c r="D17" s="3" t="s">
        <v>58</v>
      </c>
      <c r="E17" s="3" t="s">
        <v>59</v>
      </c>
      <c r="F17" s="3" t="s">
        <v>60</v>
      </c>
      <c r="G17" s="3" t="s">
        <v>61</v>
      </c>
      <c r="H17" s="3" t="s">
        <v>14</v>
      </c>
      <c r="I17" s="3" t="s">
        <v>6</v>
      </c>
      <c r="J17" s="3"/>
      <c r="K17" s="3" t="s">
        <v>62</v>
      </c>
      <c r="L17" s="3"/>
      <c r="M17" s="3"/>
      <c r="N17" s="3"/>
      <c r="O17" s="3">
        <v>1457</v>
      </c>
      <c r="P17" s="3"/>
      <c r="Q17" s="4">
        <v>46071</v>
      </c>
      <c r="R17" s="5">
        <v>40250</v>
      </c>
      <c r="S17" s="3">
        <v>253</v>
      </c>
      <c r="T17" s="3" t="s">
        <v>63</v>
      </c>
      <c r="U17" s="3">
        <v>0</v>
      </c>
      <c r="V17" s="3" t="s">
        <v>8</v>
      </c>
      <c r="W17" s="5">
        <v>73466.600000000006</v>
      </c>
      <c r="X17" s="5">
        <v>73466.600000000006</v>
      </c>
      <c r="Y17" s="3">
        <v>0</v>
      </c>
      <c r="Z17" s="3">
        <v>0</v>
      </c>
      <c r="AA17" s="3">
        <v>0</v>
      </c>
      <c r="AB17" s="5">
        <v>146933.20000000001</v>
      </c>
    </row>
    <row r="18" spans="1:28" x14ac:dyDescent="0.25">
      <c r="A18">
        <v>11</v>
      </c>
      <c r="B18" s="10" t="s">
        <v>64</v>
      </c>
      <c r="C18" s="10" t="s">
        <v>1004</v>
      </c>
      <c r="D18" s="3" t="s">
        <v>65</v>
      </c>
      <c r="E18" s="3" t="s">
        <v>66</v>
      </c>
      <c r="F18" s="3"/>
      <c r="G18" s="3" t="s">
        <v>67</v>
      </c>
      <c r="H18" s="3" t="s">
        <v>14</v>
      </c>
      <c r="I18" s="3" t="s">
        <v>6</v>
      </c>
      <c r="J18" s="3"/>
      <c r="K18" s="3" t="s">
        <v>68</v>
      </c>
      <c r="L18" s="3"/>
      <c r="M18" s="3" t="s">
        <v>69</v>
      </c>
      <c r="N18" s="3" t="s">
        <v>22</v>
      </c>
      <c r="O18" s="3"/>
      <c r="P18" s="3"/>
      <c r="Q18" s="4">
        <v>46081</v>
      </c>
      <c r="R18" s="5">
        <v>284.67</v>
      </c>
      <c r="S18" s="3">
        <v>41</v>
      </c>
      <c r="T18" s="3"/>
      <c r="U18" s="3">
        <v>0</v>
      </c>
      <c r="V18" s="3" t="s">
        <v>8</v>
      </c>
      <c r="W18" s="5">
        <v>284.67</v>
      </c>
      <c r="X18" s="3">
        <v>0</v>
      </c>
      <c r="Y18" s="3">
        <v>0</v>
      </c>
      <c r="Z18" s="3">
        <v>0</v>
      </c>
      <c r="AA18" s="3">
        <v>0</v>
      </c>
      <c r="AB18" s="5">
        <v>284.67</v>
      </c>
    </row>
    <row r="19" spans="1:28" x14ac:dyDescent="0.25">
      <c r="A19">
        <v>12</v>
      </c>
      <c r="B19" s="10" t="s">
        <v>70</v>
      </c>
      <c r="C19" s="10" t="s">
        <v>30</v>
      </c>
      <c r="D19" s="3" t="s">
        <v>71</v>
      </c>
      <c r="E19" s="3" t="s">
        <v>72</v>
      </c>
      <c r="F19" s="3" t="s">
        <v>73</v>
      </c>
      <c r="G19" s="3" t="s">
        <v>74</v>
      </c>
      <c r="H19" s="3" t="s">
        <v>14</v>
      </c>
      <c r="I19" s="3" t="s">
        <v>6</v>
      </c>
      <c r="J19" s="3" t="s">
        <v>15</v>
      </c>
      <c r="K19" s="3" t="s">
        <v>75</v>
      </c>
      <c r="L19" s="3" t="s">
        <v>76</v>
      </c>
      <c r="M19" s="3" t="s">
        <v>69</v>
      </c>
      <c r="N19" s="3" t="s">
        <v>22</v>
      </c>
      <c r="O19" s="3">
        <v>2094</v>
      </c>
      <c r="P19" s="3"/>
      <c r="Q19" s="4">
        <v>46079</v>
      </c>
      <c r="R19" s="5">
        <v>147.16999999999999</v>
      </c>
      <c r="S19" s="3">
        <v>39</v>
      </c>
      <c r="T19" s="3"/>
      <c r="U19" s="3">
        <v>0</v>
      </c>
      <c r="V19" s="3" t="s">
        <v>8</v>
      </c>
      <c r="W19" s="5">
        <v>147.16999999999999</v>
      </c>
      <c r="X19" s="3">
        <v>0</v>
      </c>
      <c r="Y19" s="3">
        <v>0</v>
      </c>
      <c r="Z19" s="3">
        <v>0</v>
      </c>
      <c r="AA19" s="3">
        <v>0</v>
      </c>
      <c r="AB19" s="5">
        <v>147.16999999999999</v>
      </c>
    </row>
    <row r="20" spans="1:28" x14ac:dyDescent="0.25">
      <c r="A20">
        <v>13</v>
      </c>
      <c r="B20" s="10" t="s">
        <v>77</v>
      </c>
      <c r="C20" s="10" t="s">
        <v>1005</v>
      </c>
      <c r="D20" s="3" t="s">
        <v>78</v>
      </c>
      <c r="E20" s="3" t="s">
        <v>79</v>
      </c>
      <c r="F20" s="3" t="s">
        <v>80</v>
      </c>
      <c r="G20" s="3" t="s">
        <v>81</v>
      </c>
      <c r="H20" s="3" t="s">
        <v>82</v>
      </c>
      <c r="I20" s="3" t="s">
        <v>6</v>
      </c>
      <c r="J20" s="3" t="s">
        <v>15</v>
      </c>
      <c r="K20" s="3" t="s">
        <v>83</v>
      </c>
      <c r="L20" s="3"/>
      <c r="M20" s="3"/>
      <c r="N20" s="3"/>
      <c r="O20" s="3">
        <v>2066</v>
      </c>
      <c r="P20" s="3"/>
      <c r="Q20" s="4">
        <v>45169</v>
      </c>
      <c r="R20" s="5">
        <v>342.26</v>
      </c>
      <c r="S20" s="3">
        <v>217</v>
      </c>
      <c r="T20" s="3"/>
      <c r="U20" s="3">
        <v>0</v>
      </c>
      <c r="V20" s="3" t="s">
        <v>8</v>
      </c>
      <c r="W20" s="3">
        <v>0</v>
      </c>
      <c r="X20" s="3">
        <v>0</v>
      </c>
      <c r="Y20" s="3">
        <v>0</v>
      </c>
      <c r="Z20" s="3">
        <v>0</v>
      </c>
      <c r="AA20" s="5">
        <v>0</v>
      </c>
      <c r="AB20" s="5">
        <v>0</v>
      </c>
    </row>
    <row r="21" spans="1:28" x14ac:dyDescent="0.25">
      <c r="A21">
        <v>14</v>
      </c>
      <c r="B21" s="10" t="s">
        <v>84</v>
      </c>
      <c r="C21" s="10" t="s">
        <v>1006</v>
      </c>
      <c r="D21" s="3" t="s">
        <v>85</v>
      </c>
      <c r="E21" s="3" t="s">
        <v>86</v>
      </c>
      <c r="F21" s="3"/>
      <c r="G21" s="3" t="s">
        <v>87</v>
      </c>
      <c r="H21" s="3" t="s">
        <v>14</v>
      </c>
      <c r="I21" s="3" t="s">
        <v>6</v>
      </c>
      <c r="J21" s="3" t="s">
        <v>15</v>
      </c>
      <c r="K21" s="3" t="s">
        <v>88</v>
      </c>
      <c r="L21" s="3"/>
      <c r="M21" s="3"/>
      <c r="N21" s="3"/>
      <c r="O21" s="3">
        <v>2041</v>
      </c>
      <c r="P21" s="3"/>
      <c r="Q21" s="4">
        <v>46081</v>
      </c>
      <c r="R21" s="5">
        <v>204.7</v>
      </c>
      <c r="S21" s="3">
        <v>102</v>
      </c>
      <c r="T21" s="3"/>
      <c r="U21" s="3">
        <v>0</v>
      </c>
      <c r="V21" s="3" t="s">
        <v>8</v>
      </c>
      <c r="W21" s="5">
        <v>204.69</v>
      </c>
      <c r="X21" s="3">
        <v>0</v>
      </c>
      <c r="Y21" s="3">
        <v>0</v>
      </c>
      <c r="Z21" s="3">
        <v>0</v>
      </c>
      <c r="AA21" s="3">
        <v>0.01</v>
      </c>
      <c r="AB21" s="5">
        <v>204.7</v>
      </c>
    </row>
    <row r="22" spans="1:28" x14ac:dyDescent="0.25">
      <c r="A22">
        <v>15</v>
      </c>
      <c r="B22" s="10"/>
      <c r="C22" s="10"/>
      <c r="D22" s="3" t="str">
        <f>[1]nedredc!$B$35</f>
        <v>AUMA SOUTH AFRICA (PTY)LTD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4"/>
      <c r="R22" s="5"/>
      <c r="S22" s="3"/>
      <c r="T22" s="3"/>
      <c r="U22" s="3"/>
      <c r="V22" s="3"/>
      <c r="W22" s="5"/>
      <c r="X22" s="3"/>
      <c r="Y22" s="3"/>
      <c r="Z22" s="3"/>
      <c r="AA22" s="3"/>
      <c r="AB22" s="5"/>
    </row>
    <row r="23" spans="1:28" x14ac:dyDescent="0.25">
      <c r="A23">
        <v>16</v>
      </c>
      <c r="B23" s="10" t="s">
        <v>89</v>
      </c>
      <c r="C23" s="10" t="s">
        <v>1007</v>
      </c>
      <c r="D23" s="3" t="s">
        <v>90</v>
      </c>
      <c r="E23" s="3" t="s">
        <v>91</v>
      </c>
      <c r="F23" s="3" t="s">
        <v>92</v>
      </c>
      <c r="G23" s="3" t="s">
        <v>93</v>
      </c>
      <c r="H23" s="3" t="s">
        <v>14</v>
      </c>
      <c r="I23" s="3" t="s">
        <v>6</v>
      </c>
      <c r="J23" s="3" t="s">
        <v>15</v>
      </c>
      <c r="K23" s="3" t="s">
        <v>94</v>
      </c>
      <c r="L23" s="3"/>
      <c r="M23" s="3"/>
      <c r="N23" s="3"/>
      <c r="O23" s="3"/>
      <c r="P23" s="3"/>
      <c r="Q23" s="4">
        <v>46069</v>
      </c>
      <c r="R23" s="5">
        <v>189890.58</v>
      </c>
      <c r="S23" s="3">
        <v>139</v>
      </c>
      <c r="T23" s="3"/>
      <c r="U23" s="3">
        <v>0</v>
      </c>
      <c r="V23" s="3" t="s">
        <v>8</v>
      </c>
      <c r="W23" s="5">
        <v>132914.71</v>
      </c>
      <c r="X23" s="5">
        <v>237641.76</v>
      </c>
      <c r="Y23" s="3">
        <v>0</v>
      </c>
      <c r="Z23" s="3">
        <v>0</v>
      </c>
      <c r="AA23" s="3">
        <v>0</v>
      </c>
      <c r="AB23" s="5">
        <v>370556.47</v>
      </c>
    </row>
    <row r="24" spans="1:28" x14ac:dyDescent="0.25">
      <c r="A24">
        <v>17</v>
      </c>
      <c r="B24" s="10"/>
      <c r="C24" s="10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4"/>
      <c r="R24" s="5"/>
      <c r="S24" s="3"/>
      <c r="T24" s="3"/>
      <c r="U24" s="3"/>
      <c r="V24" s="3"/>
      <c r="W24" s="5"/>
      <c r="X24" s="5"/>
      <c r="Y24" s="3"/>
      <c r="Z24" s="3"/>
      <c r="AA24" s="3"/>
      <c r="AB24" s="5"/>
    </row>
    <row r="25" spans="1:28" x14ac:dyDescent="0.25">
      <c r="A25">
        <v>18</v>
      </c>
      <c r="B25" s="10" t="s">
        <v>95</v>
      </c>
      <c r="C25" s="10" t="s">
        <v>30</v>
      </c>
      <c r="D25" s="3" t="s">
        <v>96</v>
      </c>
      <c r="E25" s="3" t="s">
        <v>97</v>
      </c>
      <c r="F25" s="3" t="s">
        <v>92</v>
      </c>
      <c r="G25" s="3" t="s">
        <v>93</v>
      </c>
      <c r="H25" s="3" t="s">
        <v>14</v>
      </c>
      <c r="I25" s="3" t="s">
        <v>6</v>
      </c>
      <c r="J25" s="3"/>
      <c r="K25" s="3" t="s">
        <v>94</v>
      </c>
      <c r="L25" s="3"/>
      <c r="M25" s="3"/>
      <c r="N25" s="3" t="s">
        <v>22</v>
      </c>
      <c r="O25" s="3"/>
      <c r="P25" s="3"/>
      <c r="Q25" s="4">
        <v>46081</v>
      </c>
      <c r="R25" s="5">
        <v>1122.4000000000001</v>
      </c>
      <c r="S25" s="3">
        <v>116</v>
      </c>
      <c r="T25" s="3"/>
      <c r="U25" s="3">
        <v>0</v>
      </c>
      <c r="V25" s="3" t="s">
        <v>8</v>
      </c>
      <c r="W25" s="5">
        <v>1122.4000000000001</v>
      </c>
      <c r="X25" s="3">
        <v>0</v>
      </c>
      <c r="Y25" s="3">
        <v>0</v>
      </c>
      <c r="Z25" s="3">
        <v>0</v>
      </c>
      <c r="AA25" s="3">
        <v>0</v>
      </c>
      <c r="AB25" s="5">
        <v>1122.4000000000001</v>
      </c>
    </row>
    <row r="26" spans="1:28" x14ac:dyDescent="0.25">
      <c r="A26">
        <v>19</v>
      </c>
      <c r="B26" s="10" t="s">
        <v>98</v>
      </c>
      <c r="C26" s="10" t="s">
        <v>1008</v>
      </c>
      <c r="D26" s="3" t="s">
        <v>99</v>
      </c>
      <c r="E26" s="3" t="s">
        <v>100</v>
      </c>
      <c r="F26" s="3" t="s">
        <v>101</v>
      </c>
      <c r="G26" s="3" t="s">
        <v>102</v>
      </c>
      <c r="H26" s="3" t="s">
        <v>14</v>
      </c>
      <c r="I26" s="3" t="s">
        <v>6</v>
      </c>
      <c r="J26" s="3" t="s">
        <v>15</v>
      </c>
      <c r="K26" s="3" t="s">
        <v>103</v>
      </c>
      <c r="L26" s="3"/>
      <c r="M26" s="3"/>
      <c r="N26" s="3" t="s">
        <v>22</v>
      </c>
      <c r="O26" s="3"/>
      <c r="P26" s="3"/>
      <c r="Q26" s="4">
        <v>46081</v>
      </c>
      <c r="R26" s="5">
        <v>2390.2600000000002</v>
      </c>
      <c r="S26" s="3">
        <v>226</v>
      </c>
      <c r="T26" s="3"/>
      <c r="U26" s="3">
        <v>0</v>
      </c>
      <c r="V26" s="3" t="s">
        <v>8</v>
      </c>
      <c r="W26" s="5">
        <v>2390.2600000000002</v>
      </c>
      <c r="X26" s="3">
        <v>0</v>
      </c>
      <c r="Y26" s="3">
        <v>0</v>
      </c>
      <c r="Z26" s="3">
        <v>0</v>
      </c>
      <c r="AA26" s="3">
        <v>0</v>
      </c>
      <c r="AB26" s="5">
        <v>2390.2600000000002</v>
      </c>
    </row>
    <row r="27" spans="1:28" x14ac:dyDescent="0.25">
      <c r="A27">
        <v>20</v>
      </c>
      <c r="B27" s="10" t="s">
        <v>104</v>
      </c>
      <c r="C27" s="10" t="s">
        <v>1009</v>
      </c>
      <c r="D27" s="3" t="s">
        <v>105</v>
      </c>
      <c r="E27" s="3" t="s">
        <v>106</v>
      </c>
      <c r="F27" s="3" t="s">
        <v>107</v>
      </c>
      <c r="G27" s="3" t="s">
        <v>108</v>
      </c>
      <c r="H27" s="3" t="s">
        <v>14</v>
      </c>
      <c r="I27" s="3" t="s">
        <v>6</v>
      </c>
      <c r="J27" s="3" t="s">
        <v>15</v>
      </c>
      <c r="K27" s="3" t="s">
        <v>109</v>
      </c>
      <c r="L27" s="3"/>
      <c r="M27" s="3"/>
      <c r="N27" s="3" t="s">
        <v>22</v>
      </c>
      <c r="O27" s="3"/>
      <c r="P27" s="3"/>
      <c r="Q27" s="4">
        <v>46081</v>
      </c>
      <c r="R27" s="5">
        <v>1940.51</v>
      </c>
      <c r="S27" s="3">
        <v>67</v>
      </c>
      <c r="T27" s="3"/>
      <c r="U27" s="3">
        <v>0</v>
      </c>
      <c r="V27" s="3" t="s">
        <v>8</v>
      </c>
      <c r="W27" s="5">
        <v>1940.51</v>
      </c>
      <c r="X27" s="3">
        <v>0</v>
      </c>
      <c r="Y27" s="3">
        <v>0</v>
      </c>
      <c r="Z27" s="3">
        <v>0</v>
      </c>
      <c r="AA27" s="3">
        <v>0</v>
      </c>
      <c r="AB27" s="5">
        <v>1940.51</v>
      </c>
    </row>
    <row r="28" spans="1:28" x14ac:dyDescent="0.25">
      <c r="A28">
        <v>21</v>
      </c>
      <c r="B28" s="10" t="s">
        <v>110</v>
      </c>
      <c r="C28" s="10"/>
      <c r="D28" s="3" t="s">
        <v>111</v>
      </c>
      <c r="E28" s="3" t="s">
        <v>111</v>
      </c>
      <c r="F28" s="3"/>
      <c r="G28" s="3" t="s">
        <v>112</v>
      </c>
      <c r="H28" s="3" t="s">
        <v>14</v>
      </c>
      <c r="I28" s="3" t="s">
        <v>6</v>
      </c>
      <c r="J28" s="3"/>
      <c r="K28" s="3" t="s">
        <v>113</v>
      </c>
      <c r="L28" s="3"/>
      <c r="M28" s="3"/>
      <c r="N28" s="3" t="s">
        <v>22</v>
      </c>
      <c r="O28" s="3"/>
      <c r="P28" s="3"/>
      <c r="Q28" s="4">
        <v>46079</v>
      </c>
      <c r="R28" s="5">
        <v>79.349999999999994</v>
      </c>
      <c r="S28" s="3">
        <v>64</v>
      </c>
      <c r="T28" s="3"/>
      <c r="U28" s="3">
        <v>0</v>
      </c>
      <c r="V28" s="3" t="s">
        <v>8</v>
      </c>
      <c r="W28" s="5">
        <v>79.349999999999994</v>
      </c>
      <c r="X28" s="3">
        <v>0</v>
      </c>
      <c r="Y28" s="3">
        <v>0</v>
      </c>
      <c r="Z28" s="3">
        <v>0</v>
      </c>
      <c r="AA28" s="3">
        <v>0</v>
      </c>
      <c r="AB28" s="5">
        <v>79.349999999999994</v>
      </c>
    </row>
    <row r="29" spans="1:28" x14ac:dyDescent="0.25">
      <c r="A29">
        <v>22</v>
      </c>
      <c r="B29" s="10" t="s">
        <v>114</v>
      </c>
      <c r="C29" s="10"/>
      <c r="D29" s="3" t="s">
        <v>115</v>
      </c>
      <c r="E29" s="3" t="s">
        <v>115</v>
      </c>
      <c r="F29" s="6" t="s">
        <v>116</v>
      </c>
      <c r="G29" s="3" t="s">
        <v>117</v>
      </c>
      <c r="H29" s="3" t="s">
        <v>14</v>
      </c>
      <c r="I29" s="3" t="s">
        <v>6</v>
      </c>
      <c r="J29" s="3" t="s">
        <v>15</v>
      </c>
      <c r="K29" s="3" t="s">
        <v>118</v>
      </c>
      <c r="L29" s="3"/>
      <c r="M29" s="3"/>
      <c r="N29" s="3"/>
      <c r="O29" s="3"/>
      <c r="P29" s="3"/>
      <c r="Q29" s="4">
        <v>46081</v>
      </c>
      <c r="R29" s="5">
        <v>734.3</v>
      </c>
      <c r="S29" s="3">
        <v>73</v>
      </c>
      <c r="T29" s="3"/>
      <c r="U29" s="3">
        <v>0</v>
      </c>
      <c r="V29" s="3" t="s">
        <v>8</v>
      </c>
      <c r="W29" s="5">
        <v>734.3</v>
      </c>
      <c r="X29" s="3">
        <v>0</v>
      </c>
      <c r="Y29" s="3">
        <v>0</v>
      </c>
      <c r="Z29" s="3">
        <v>0</v>
      </c>
      <c r="AA29" s="3">
        <v>0</v>
      </c>
      <c r="AB29" s="5">
        <v>734.3</v>
      </c>
    </row>
    <row r="30" spans="1:28" x14ac:dyDescent="0.25">
      <c r="A30">
        <v>23</v>
      </c>
      <c r="B30" s="10" t="s">
        <v>119</v>
      </c>
      <c r="C30" s="10" t="s">
        <v>1010</v>
      </c>
      <c r="D30" s="3" t="s">
        <v>120</v>
      </c>
      <c r="E30" s="3" t="s">
        <v>120</v>
      </c>
      <c r="F30" s="3"/>
      <c r="G30" s="3" t="s">
        <v>121</v>
      </c>
      <c r="H30" s="3" t="s">
        <v>14</v>
      </c>
      <c r="I30" s="3" t="s">
        <v>6</v>
      </c>
      <c r="J30" s="3" t="s">
        <v>15</v>
      </c>
      <c r="K30" s="3" t="s">
        <v>122</v>
      </c>
      <c r="L30" s="3"/>
      <c r="M30" s="3"/>
      <c r="N30" s="3" t="s">
        <v>22</v>
      </c>
      <c r="O30" s="3"/>
      <c r="P30" s="3"/>
      <c r="Q30" s="4">
        <v>46079</v>
      </c>
      <c r="R30" s="5">
        <v>79.349999999999994</v>
      </c>
      <c r="S30" s="3">
        <v>46</v>
      </c>
      <c r="T30" s="3"/>
      <c r="U30" s="3">
        <v>0</v>
      </c>
      <c r="V30" s="3" t="s">
        <v>8</v>
      </c>
      <c r="W30" s="3">
        <v>0</v>
      </c>
      <c r="X30" s="3">
        <v>0</v>
      </c>
      <c r="Y30" s="3">
        <v>0</v>
      </c>
      <c r="Z30" s="3">
        <v>0</v>
      </c>
      <c r="AA30" s="5">
        <v>79.349999999999994</v>
      </c>
      <c r="AB30" s="5">
        <v>79.349999999999994</v>
      </c>
    </row>
    <row r="31" spans="1:28" x14ac:dyDescent="0.25">
      <c r="A31">
        <v>24</v>
      </c>
      <c r="B31" s="10" t="s">
        <v>123</v>
      </c>
      <c r="C31" s="10" t="s">
        <v>1011</v>
      </c>
      <c r="D31" s="3" t="s">
        <v>124</v>
      </c>
      <c r="E31" s="3" t="s">
        <v>125</v>
      </c>
      <c r="F31" s="3" t="s">
        <v>126</v>
      </c>
      <c r="G31" s="3" t="s">
        <v>127</v>
      </c>
      <c r="H31" s="3" t="s">
        <v>14</v>
      </c>
      <c r="I31" s="3" t="s">
        <v>6</v>
      </c>
      <c r="J31" s="3" t="s">
        <v>15</v>
      </c>
      <c r="K31" s="3" t="s">
        <v>128</v>
      </c>
      <c r="L31" s="3"/>
      <c r="M31" s="3"/>
      <c r="N31" s="3"/>
      <c r="O31" s="3">
        <v>1715</v>
      </c>
      <c r="P31" s="3"/>
      <c r="Q31" s="4">
        <v>46081</v>
      </c>
      <c r="R31" s="5">
        <v>1949.08</v>
      </c>
      <c r="S31" s="3">
        <v>122</v>
      </c>
      <c r="T31" s="3"/>
      <c r="U31" s="3">
        <v>0</v>
      </c>
      <c r="V31" s="3" t="s">
        <v>8</v>
      </c>
      <c r="W31" s="5">
        <v>1949.08</v>
      </c>
      <c r="X31" s="3">
        <v>0</v>
      </c>
      <c r="Y31" s="3">
        <v>0</v>
      </c>
      <c r="Z31" s="3">
        <v>0</v>
      </c>
      <c r="AA31" s="3">
        <v>0</v>
      </c>
      <c r="AB31" s="5">
        <v>1949.08</v>
      </c>
    </row>
    <row r="32" spans="1:28" x14ac:dyDescent="0.25">
      <c r="A32">
        <v>25</v>
      </c>
      <c r="B32" s="10" t="s">
        <v>129</v>
      </c>
      <c r="C32" s="10"/>
      <c r="D32" s="3" t="s">
        <v>130</v>
      </c>
      <c r="E32" s="3" t="s">
        <v>130</v>
      </c>
      <c r="F32" s="3" t="s">
        <v>131</v>
      </c>
      <c r="G32" s="3" t="s">
        <v>132</v>
      </c>
      <c r="H32" s="3" t="s">
        <v>14</v>
      </c>
      <c r="I32" s="3" t="s">
        <v>6</v>
      </c>
      <c r="J32" s="3" t="s">
        <v>15</v>
      </c>
      <c r="K32" s="3" t="s">
        <v>133</v>
      </c>
      <c r="L32" s="3"/>
      <c r="M32" s="3"/>
      <c r="N32" s="3" t="s">
        <v>22</v>
      </c>
      <c r="O32" s="3"/>
      <c r="P32" s="3"/>
      <c r="Q32" s="4">
        <v>46081</v>
      </c>
      <c r="R32" s="5">
        <v>153.53</v>
      </c>
      <c r="S32" s="3">
        <v>57</v>
      </c>
      <c r="T32" s="3"/>
      <c r="U32" s="3">
        <v>0</v>
      </c>
      <c r="V32" s="3" t="s">
        <v>8</v>
      </c>
      <c r="W32" s="5">
        <v>153.53</v>
      </c>
      <c r="X32" s="3">
        <v>0</v>
      </c>
      <c r="Y32" s="3">
        <v>0</v>
      </c>
      <c r="Z32" s="3">
        <v>0</v>
      </c>
      <c r="AA32" s="3">
        <v>0</v>
      </c>
      <c r="AB32" s="5">
        <v>153.53</v>
      </c>
    </row>
    <row r="33" spans="1:28" x14ac:dyDescent="0.25">
      <c r="A33">
        <v>26</v>
      </c>
      <c r="B33" s="10">
        <v>1126</v>
      </c>
      <c r="C33" s="10" t="s">
        <v>1012</v>
      </c>
      <c r="D33" s="3" t="s">
        <v>134</v>
      </c>
      <c r="E33" s="3" t="s">
        <v>135</v>
      </c>
      <c r="F33" s="3" t="s">
        <v>136</v>
      </c>
      <c r="G33" s="3" t="s">
        <v>137</v>
      </c>
      <c r="H33" s="3" t="s">
        <v>14</v>
      </c>
      <c r="I33" s="3" t="s">
        <v>6</v>
      </c>
      <c r="J33" s="3" t="s">
        <v>15</v>
      </c>
      <c r="K33" s="3" t="s">
        <v>138</v>
      </c>
      <c r="L33" s="3" t="s">
        <v>76</v>
      </c>
      <c r="M33" s="3" t="s">
        <v>69</v>
      </c>
      <c r="N33" s="3" t="s">
        <v>22</v>
      </c>
      <c r="O33" s="3">
        <v>1401</v>
      </c>
      <c r="P33" s="3"/>
      <c r="Q33" s="4">
        <v>46081</v>
      </c>
      <c r="R33" s="5">
        <v>354.66</v>
      </c>
      <c r="S33" s="3">
        <v>67</v>
      </c>
      <c r="T33" s="3"/>
      <c r="U33" s="3">
        <v>0</v>
      </c>
      <c r="V33" s="3" t="s">
        <v>8</v>
      </c>
      <c r="W33" s="5">
        <v>354.66</v>
      </c>
      <c r="X33" s="3">
        <v>0</v>
      </c>
      <c r="Y33" s="3">
        <v>0</v>
      </c>
      <c r="Z33" s="3">
        <v>0</v>
      </c>
      <c r="AA33" s="3">
        <v>0</v>
      </c>
      <c r="AB33" s="5">
        <v>354.66</v>
      </c>
    </row>
    <row r="34" spans="1:28" x14ac:dyDescent="0.25">
      <c r="A34">
        <v>27</v>
      </c>
      <c r="B34" s="10" t="s">
        <v>139</v>
      </c>
      <c r="C34" s="10" t="s">
        <v>1013</v>
      </c>
      <c r="D34" s="3" t="s">
        <v>140</v>
      </c>
      <c r="E34" s="3" t="s">
        <v>140</v>
      </c>
      <c r="F34" s="3" t="s">
        <v>141</v>
      </c>
      <c r="G34" s="3" t="s">
        <v>142</v>
      </c>
      <c r="H34" s="3" t="s">
        <v>14</v>
      </c>
      <c r="I34" s="3" t="s">
        <v>6</v>
      </c>
      <c r="J34" s="3" t="s">
        <v>15</v>
      </c>
      <c r="K34" s="3" t="s">
        <v>143</v>
      </c>
      <c r="L34" s="3"/>
      <c r="M34" s="3"/>
      <c r="N34" s="3" t="s">
        <v>22</v>
      </c>
      <c r="O34" s="3"/>
      <c r="P34" s="3"/>
      <c r="Q34" s="4">
        <v>46010</v>
      </c>
      <c r="R34" s="5">
        <v>2000</v>
      </c>
      <c r="S34" s="3">
        <v>84</v>
      </c>
      <c r="T34" s="3"/>
      <c r="U34" s="3">
        <v>0</v>
      </c>
      <c r="V34" s="3" t="s">
        <v>8</v>
      </c>
      <c r="W34" s="5">
        <v>655.49</v>
      </c>
      <c r="X34" s="5">
        <v>655.49</v>
      </c>
      <c r="Y34" s="5">
        <v>640.51</v>
      </c>
      <c r="Z34" s="3">
        <v>0</v>
      </c>
      <c r="AA34" s="3">
        <v>0</v>
      </c>
      <c r="AB34" s="5">
        <v>1951.49</v>
      </c>
    </row>
    <row r="35" spans="1:28" x14ac:dyDescent="0.25">
      <c r="A35">
        <v>28</v>
      </c>
      <c r="B35" s="10" t="s">
        <v>144</v>
      </c>
      <c r="C35" s="10" t="s">
        <v>1014</v>
      </c>
      <c r="D35" s="3" t="s">
        <v>145</v>
      </c>
      <c r="E35" s="3" t="s">
        <v>145</v>
      </c>
      <c r="F35" s="3" t="s">
        <v>146</v>
      </c>
      <c r="G35" s="3" t="s">
        <v>147</v>
      </c>
      <c r="H35" s="3" t="s">
        <v>14</v>
      </c>
      <c r="I35" s="3" t="s">
        <v>6</v>
      </c>
      <c r="J35" s="3" t="s">
        <v>15</v>
      </c>
      <c r="K35" s="3" t="s">
        <v>148</v>
      </c>
      <c r="L35" s="3"/>
      <c r="M35" s="3"/>
      <c r="N35" s="3" t="s">
        <v>22</v>
      </c>
      <c r="O35" s="3"/>
      <c r="P35" s="3"/>
      <c r="Q35" s="4">
        <v>45772</v>
      </c>
      <c r="R35" s="3">
        <v>0</v>
      </c>
      <c r="S35" s="3">
        <v>60</v>
      </c>
      <c r="T35" s="3"/>
      <c r="U35" s="3">
        <v>0</v>
      </c>
      <c r="V35" s="3" t="s">
        <v>8</v>
      </c>
      <c r="W35" s="5">
        <v>967.52</v>
      </c>
      <c r="X35" s="5">
        <v>857.11</v>
      </c>
      <c r="Y35" s="3">
        <v>0</v>
      </c>
      <c r="Z35" s="3">
        <v>0</v>
      </c>
      <c r="AA35" s="5">
        <v>0</v>
      </c>
      <c r="AB35" s="5">
        <f>SUM(W35:AA35)</f>
        <v>1824.63</v>
      </c>
    </row>
    <row r="36" spans="1:28" x14ac:dyDescent="0.25">
      <c r="A36">
        <v>29</v>
      </c>
      <c r="B36" s="10" t="s">
        <v>149</v>
      </c>
      <c r="C36" s="10" t="s">
        <v>1015</v>
      </c>
      <c r="D36" s="3" t="s">
        <v>150</v>
      </c>
      <c r="E36" s="3" t="s">
        <v>151</v>
      </c>
      <c r="F36" s="3"/>
      <c r="G36" s="3" t="s">
        <v>152</v>
      </c>
      <c r="H36" s="3" t="s">
        <v>14</v>
      </c>
      <c r="I36" s="3" t="s">
        <v>6</v>
      </c>
      <c r="J36" s="3"/>
      <c r="K36" s="3" t="s">
        <v>153</v>
      </c>
      <c r="L36" s="3"/>
      <c r="M36" s="3"/>
      <c r="N36" s="3" t="s">
        <v>22</v>
      </c>
      <c r="O36" s="3"/>
      <c r="P36" s="3"/>
      <c r="Q36" s="4">
        <v>46060</v>
      </c>
      <c r="R36" s="5">
        <v>13511</v>
      </c>
      <c r="S36" s="3">
        <v>79</v>
      </c>
      <c r="T36" s="3"/>
      <c r="U36" s="3">
        <v>0</v>
      </c>
      <c r="V36" s="3" t="s">
        <v>8</v>
      </c>
      <c r="W36" s="5">
        <v>13511</v>
      </c>
      <c r="X36" s="5">
        <v>13511</v>
      </c>
      <c r="Y36" s="3">
        <v>0</v>
      </c>
      <c r="Z36" s="3">
        <v>0</v>
      </c>
      <c r="AA36" s="3">
        <v>0</v>
      </c>
      <c r="AB36" s="5">
        <v>27022</v>
      </c>
    </row>
    <row r="37" spans="1:28" x14ac:dyDescent="0.25">
      <c r="A37">
        <v>30</v>
      </c>
      <c r="B37" s="10" t="s">
        <v>154</v>
      </c>
      <c r="C37" s="10" t="s">
        <v>1016</v>
      </c>
      <c r="D37" s="3" t="s">
        <v>155</v>
      </c>
      <c r="E37" s="3" t="s">
        <v>156</v>
      </c>
      <c r="F37" s="3" t="s">
        <v>157</v>
      </c>
      <c r="G37" s="3" t="s">
        <v>158</v>
      </c>
      <c r="H37" s="3" t="s">
        <v>14</v>
      </c>
      <c r="I37" s="3" t="s">
        <v>6</v>
      </c>
      <c r="J37" s="3"/>
      <c r="K37" s="3" t="s">
        <v>159</v>
      </c>
      <c r="L37" s="3"/>
      <c r="M37" s="3"/>
      <c r="N37" s="3" t="s">
        <v>22</v>
      </c>
      <c r="O37" s="3"/>
      <c r="P37" s="3"/>
      <c r="Q37" s="4">
        <v>46058</v>
      </c>
      <c r="R37" s="5">
        <v>6877</v>
      </c>
      <c r="S37" s="3">
        <v>89</v>
      </c>
      <c r="T37" s="3"/>
      <c r="U37" s="3">
        <v>0</v>
      </c>
      <c r="V37" s="3" t="s">
        <v>8</v>
      </c>
      <c r="W37" s="5">
        <v>10597.25</v>
      </c>
      <c r="X37" s="3">
        <v>0</v>
      </c>
      <c r="Y37" s="3">
        <v>0</v>
      </c>
      <c r="Z37" s="3">
        <v>0</v>
      </c>
      <c r="AA37" s="3">
        <v>0</v>
      </c>
      <c r="AB37" s="5">
        <v>10597.25</v>
      </c>
    </row>
    <row r="38" spans="1:28" x14ac:dyDescent="0.25">
      <c r="A38">
        <v>31</v>
      </c>
      <c r="B38" s="10" t="s">
        <v>160</v>
      </c>
      <c r="C38" s="10" t="s">
        <v>1017</v>
      </c>
      <c r="D38" s="3" t="s">
        <v>161</v>
      </c>
      <c r="E38" s="3" t="s">
        <v>161</v>
      </c>
      <c r="F38" s="3"/>
      <c r="G38" s="3" t="s">
        <v>162</v>
      </c>
      <c r="H38" s="3" t="s">
        <v>14</v>
      </c>
      <c r="I38" s="3" t="s">
        <v>6</v>
      </c>
      <c r="J38" s="3"/>
      <c r="K38" s="3" t="s">
        <v>163</v>
      </c>
      <c r="L38" s="3"/>
      <c r="M38" s="3"/>
      <c r="N38" s="3"/>
      <c r="O38" s="3"/>
      <c r="P38" s="3"/>
      <c r="Q38" s="4">
        <v>46081</v>
      </c>
      <c r="R38" s="5">
        <v>79.349999999999994</v>
      </c>
      <c r="S38" s="3">
        <v>28</v>
      </c>
      <c r="T38" s="3"/>
      <c r="U38" s="3">
        <v>0</v>
      </c>
      <c r="V38" s="3" t="s">
        <v>8</v>
      </c>
      <c r="W38" s="5">
        <v>1442.1</v>
      </c>
      <c r="X38" s="3">
        <v>0</v>
      </c>
      <c r="Y38" s="3">
        <v>0</v>
      </c>
      <c r="Z38" s="3">
        <v>0</v>
      </c>
      <c r="AA38" s="3">
        <v>0</v>
      </c>
      <c r="AB38" s="5">
        <v>1442.1</v>
      </c>
    </row>
    <row r="39" spans="1:28" x14ac:dyDescent="0.25">
      <c r="A39">
        <v>32</v>
      </c>
      <c r="B39" s="10">
        <v>1128</v>
      </c>
      <c r="C39" s="10"/>
      <c r="D39" s="3" t="s">
        <v>164</v>
      </c>
      <c r="E39" s="3" t="s">
        <v>165</v>
      </c>
      <c r="F39" s="3" t="s">
        <v>166</v>
      </c>
      <c r="G39" s="3" t="s">
        <v>167</v>
      </c>
      <c r="H39" s="3" t="s">
        <v>14</v>
      </c>
      <c r="I39" s="3" t="s">
        <v>168</v>
      </c>
      <c r="J39" s="3" t="s">
        <v>33</v>
      </c>
      <c r="K39" s="3" t="s">
        <v>169</v>
      </c>
      <c r="L39" s="3" t="s">
        <v>170</v>
      </c>
      <c r="M39" s="3"/>
      <c r="N39" s="3"/>
      <c r="O39" s="3"/>
      <c r="P39" s="3"/>
      <c r="Q39" s="4">
        <v>45933</v>
      </c>
      <c r="R39" s="5">
        <v>57221.7</v>
      </c>
      <c r="S39" s="3">
        <v>259</v>
      </c>
      <c r="T39" s="3"/>
      <c r="U39" s="3">
        <v>0</v>
      </c>
      <c r="V39" s="3" t="s">
        <v>8</v>
      </c>
      <c r="W39" s="3">
        <v>0</v>
      </c>
      <c r="X39" s="3">
        <v>0</v>
      </c>
      <c r="Y39" s="3">
        <v>0</v>
      </c>
      <c r="Z39" s="3">
        <v>0</v>
      </c>
      <c r="AA39" s="5">
        <v>87149.85</v>
      </c>
      <c r="AB39" s="5">
        <v>87149.85</v>
      </c>
    </row>
    <row r="40" spans="1:28" x14ac:dyDescent="0.25">
      <c r="A40">
        <v>33</v>
      </c>
      <c r="B40" s="10" t="s">
        <v>171</v>
      </c>
      <c r="C40" s="10" t="s">
        <v>1018</v>
      </c>
      <c r="D40" s="3" t="s">
        <v>172</v>
      </c>
      <c r="E40" s="3" t="s">
        <v>173</v>
      </c>
      <c r="F40" s="3" t="s">
        <v>174</v>
      </c>
      <c r="G40" s="3" t="s">
        <v>175</v>
      </c>
      <c r="H40" s="3" t="s">
        <v>14</v>
      </c>
      <c r="I40" s="3" t="s">
        <v>6</v>
      </c>
      <c r="J40" s="3" t="s">
        <v>15</v>
      </c>
      <c r="K40" s="3" t="s">
        <v>176</v>
      </c>
      <c r="L40" s="3"/>
      <c r="M40" s="3"/>
      <c r="N40" s="3"/>
      <c r="O40" s="3">
        <v>2059</v>
      </c>
      <c r="P40" s="3"/>
      <c r="Q40" s="4">
        <v>46081</v>
      </c>
      <c r="R40" s="5">
        <v>2005.36</v>
      </c>
      <c r="S40" s="3">
        <v>90</v>
      </c>
      <c r="T40" s="3"/>
      <c r="U40" s="3">
        <v>0</v>
      </c>
      <c r="V40" s="3" t="s">
        <v>8</v>
      </c>
      <c r="W40" s="5">
        <v>2005.36</v>
      </c>
      <c r="X40" s="3">
        <v>0</v>
      </c>
      <c r="Y40" s="3">
        <v>0</v>
      </c>
      <c r="Z40" s="3">
        <v>0</v>
      </c>
      <c r="AA40" s="3">
        <v>0</v>
      </c>
      <c r="AB40" s="5">
        <v>2005.36</v>
      </c>
    </row>
    <row r="41" spans="1:28" x14ac:dyDescent="0.25">
      <c r="A41">
        <v>34</v>
      </c>
      <c r="B41" s="10" t="s">
        <v>177</v>
      </c>
      <c r="C41" s="10" t="s">
        <v>1019</v>
      </c>
      <c r="D41" s="3" t="s">
        <v>178</v>
      </c>
      <c r="E41" s="3" t="s">
        <v>179</v>
      </c>
      <c r="F41" s="3" t="s">
        <v>180</v>
      </c>
      <c r="G41" s="3" t="s">
        <v>181</v>
      </c>
      <c r="H41" s="3" t="s">
        <v>14</v>
      </c>
      <c r="I41" s="3" t="s">
        <v>6</v>
      </c>
      <c r="J41" s="3" t="s">
        <v>15</v>
      </c>
      <c r="K41" s="3" t="s">
        <v>182</v>
      </c>
      <c r="L41" s="3"/>
      <c r="M41" s="3"/>
      <c r="N41" s="3"/>
      <c r="O41" s="3">
        <v>2051</v>
      </c>
      <c r="P41" s="3"/>
      <c r="Q41" s="4">
        <v>46081</v>
      </c>
      <c r="R41" s="5">
        <v>6204.14</v>
      </c>
      <c r="S41" s="3">
        <v>140</v>
      </c>
      <c r="T41" s="3"/>
      <c r="U41" s="3">
        <v>0</v>
      </c>
      <c r="V41" s="3" t="s">
        <v>8</v>
      </c>
      <c r="W41" s="5">
        <v>6204.14</v>
      </c>
      <c r="X41" s="3">
        <v>0</v>
      </c>
      <c r="Y41" s="3">
        <v>0.01</v>
      </c>
      <c r="Z41" s="3">
        <v>0</v>
      </c>
      <c r="AA41" s="5">
        <v>-0.01</v>
      </c>
      <c r="AB41" s="5">
        <v>6204.14</v>
      </c>
    </row>
    <row r="42" spans="1:28" x14ac:dyDescent="0.25">
      <c r="A42">
        <v>35</v>
      </c>
      <c r="B42" s="10">
        <v>1148</v>
      </c>
      <c r="C42" s="10"/>
      <c r="D42" s="3" t="s">
        <v>183</v>
      </c>
      <c r="E42" s="3" t="s">
        <v>183</v>
      </c>
      <c r="F42" s="3"/>
      <c r="G42" s="3" t="s">
        <v>184</v>
      </c>
      <c r="H42" s="3" t="s">
        <v>14</v>
      </c>
      <c r="I42" s="3" t="s">
        <v>6</v>
      </c>
      <c r="J42" s="3"/>
      <c r="K42" s="3" t="s">
        <v>185</v>
      </c>
      <c r="L42" s="3"/>
      <c r="M42" s="3"/>
      <c r="N42" s="3" t="s">
        <v>22</v>
      </c>
      <c r="O42" s="3"/>
      <c r="P42" s="3"/>
      <c r="Q42" s="4">
        <v>45971</v>
      </c>
      <c r="R42" s="5">
        <v>1984.74</v>
      </c>
      <c r="S42" s="3">
        <v>43</v>
      </c>
      <c r="T42" s="3"/>
      <c r="U42" s="3">
        <v>0</v>
      </c>
      <c r="V42" s="3" t="s">
        <v>8</v>
      </c>
      <c r="W42" s="5">
        <v>661.18</v>
      </c>
      <c r="X42" s="5">
        <v>660.38</v>
      </c>
      <c r="Y42" s="3">
        <v>0</v>
      </c>
      <c r="Z42" s="3">
        <v>0</v>
      </c>
      <c r="AA42" s="3">
        <v>0</v>
      </c>
      <c r="AB42" s="5">
        <v>1321.56</v>
      </c>
    </row>
    <row r="43" spans="1:28" x14ac:dyDescent="0.25">
      <c r="A43">
        <v>36</v>
      </c>
      <c r="B43" s="10" t="s">
        <v>186</v>
      </c>
      <c r="C43" s="10"/>
      <c r="D43" s="3" t="s">
        <v>187</v>
      </c>
      <c r="E43" s="3" t="s">
        <v>188</v>
      </c>
      <c r="F43" s="3" t="s">
        <v>189</v>
      </c>
      <c r="G43" s="3" t="s">
        <v>190</v>
      </c>
      <c r="H43" s="3" t="s">
        <v>14</v>
      </c>
      <c r="I43" s="3" t="s">
        <v>6</v>
      </c>
      <c r="J43" s="3"/>
      <c r="K43" s="3" t="s">
        <v>191</v>
      </c>
      <c r="L43" s="3"/>
      <c r="M43" s="3"/>
      <c r="N43" s="3" t="s">
        <v>22</v>
      </c>
      <c r="O43" s="3"/>
      <c r="P43" s="3"/>
      <c r="Q43" s="4">
        <v>46055</v>
      </c>
      <c r="R43" s="5">
        <v>30925.8</v>
      </c>
      <c r="S43" s="3">
        <v>28</v>
      </c>
      <c r="T43" s="3"/>
      <c r="U43" s="3">
        <v>0</v>
      </c>
      <c r="V43" s="3" t="s">
        <v>8</v>
      </c>
      <c r="W43" s="5">
        <v>1017.75</v>
      </c>
      <c r="X43" s="5">
        <v>1293.75</v>
      </c>
      <c r="Y43" s="3">
        <v>0</v>
      </c>
      <c r="Z43" s="3">
        <v>0</v>
      </c>
      <c r="AA43" s="3">
        <v>0</v>
      </c>
      <c r="AB43" s="5">
        <v>2311.5</v>
      </c>
    </row>
    <row r="44" spans="1:28" x14ac:dyDescent="0.25">
      <c r="A44">
        <v>37</v>
      </c>
      <c r="B44" s="10" t="s">
        <v>192</v>
      </c>
      <c r="C44" s="10" t="s">
        <v>1020</v>
      </c>
      <c r="D44" s="3" t="s">
        <v>193</v>
      </c>
      <c r="E44" s="3" t="s">
        <v>194</v>
      </c>
      <c r="F44" s="3"/>
      <c r="G44" s="3" t="s">
        <v>195</v>
      </c>
      <c r="H44" s="3" t="s">
        <v>14</v>
      </c>
      <c r="I44" s="3" t="s">
        <v>6</v>
      </c>
      <c r="J44" s="3"/>
      <c r="K44" s="3" t="s">
        <v>196</v>
      </c>
      <c r="L44" s="3"/>
      <c r="M44" s="3"/>
      <c r="N44" s="3" t="s">
        <v>22</v>
      </c>
      <c r="O44" s="3"/>
      <c r="P44" s="3"/>
      <c r="Q44" s="4">
        <v>46081</v>
      </c>
      <c r="R44" s="5">
        <v>6944.85</v>
      </c>
      <c r="S44" s="3">
        <v>293</v>
      </c>
      <c r="T44" s="3"/>
      <c r="U44" s="3">
        <v>0</v>
      </c>
      <c r="V44" s="3" t="s">
        <v>8</v>
      </c>
      <c r="W44" s="5">
        <v>6944.85</v>
      </c>
      <c r="X44" s="3">
        <v>0</v>
      </c>
      <c r="Y44" s="3">
        <v>0</v>
      </c>
      <c r="Z44" s="3">
        <v>0</v>
      </c>
      <c r="AA44" s="3">
        <v>0</v>
      </c>
      <c r="AB44" s="5">
        <v>6944.85</v>
      </c>
    </row>
    <row r="45" spans="1:28" x14ac:dyDescent="0.25">
      <c r="A45">
        <v>38</v>
      </c>
      <c r="B45" s="10" t="s">
        <v>197</v>
      </c>
      <c r="C45" s="10" t="s">
        <v>1021</v>
      </c>
      <c r="D45" s="3" t="s">
        <v>198</v>
      </c>
      <c r="E45" s="3" t="s">
        <v>199</v>
      </c>
      <c r="F45" s="6" t="s">
        <v>200</v>
      </c>
      <c r="G45" s="3" t="s">
        <v>201</v>
      </c>
      <c r="H45" s="3" t="s">
        <v>14</v>
      </c>
      <c r="I45" s="3" t="s">
        <v>6</v>
      </c>
      <c r="J45" s="3" t="s">
        <v>33</v>
      </c>
      <c r="K45" s="3" t="s">
        <v>202</v>
      </c>
      <c r="L45" s="3"/>
      <c r="M45" s="3"/>
      <c r="N45" s="3" t="s">
        <v>22</v>
      </c>
      <c r="O45" s="3"/>
      <c r="P45" s="3"/>
      <c r="Q45" s="4">
        <v>46081</v>
      </c>
      <c r="R45" s="5">
        <v>635.95000000000005</v>
      </c>
      <c r="S45" s="3">
        <v>48</v>
      </c>
      <c r="T45" s="3"/>
      <c r="U45" s="3">
        <v>0</v>
      </c>
      <c r="V45" s="3" t="s">
        <v>8</v>
      </c>
      <c r="W45" s="5">
        <v>635.95000000000005</v>
      </c>
      <c r="X45" s="3">
        <v>0</v>
      </c>
      <c r="Y45" s="3">
        <v>0</v>
      </c>
      <c r="Z45" s="3">
        <v>0</v>
      </c>
      <c r="AA45" s="3">
        <v>0</v>
      </c>
      <c r="AB45" s="5">
        <v>635.95000000000005</v>
      </c>
    </row>
    <row r="46" spans="1:28" x14ac:dyDescent="0.25">
      <c r="A46">
        <v>39</v>
      </c>
      <c r="B46" s="10" t="s">
        <v>203</v>
      </c>
      <c r="C46" s="10" t="s">
        <v>1022</v>
      </c>
      <c r="D46" s="3" t="s">
        <v>204</v>
      </c>
      <c r="E46" s="3" t="s">
        <v>30</v>
      </c>
      <c r="F46" s="3" t="s">
        <v>205</v>
      </c>
      <c r="G46" s="3" t="s">
        <v>206</v>
      </c>
      <c r="H46" s="3" t="s">
        <v>14</v>
      </c>
      <c r="I46" s="3" t="s">
        <v>6</v>
      </c>
      <c r="J46" s="3" t="s">
        <v>33</v>
      </c>
      <c r="K46" s="3" t="s">
        <v>207</v>
      </c>
      <c r="L46" s="3"/>
      <c r="M46" s="3"/>
      <c r="N46" s="3" t="s">
        <v>22</v>
      </c>
      <c r="O46" s="3"/>
      <c r="P46" s="3"/>
      <c r="Q46" s="4">
        <v>46080</v>
      </c>
      <c r="R46" s="5">
        <v>207361.1</v>
      </c>
      <c r="S46" s="3">
        <v>1653</v>
      </c>
      <c r="T46" s="3"/>
      <c r="U46" s="3">
        <v>0</v>
      </c>
      <c r="V46" s="3" t="s">
        <v>8</v>
      </c>
      <c r="W46" s="5">
        <v>66835.7</v>
      </c>
      <c r="X46" s="3">
        <v>213871.25</v>
      </c>
      <c r="Y46" s="3">
        <v>155649.04999999999</v>
      </c>
      <c r="Z46" s="46">
        <v>0</v>
      </c>
      <c r="AA46" s="3">
        <v>0</v>
      </c>
      <c r="AB46" s="5">
        <f>SUM(W46:AA46)</f>
        <v>436356</v>
      </c>
    </row>
    <row r="47" spans="1:28" x14ac:dyDescent="0.25">
      <c r="A47">
        <v>40</v>
      </c>
      <c r="B47" s="10" t="s">
        <v>208</v>
      </c>
      <c r="C47" s="10" t="s">
        <v>1023</v>
      </c>
      <c r="D47" s="3" t="s">
        <v>209</v>
      </c>
      <c r="E47" s="3" t="s">
        <v>210</v>
      </c>
      <c r="F47" s="3" t="s">
        <v>211</v>
      </c>
      <c r="G47" s="3" t="s">
        <v>212</v>
      </c>
      <c r="H47" s="3" t="s">
        <v>14</v>
      </c>
      <c r="I47" s="3" t="s">
        <v>6</v>
      </c>
      <c r="J47" s="3" t="s">
        <v>33</v>
      </c>
      <c r="K47" s="3" t="s">
        <v>213</v>
      </c>
      <c r="L47" s="3"/>
      <c r="M47" s="3"/>
      <c r="N47" s="3"/>
      <c r="O47" s="3">
        <v>7551</v>
      </c>
      <c r="P47" s="3"/>
      <c r="Q47" s="4">
        <v>46062</v>
      </c>
      <c r="R47" s="5">
        <v>99830.79</v>
      </c>
      <c r="S47" s="3">
        <v>176</v>
      </c>
      <c r="T47" s="3"/>
      <c r="U47" s="3">
        <v>0</v>
      </c>
      <c r="V47" s="3" t="s">
        <v>8</v>
      </c>
      <c r="W47" s="5">
        <v>151835.09</v>
      </c>
      <c r="X47" s="5">
        <v>134623.64000000001</v>
      </c>
      <c r="Y47" s="3">
        <v>0</v>
      </c>
      <c r="Z47" s="5">
        <v>4.5</v>
      </c>
      <c r="AA47" s="5">
        <v>1214.4000000000001</v>
      </c>
      <c r="AB47" s="5">
        <v>287677.63</v>
      </c>
    </row>
    <row r="48" spans="1:28" x14ac:dyDescent="0.25">
      <c r="A48">
        <v>41</v>
      </c>
      <c r="B48" s="10" t="s">
        <v>214</v>
      </c>
      <c r="C48" s="10" t="s">
        <v>1024</v>
      </c>
      <c r="D48" s="3" t="s">
        <v>215</v>
      </c>
      <c r="E48" s="3" t="s">
        <v>215</v>
      </c>
      <c r="F48" s="3"/>
      <c r="G48" s="3" t="s">
        <v>216</v>
      </c>
      <c r="H48" s="3" t="s">
        <v>14</v>
      </c>
      <c r="I48" s="3" t="s">
        <v>6</v>
      </c>
      <c r="J48" s="3" t="s">
        <v>15</v>
      </c>
      <c r="K48" s="3" t="s">
        <v>217</v>
      </c>
      <c r="L48" s="3"/>
      <c r="M48" s="3"/>
      <c r="N48" s="3" t="s">
        <v>22</v>
      </c>
      <c r="O48" s="3"/>
      <c r="P48" s="3"/>
      <c r="Q48" s="4">
        <v>46081</v>
      </c>
      <c r="R48" s="5">
        <v>1069.79</v>
      </c>
      <c r="S48" s="3">
        <v>52</v>
      </c>
      <c r="T48" s="3"/>
      <c r="U48" s="3">
        <v>0</v>
      </c>
      <c r="V48" s="3" t="s">
        <v>8</v>
      </c>
      <c r="W48" s="5">
        <v>1069.79</v>
      </c>
      <c r="X48" s="3">
        <v>0</v>
      </c>
      <c r="Y48" s="3">
        <v>0</v>
      </c>
      <c r="Z48" s="3">
        <v>0</v>
      </c>
      <c r="AA48" s="3">
        <v>0</v>
      </c>
      <c r="AB48" s="5">
        <v>1069.79</v>
      </c>
    </row>
    <row r="49" spans="1:28" x14ac:dyDescent="0.25">
      <c r="A49">
        <v>42</v>
      </c>
      <c r="B49" s="10" t="s">
        <v>218</v>
      </c>
      <c r="C49" s="10" t="s">
        <v>1025</v>
      </c>
      <c r="D49" s="3" t="s">
        <v>219</v>
      </c>
      <c r="E49" s="3" t="s">
        <v>220</v>
      </c>
      <c r="F49" s="3"/>
      <c r="G49" s="3" t="s">
        <v>221</v>
      </c>
      <c r="H49" s="3" t="s">
        <v>14</v>
      </c>
      <c r="I49" s="3" t="s">
        <v>6</v>
      </c>
      <c r="J49" s="3" t="s">
        <v>33</v>
      </c>
      <c r="K49" s="3" t="s">
        <v>222</v>
      </c>
      <c r="L49" s="3"/>
      <c r="M49" s="3"/>
      <c r="N49" s="3" t="s">
        <v>22</v>
      </c>
      <c r="O49" s="3" t="s">
        <v>223</v>
      </c>
      <c r="P49" s="3"/>
      <c r="Q49" s="4">
        <v>46073</v>
      </c>
      <c r="R49" s="5">
        <v>47606.7</v>
      </c>
      <c r="S49" s="3">
        <v>275</v>
      </c>
      <c r="T49" s="3"/>
      <c r="U49" s="3">
        <v>0</v>
      </c>
      <c r="V49" s="3" t="s">
        <v>8</v>
      </c>
      <c r="W49" s="5">
        <v>65518.91</v>
      </c>
      <c r="X49" s="3">
        <v>0.09</v>
      </c>
      <c r="Y49" s="3">
        <v>0</v>
      </c>
      <c r="Z49" s="3">
        <v>0</v>
      </c>
      <c r="AA49" s="3">
        <v>0</v>
      </c>
      <c r="AB49" s="5">
        <v>65519</v>
      </c>
    </row>
    <row r="50" spans="1:28" x14ac:dyDescent="0.25">
      <c r="A50">
        <v>43</v>
      </c>
      <c r="B50" s="10">
        <v>2272</v>
      </c>
      <c r="C50" s="10" t="s">
        <v>1027</v>
      </c>
      <c r="D50" s="3" t="s">
        <v>224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>
        <v>0</v>
      </c>
      <c r="S50" s="3">
        <v>31</v>
      </c>
      <c r="T50" s="3"/>
      <c r="U50" s="3">
        <v>0</v>
      </c>
      <c r="V50" s="3" t="s">
        <v>8</v>
      </c>
      <c r="W50" s="5">
        <v>8484.7000000000007</v>
      </c>
      <c r="X50" s="3">
        <v>0</v>
      </c>
      <c r="Y50" s="3">
        <v>0</v>
      </c>
      <c r="Z50" s="3">
        <v>0</v>
      </c>
      <c r="AA50" s="3">
        <v>0</v>
      </c>
      <c r="AB50" s="5">
        <v>8484.7000000000007</v>
      </c>
    </row>
    <row r="51" spans="1:28" x14ac:dyDescent="0.25">
      <c r="A51">
        <v>44</v>
      </c>
      <c r="B51" s="10" t="s">
        <v>225</v>
      </c>
      <c r="C51" s="10" t="s">
        <v>1026</v>
      </c>
      <c r="D51" s="3" t="s">
        <v>226</v>
      </c>
      <c r="E51" s="3" t="s">
        <v>227</v>
      </c>
      <c r="F51" s="3" t="s">
        <v>228</v>
      </c>
      <c r="G51" s="3" t="s">
        <v>229</v>
      </c>
      <c r="H51" s="3" t="s">
        <v>14</v>
      </c>
      <c r="I51" s="3" t="s">
        <v>6</v>
      </c>
      <c r="J51" s="3" t="s">
        <v>15</v>
      </c>
      <c r="K51" s="3" t="s">
        <v>230</v>
      </c>
      <c r="L51" s="3"/>
      <c r="M51" s="3"/>
      <c r="N51" s="3"/>
      <c r="O51" s="3">
        <v>1685</v>
      </c>
      <c r="P51" s="3"/>
      <c r="Q51" s="4">
        <v>46081</v>
      </c>
      <c r="R51" s="5">
        <v>1303.28</v>
      </c>
      <c r="S51" s="3">
        <v>206</v>
      </c>
      <c r="T51" s="3"/>
      <c r="U51" s="3">
        <v>0</v>
      </c>
      <c r="V51" s="3" t="s">
        <v>8</v>
      </c>
      <c r="W51" s="5">
        <v>1303.3699999999999</v>
      </c>
      <c r="X51" s="3">
        <v>0</v>
      </c>
      <c r="Y51" s="3">
        <v>0</v>
      </c>
      <c r="Z51" s="3">
        <v>0</v>
      </c>
      <c r="AA51" s="3">
        <v>0</v>
      </c>
      <c r="AB51" s="5">
        <f>SUM(W51:AA51)</f>
        <v>1303.3699999999999</v>
      </c>
    </row>
    <row r="52" spans="1:28" x14ac:dyDescent="0.25">
      <c r="A52">
        <v>45</v>
      </c>
      <c r="B52" s="10" t="s">
        <v>231</v>
      </c>
      <c r="C52" s="10"/>
      <c r="D52" s="3" t="s">
        <v>232</v>
      </c>
      <c r="E52" s="3" t="s">
        <v>233</v>
      </c>
      <c r="F52" s="3" t="s">
        <v>234</v>
      </c>
      <c r="G52" s="3" t="s">
        <v>235</v>
      </c>
      <c r="H52" s="3" t="s">
        <v>236</v>
      </c>
      <c r="I52" s="3" t="s">
        <v>6</v>
      </c>
      <c r="J52" s="3"/>
      <c r="K52" s="3" t="s">
        <v>237</v>
      </c>
      <c r="L52" s="3"/>
      <c r="M52" s="3"/>
      <c r="N52" s="3"/>
      <c r="O52" s="3"/>
      <c r="P52" s="3"/>
      <c r="Q52" s="3"/>
      <c r="R52" s="3">
        <v>0</v>
      </c>
      <c r="S52" s="3">
        <v>2901</v>
      </c>
      <c r="T52" s="3"/>
      <c r="U52" s="3">
        <v>0</v>
      </c>
      <c r="V52" s="3" t="s">
        <v>8</v>
      </c>
      <c r="W52" s="3">
        <v>0</v>
      </c>
      <c r="X52" s="3">
        <v>0</v>
      </c>
      <c r="Y52" s="3">
        <v>0</v>
      </c>
      <c r="Z52" s="3">
        <v>0</v>
      </c>
      <c r="AA52" s="5">
        <v>78856.67</v>
      </c>
      <c r="AB52" s="5">
        <v>78856.67</v>
      </c>
    </row>
    <row r="53" spans="1:28" x14ac:dyDescent="0.25">
      <c r="A53">
        <v>46</v>
      </c>
      <c r="B53" s="10" t="s">
        <v>238</v>
      </c>
      <c r="C53" s="10" t="s">
        <v>1028</v>
      </c>
      <c r="D53" s="3" t="s">
        <v>239</v>
      </c>
      <c r="E53" s="3" t="s">
        <v>240</v>
      </c>
      <c r="F53" s="3" t="s">
        <v>241</v>
      </c>
      <c r="G53" s="3" t="s">
        <v>242</v>
      </c>
      <c r="H53" s="3" t="s">
        <v>14</v>
      </c>
      <c r="I53" s="3" t="s">
        <v>6</v>
      </c>
      <c r="J53" s="3" t="s">
        <v>15</v>
      </c>
      <c r="K53" s="3" t="s">
        <v>243</v>
      </c>
      <c r="L53" s="3"/>
      <c r="M53" s="3"/>
      <c r="N53" s="3"/>
      <c r="O53" s="3">
        <v>1600</v>
      </c>
      <c r="P53" s="3"/>
      <c r="Q53" s="4">
        <v>46081</v>
      </c>
      <c r="R53" s="5">
        <v>1300.3699999999999</v>
      </c>
      <c r="S53" s="3">
        <v>62</v>
      </c>
      <c r="T53" s="3"/>
      <c r="U53" s="3">
        <v>0</v>
      </c>
      <c r="V53" s="3" t="s">
        <v>8</v>
      </c>
      <c r="W53" s="5">
        <v>1300.3699999999999</v>
      </c>
      <c r="X53" s="3">
        <v>0</v>
      </c>
      <c r="Y53" s="3">
        <v>0</v>
      </c>
      <c r="Z53" s="3">
        <v>0</v>
      </c>
      <c r="AA53" s="3">
        <v>0</v>
      </c>
      <c r="AB53" s="5">
        <v>1300.3699999999999</v>
      </c>
    </row>
    <row r="54" spans="1:28" x14ac:dyDescent="0.25">
      <c r="A54">
        <v>47</v>
      </c>
      <c r="B54" s="10" t="s">
        <v>244</v>
      </c>
      <c r="C54" s="10"/>
      <c r="D54" s="3" t="s">
        <v>245</v>
      </c>
      <c r="E54" s="3" t="s">
        <v>246</v>
      </c>
      <c r="F54" s="3" t="s">
        <v>247</v>
      </c>
      <c r="G54" s="3" t="s">
        <v>248</v>
      </c>
      <c r="H54" s="3" t="s">
        <v>249</v>
      </c>
      <c r="I54" s="3" t="s">
        <v>6</v>
      </c>
      <c r="J54" s="3" t="s">
        <v>15</v>
      </c>
      <c r="K54" s="3" t="s">
        <v>250</v>
      </c>
      <c r="L54" s="3"/>
      <c r="M54" s="3"/>
      <c r="N54" s="3"/>
      <c r="O54" s="3">
        <v>2310</v>
      </c>
      <c r="P54" s="3"/>
      <c r="Q54" s="4">
        <v>43645</v>
      </c>
      <c r="R54" s="5">
        <v>8618.0400000000009</v>
      </c>
      <c r="S54" s="3">
        <v>282</v>
      </c>
      <c r="T54" s="3"/>
      <c r="U54" s="3">
        <v>0</v>
      </c>
      <c r="V54" s="3" t="s">
        <v>8</v>
      </c>
      <c r="W54" s="3">
        <v>0</v>
      </c>
      <c r="X54" s="3">
        <v>0</v>
      </c>
      <c r="Y54" s="3">
        <v>0</v>
      </c>
      <c r="Z54" s="3">
        <v>0</v>
      </c>
      <c r="AA54" s="3">
        <v>0.01</v>
      </c>
      <c r="AB54" s="3">
        <v>0.01</v>
      </c>
    </row>
    <row r="55" spans="1:28" x14ac:dyDescent="0.25">
      <c r="A55">
        <v>48</v>
      </c>
      <c r="B55" s="10" t="s">
        <v>251</v>
      </c>
      <c r="C55" s="10" t="s">
        <v>1137</v>
      </c>
      <c r="D55" s="3" t="s">
        <v>252</v>
      </c>
      <c r="E55" s="3" t="s">
        <v>253</v>
      </c>
      <c r="F55" s="3" t="s">
        <v>254</v>
      </c>
      <c r="G55" s="3" t="s">
        <v>201</v>
      </c>
      <c r="H55" s="3" t="s">
        <v>14</v>
      </c>
      <c r="I55" s="3" t="s">
        <v>6</v>
      </c>
      <c r="J55" s="3" t="s">
        <v>33</v>
      </c>
      <c r="K55" s="3" t="s">
        <v>255</v>
      </c>
      <c r="L55" s="3"/>
      <c r="M55" s="3"/>
      <c r="N55" s="3"/>
      <c r="O55" s="3">
        <v>2037</v>
      </c>
      <c r="P55" s="3"/>
      <c r="Q55" s="4">
        <v>46080</v>
      </c>
      <c r="R55" s="5">
        <v>2255.15</v>
      </c>
      <c r="S55" s="3">
        <v>226</v>
      </c>
      <c r="T55" s="3"/>
      <c r="U55" s="3">
        <v>0</v>
      </c>
      <c r="V55" s="3" t="s">
        <v>8</v>
      </c>
      <c r="W55" s="5">
        <v>1785.95</v>
      </c>
      <c r="X55" s="3">
        <v>0</v>
      </c>
      <c r="Y55" s="3">
        <v>0</v>
      </c>
      <c r="Z55" s="3">
        <v>0</v>
      </c>
      <c r="AA55" s="3">
        <v>0</v>
      </c>
      <c r="AB55" s="5">
        <v>1785.95</v>
      </c>
    </row>
    <row r="56" spans="1:28" x14ac:dyDescent="0.25">
      <c r="A56">
        <v>49</v>
      </c>
      <c r="B56" s="10" t="s">
        <v>256</v>
      </c>
      <c r="C56" s="10" t="s">
        <v>1029</v>
      </c>
      <c r="D56" s="3" t="s">
        <v>257</v>
      </c>
      <c r="E56" s="3" t="s">
        <v>258</v>
      </c>
      <c r="F56" s="3" t="s">
        <v>259</v>
      </c>
      <c r="G56" s="3" t="s">
        <v>260</v>
      </c>
      <c r="H56" s="3" t="s">
        <v>14</v>
      </c>
      <c r="I56" s="3" t="s">
        <v>6</v>
      </c>
      <c r="J56" s="3"/>
      <c r="K56" s="3" t="s">
        <v>261</v>
      </c>
      <c r="L56" s="3"/>
      <c r="M56" s="3"/>
      <c r="N56" s="3"/>
      <c r="O56" s="3">
        <v>1630</v>
      </c>
      <c r="P56" s="3"/>
      <c r="Q56" s="4">
        <v>46064</v>
      </c>
      <c r="R56" s="5">
        <v>1320.2</v>
      </c>
      <c r="S56" s="3">
        <v>818</v>
      </c>
      <c r="T56" s="3"/>
      <c r="U56" s="3">
        <v>0</v>
      </c>
      <c r="V56" s="3" t="s">
        <v>8</v>
      </c>
      <c r="W56" s="5">
        <v>182005.46</v>
      </c>
      <c r="X56" s="5">
        <v>168267.56</v>
      </c>
      <c r="Y56" s="3">
        <v>0</v>
      </c>
      <c r="Z56" s="3">
        <v>0</v>
      </c>
      <c r="AA56" s="3">
        <v>0</v>
      </c>
      <c r="AB56" s="5">
        <v>350273.02</v>
      </c>
    </row>
    <row r="57" spans="1:28" x14ac:dyDescent="0.25">
      <c r="A57">
        <v>50</v>
      </c>
      <c r="B57" s="10" t="s">
        <v>262</v>
      </c>
      <c r="C57" s="10" t="s">
        <v>1030</v>
      </c>
      <c r="D57" s="3" t="s">
        <v>263</v>
      </c>
      <c r="E57" s="3" t="s">
        <v>264</v>
      </c>
      <c r="F57" s="3" t="s">
        <v>265</v>
      </c>
      <c r="G57" s="3" t="s">
        <v>266</v>
      </c>
      <c r="H57" s="3" t="s">
        <v>14</v>
      </c>
      <c r="I57" s="3" t="s">
        <v>6</v>
      </c>
      <c r="J57" s="3" t="s">
        <v>15</v>
      </c>
      <c r="K57" s="3" t="s">
        <v>267</v>
      </c>
      <c r="L57" s="3"/>
      <c r="M57" s="3"/>
      <c r="N57" s="3" t="s">
        <v>22</v>
      </c>
      <c r="O57" s="3"/>
      <c r="P57" s="3"/>
      <c r="Q57" s="4">
        <v>46081</v>
      </c>
      <c r="R57" s="5">
        <v>10832.23</v>
      </c>
      <c r="S57" s="3">
        <v>202</v>
      </c>
      <c r="T57" s="3"/>
      <c r="U57" s="3">
        <v>0</v>
      </c>
      <c r="V57" s="3" t="s">
        <v>8</v>
      </c>
      <c r="W57" s="5">
        <v>10832.23</v>
      </c>
      <c r="X57" s="3">
        <v>0</v>
      </c>
      <c r="Y57" s="3">
        <v>0</v>
      </c>
      <c r="Z57" s="3">
        <v>0</v>
      </c>
      <c r="AA57" s="3">
        <v>0</v>
      </c>
      <c r="AB57" s="5">
        <v>10832.23</v>
      </c>
    </row>
    <row r="58" spans="1:28" x14ac:dyDescent="0.25">
      <c r="A58">
        <v>51</v>
      </c>
      <c r="B58" s="10" t="s">
        <v>268</v>
      </c>
      <c r="C58" s="10"/>
      <c r="D58" s="3" t="s">
        <v>269</v>
      </c>
      <c r="E58" s="3" t="s">
        <v>270</v>
      </c>
      <c r="F58" s="3" t="s">
        <v>271</v>
      </c>
      <c r="G58" s="3" t="s">
        <v>272</v>
      </c>
      <c r="H58" s="3" t="s">
        <v>14</v>
      </c>
      <c r="I58" s="3" t="s">
        <v>6</v>
      </c>
      <c r="J58" s="3"/>
      <c r="K58" s="3" t="s">
        <v>273</v>
      </c>
      <c r="L58" s="3"/>
      <c r="M58" s="3" t="s">
        <v>69</v>
      </c>
      <c r="N58" s="3" t="s">
        <v>22</v>
      </c>
      <c r="O58" s="3"/>
      <c r="P58" s="3"/>
      <c r="Q58" s="4">
        <v>46053</v>
      </c>
      <c r="R58" s="5">
        <v>484.15</v>
      </c>
      <c r="S58" s="3">
        <v>62</v>
      </c>
      <c r="T58" s="3"/>
      <c r="U58" s="3">
        <v>0</v>
      </c>
      <c r="V58" s="3" t="s">
        <v>8</v>
      </c>
      <c r="W58" s="3">
        <v>0</v>
      </c>
      <c r="X58" s="5">
        <v>-279.45</v>
      </c>
      <c r="Y58" s="3">
        <v>0</v>
      </c>
      <c r="Z58" s="3">
        <v>0</v>
      </c>
      <c r="AA58" s="3">
        <v>0</v>
      </c>
      <c r="AB58" s="5">
        <v>-279.45</v>
      </c>
    </row>
    <row r="59" spans="1:28" x14ac:dyDescent="0.25">
      <c r="A59">
        <v>52</v>
      </c>
      <c r="B59" s="10" t="s">
        <v>274</v>
      </c>
      <c r="C59" s="10" t="s">
        <v>1031</v>
      </c>
      <c r="D59" s="3" t="s">
        <v>275</v>
      </c>
      <c r="E59" s="3" t="s">
        <v>276</v>
      </c>
      <c r="F59" s="3" t="s">
        <v>277</v>
      </c>
      <c r="G59" s="3" t="s">
        <v>278</v>
      </c>
      <c r="H59" s="3" t="s">
        <v>14</v>
      </c>
      <c r="I59" s="3" t="s">
        <v>6</v>
      </c>
      <c r="J59" s="3" t="s">
        <v>15</v>
      </c>
      <c r="K59" s="3" t="s">
        <v>279</v>
      </c>
      <c r="L59" s="3" t="s">
        <v>76</v>
      </c>
      <c r="M59" s="3" t="s">
        <v>69</v>
      </c>
      <c r="N59" s="3" t="s">
        <v>22</v>
      </c>
      <c r="O59" s="3">
        <v>2123</v>
      </c>
      <c r="P59" s="3"/>
      <c r="Q59" s="4">
        <v>46081</v>
      </c>
      <c r="R59" s="5">
        <v>126.17</v>
      </c>
      <c r="S59" s="3">
        <v>108</v>
      </c>
      <c r="T59" s="3"/>
      <c r="U59" s="3">
        <v>0</v>
      </c>
      <c r="V59" s="3" t="s">
        <v>8</v>
      </c>
      <c r="W59" s="5">
        <v>126.17</v>
      </c>
      <c r="X59" s="3">
        <v>0</v>
      </c>
      <c r="Y59" s="3">
        <v>0</v>
      </c>
      <c r="Z59" s="3">
        <v>0</v>
      </c>
      <c r="AA59" s="3">
        <v>0</v>
      </c>
      <c r="AB59" s="5">
        <v>126.17</v>
      </c>
    </row>
    <row r="60" spans="1:28" x14ac:dyDescent="0.25">
      <c r="A60">
        <v>53</v>
      </c>
      <c r="B60" s="10" t="s">
        <v>280</v>
      </c>
      <c r="C60" s="10" t="s">
        <v>1032</v>
      </c>
      <c r="D60" s="3" t="s">
        <v>281</v>
      </c>
      <c r="E60" s="3" t="s">
        <v>282</v>
      </c>
      <c r="F60" s="3" t="s">
        <v>283</v>
      </c>
      <c r="G60" s="3" t="s">
        <v>284</v>
      </c>
      <c r="H60" s="3" t="s">
        <v>14</v>
      </c>
      <c r="I60" s="3" t="s">
        <v>6</v>
      </c>
      <c r="J60" s="3" t="s">
        <v>15</v>
      </c>
      <c r="K60" s="3" t="s">
        <v>285</v>
      </c>
      <c r="L60" s="3"/>
      <c r="M60" s="3"/>
      <c r="N60" s="3"/>
      <c r="O60" s="3">
        <v>2192</v>
      </c>
      <c r="P60" s="3"/>
      <c r="Q60" s="4">
        <v>46081</v>
      </c>
      <c r="R60" s="5">
        <v>358.11</v>
      </c>
      <c r="S60" s="3">
        <v>108</v>
      </c>
      <c r="T60" s="3"/>
      <c r="U60" s="3">
        <v>0</v>
      </c>
      <c r="V60" s="3" t="s">
        <v>8</v>
      </c>
      <c r="W60" s="5">
        <v>358.11</v>
      </c>
      <c r="X60" s="3">
        <v>0</v>
      </c>
      <c r="Y60" s="3">
        <v>0</v>
      </c>
      <c r="Z60" s="3">
        <v>0</v>
      </c>
      <c r="AA60" s="3">
        <v>0</v>
      </c>
      <c r="AB60" s="5">
        <v>358.11</v>
      </c>
    </row>
    <row r="61" spans="1:28" x14ac:dyDescent="0.25">
      <c r="A61">
        <v>54</v>
      </c>
      <c r="B61" s="10" t="s">
        <v>286</v>
      </c>
      <c r="C61" s="10" t="s">
        <v>1034</v>
      </c>
      <c r="D61" s="3" t="s">
        <v>287</v>
      </c>
      <c r="E61" s="3" t="s">
        <v>288</v>
      </c>
      <c r="F61" s="3" t="s">
        <v>289</v>
      </c>
      <c r="G61" s="3" t="s">
        <v>290</v>
      </c>
      <c r="H61" s="3" t="s">
        <v>14</v>
      </c>
      <c r="I61" s="3" t="s">
        <v>6</v>
      </c>
      <c r="J61" s="3" t="s">
        <v>15</v>
      </c>
      <c r="K61" s="3" t="s">
        <v>291</v>
      </c>
      <c r="L61" s="3"/>
      <c r="M61" s="3"/>
      <c r="N61" s="3"/>
      <c r="O61" s="3">
        <v>1504</v>
      </c>
      <c r="P61" s="3"/>
      <c r="Q61" s="4">
        <v>46081</v>
      </c>
      <c r="R61" s="5">
        <v>70687.3</v>
      </c>
      <c r="S61" s="3">
        <v>429</v>
      </c>
      <c r="T61" s="3" t="s">
        <v>292</v>
      </c>
      <c r="U61" s="3">
        <v>0</v>
      </c>
      <c r="V61" s="3" t="s">
        <v>8</v>
      </c>
      <c r="W61" s="5">
        <v>1610</v>
      </c>
      <c r="X61" s="3">
        <v>0</v>
      </c>
      <c r="Y61" s="3">
        <v>0</v>
      </c>
      <c r="Z61" s="3">
        <v>0</v>
      </c>
      <c r="AA61" s="3">
        <v>0</v>
      </c>
      <c r="AB61" s="5">
        <v>1610</v>
      </c>
    </row>
    <row r="62" spans="1:28" x14ac:dyDescent="0.25">
      <c r="A62">
        <v>55</v>
      </c>
      <c r="B62" s="10" t="s">
        <v>293</v>
      </c>
      <c r="C62" s="10" t="s">
        <v>1033</v>
      </c>
      <c r="D62" s="3" t="s">
        <v>294</v>
      </c>
      <c r="E62" s="3" t="s">
        <v>295</v>
      </c>
      <c r="F62" s="6" t="s">
        <v>296</v>
      </c>
      <c r="G62" s="3" t="s">
        <v>297</v>
      </c>
      <c r="H62" s="3" t="s">
        <v>14</v>
      </c>
      <c r="I62" s="3" t="s">
        <v>6</v>
      </c>
      <c r="J62" s="3" t="s">
        <v>15</v>
      </c>
      <c r="K62" s="3" t="s">
        <v>298</v>
      </c>
      <c r="L62" s="3"/>
      <c r="M62" s="3"/>
      <c r="N62" s="3" t="s">
        <v>22</v>
      </c>
      <c r="O62" s="3"/>
      <c r="P62" s="3"/>
      <c r="Q62" s="4">
        <v>46052</v>
      </c>
      <c r="R62" s="5">
        <v>2012.5</v>
      </c>
      <c r="S62" s="3">
        <v>32</v>
      </c>
      <c r="T62" s="3"/>
      <c r="U62" s="3">
        <v>0</v>
      </c>
      <c r="V62" s="3" t="s">
        <v>8</v>
      </c>
      <c r="W62" s="5">
        <v>2012.5</v>
      </c>
      <c r="X62" s="3">
        <v>0</v>
      </c>
      <c r="Y62" s="3">
        <v>0</v>
      </c>
      <c r="Z62" s="3">
        <v>0</v>
      </c>
      <c r="AA62" s="3">
        <v>0</v>
      </c>
      <c r="AB62" s="5">
        <v>2012.5</v>
      </c>
    </row>
    <row r="63" spans="1:28" x14ac:dyDescent="0.25">
      <c r="A63">
        <v>56</v>
      </c>
      <c r="B63" s="10" t="s">
        <v>299</v>
      </c>
      <c r="C63" s="10" t="s">
        <v>1035</v>
      </c>
      <c r="D63" s="3" t="s">
        <v>300</v>
      </c>
      <c r="E63" s="3" t="s">
        <v>301</v>
      </c>
      <c r="F63" s="3" t="s">
        <v>302</v>
      </c>
      <c r="G63" s="3" t="s">
        <v>303</v>
      </c>
      <c r="H63" s="3" t="s">
        <v>14</v>
      </c>
      <c r="I63" s="3" t="s">
        <v>6</v>
      </c>
      <c r="J63" s="3" t="s">
        <v>15</v>
      </c>
      <c r="K63" s="3" t="s">
        <v>304</v>
      </c>
      <c r="L63" s="3"/>
      <c r="M63" s="3"/>
      <c r="N63" s="3"/>
      <c r="O63" s="6" t="s">
        <v>305</v>
      </c>
      <c r="P63" s="3"/>
      <c r="Q63" s="4">
        <v>46081</v>
      </c>
      <c r="R63" s="5">
        <v>230.15</v>
      </c>
      <c r="S63" s="3">
        <v>40</v>
      </c>
      <c r="T63" s="3"/>
      <c r="U63" s="3">
        <v>0</v>
      </c>
      <c r="V63" s="3" t="s">
        <v>8</v>
      </c>
      <c r="W63" s="5">
        <v>230.35</v>
      </c>
      <c r="X63" s="3">
        <v>0</v>
      </c>
      <c r="Y63" s="3">
        <v>0</v>
      </c>
      <c r="Z63" s="3">
        <v>0</v>
      </c>
      <c r="AA63" s="3">
        <v>0</v>
      </c>
      <c r="AB63" s="5">
        <v>230.35</v>
      </c>
    </row>
    <row r="64" spans="1:28" x14ac:dyDescent="0.25">
      <c r="A64">
        <v>57</v>
      </c>
      <c r="B64" s="10" t="s">
        <v>306</v>
      </c>
      <c r="C64" s="10" t="s">
        <v>1036</v>
      </c>
      <c r="D64" s="3" t="s">
        <v>307</v>
      </c>
      <c r="E64" s="3" t="s">
        <v>308</v>
      </c>
      <c r="F64" s="3" t="s">
        <v>309</v>
      </c>
      <c r="G64" s="3" t="s">
        <v>310</v>
      </c>
      <c r="H64" s="3" t="s">
        <v>14</v>
      </c>
      <c r="I64" s="3" t="s">
        <v>6</v>
      </c>
      <c r="J64" s="3"/>
      <c r="K64" s="3" t="s">
        <v>311</v>
      </c>
      <c r="L64" s="3"/>
      <c r="M64" s="3"/>
      <c r="N64" s="3" t="s">
        <v>22</v>
      </c>
      <c r="O64" s="3"/>
      <c r="P64" s="3"/>
      <c r="Q64" s="4">
        <v>46081</v>
      </c>
      <c r="R64" s="5">
        <v>94.48</v>
      </c>
      <c r="S64" s="3">
        <v>43</v>
      </c>
      <c r="T64" s="3"/>
      <c r="U64" s="3">
        <v>0</v>
      </c>
      <c r="V64" s="3" t="s">
        <v>8</v>
      </c>
      <c r="W64" s="5">
        <v>94.48</v>
      </c>
      <c r="X64" s="3">
        <v>0</v>
      </c>
      <c r="Y64" s="3">
        <v>0</v>
      </c>
      <c r="Z64" s="3">
        <v>0</v>
      </c>
      <c r="AA64" s="3">
        <v>0</v>
      </c>
      <c r="AB64" s="5">
        <v>94.48</v>
      </c>
    </row>
    <row r="65" spans="1:28" x14ac:dyDescent="0.25">
      <c r="A65">
        <v>58</v>
      </c>
      <c r="B65" s="10" t="s">
        <v>312</v>
      </c>
      <c r="C65" s="10" t="s">
        <v>1037</v>
      </c>
      <c r="D65" s="3" t="s">
        <v>313</v>
      </c>
      <c r="E65" s="3" t="s">
        <v>314</v>
      </c>
      <c r="F65" s="3" t="s">
        <v>315</v>
      </c>
      <c r="G65" s="3" t="s">
        <v>316</v>
      </c>
      <c r="H65" s="3" t="s">
        <v>14</v>
      </c>
      <c r="I65" s="3" t="s">
        <v>6</v>
      </c>
      <c r="J65" s="3"/>
      <c r="K65" s="3" t="s">
        <v>317</v>
      </c>
      <c r="L65" s="3"/>
      <c r="M65" s="3"/>
      <c r="N65" s="3"/>
      <c r="O65" s="3">
        <v>1540</v>
      </c>
      <c r="P65" s="3"/>
      <c r="Q65" s="4">
        <v>46081</v>
      </c>
      <c r="R65" s="5">
        <v>2493.9699999999998</v>
      </c>
      <c r="S65" s="3">
        <v>128</v>
      </c>
      <c r="T65" s="3" t="s">
        <v>318</v>
      </c>
      <c r="U65" s="3">
        <v>0</v>
      </c>
      <c r="V65" s="3" t="s">
        <v>8</v>
      </c>
      <c r="W65" s="5">
        <v>2493.9699999999998</v>
      </c>
      <c r="X65" s="3">
        <v>0</v>
      </c>
      <c r="Y65" s="3">
        <v>0</v>
      </c>
      <c r="Z65" s="3">
        <v>0</v>
      </c>
      <c r="AA65" s="3">
        <v>0</v>
      </c>
      <c r="AB65" s="5">
        <v>2493.9699999999998</v>
      </c>
    </row>
    <row r="66" spans="1:28" x14ac:dyDescent="0.25">
      <c r="A66">
        <v>59</v>
      </c>
      <c r="B66" s="10">
        <v>1091</v>
      </c>
      <c r="C66" s="10"/>
      <c r="D66" s="3" t="s">
        <v>319</v>
      </c>
      <c r="E66" s="3" t="s">
        <v>319</v>
      </c>
      <c r="F66" s="3" t="s">
        <v>320</v>
      </c>
      <c r="G66" s="3" t="s">
        <v>321</v>
      </c>
      <c r="H66" s="3" t="s">
        <v>14</v>
      </c>
      <c r="I66" s="3" t="s">
        <v>6</v>
      </c>
      <c r="J66" s="3"/>
      <c r="K66" s="3" t="s">
        <v>322</v>
      </c>
      <c r="L66" s="3"/>
      <c r="M66" s="3"/>
      <c r="N66" s="3" t="s">
        <v>22</v>
      </c>
      <c r="O66" s="3"/>
      <c r="P66" s="3"/>
      <c r="Q66" s="4">
        <v>46081</v>
      </c>
      <c r="R66" s="5">
        <v>126.72</v>
      </c>
      <c r="S66" s="3">
        <v>42</v>
      </c>
      <c r="T66" s="3"/>
      <c r="U66" s="3">
        <v>0</v>
      </c>
      <c r="V66" s="3" t="s">
        <v>8</v>
      </c>
      <c r="W66" s="5">
        <v>126.72</v>
      </c>
      <c r="X66" s="3">
        <v>0</v>
      </c>
      <c r="Y66" s="3">
        <v>0</v>
      </c>
      <c r="Z66" s="3">
        <v>0</v>
      </c>
      <c r="AA66" s="3">
        <v>0</v>
      </c>
      <c r="AB66" s="5">
        <v>126.72</v>
      </c>
    </row>
    <row r="67" spans="1:28" x14ac:dyDescent="0.25">
      <c r="A67">
        <v>60</v>
      </c>
      <c r="B67" s="10" t="s">
        <v>323</v>
      </c>
      <c r="C67" s="10"/>
      <c r="D67" s="3" t="s">
        <v>324</v>
      </c>
      <c r="E67" s="3" t="s">
        <v>325</v>
      </c>
      <c r="F67" s="3" t="s">
        <v>326</v>
      </c>
      <c r="G67" s="3" t="s">
        <v>327</v>
      </c>
      <c r="H67" s="3" t="s">
        <v>328</v>
      </c>
      <c r="I67" s="3" t="s">
        <v>6</v>
      </c>
      <c r="J67" s="3" t="s">
        <v>33</v>
      </c>
      <c r="K67" s="3" t="s">
        <v>329</v>
      </c>
      <c r="L67" s="3"/>
      <c r="M67" s="3"/>
      <c r="N67" s="3"/>
      <c r="O67" s="3">
        <v>8300</v>
      </c>
      <c r="P67" s="3"/>
      <c r="Q67" s="4">
        <v>43364</v>
      </c>
      <c r="R67" s="5">
        <v>40097.620000000003</v>
      </c>
      <c r="S67" s="3">
        <v>1635</v>
      </c>
      <c r="T67" s="3"/>
      <c r="U67" s="3">
        <v>0</v>
      </c>
      <c r="V67" s="3" t="s">
        <v>8</v>
      </c>
      <c r="W67" s="3">
        <v>0</v>
      </c>
      <c r="X67" s="3">
        <v>0</v>
      </c>
      <c r="Y67" s="3">
        <v>0</v>
      </c>
      <c r="Z67" s="3">
        <v>0</v>
      </c>
      <c r="AA67" s="3">
        <v>0.02</v>
      </c>
      <c r="AB67" s="3">
        <v>0.02</v>
      </c>
    </row>
    <row r="68" spans="1:28" x14ac:dyDescent="0.25">
      <c r="A68">
        <v>61</v>
      </c>
      <c r="B68" s="10" t="s">
        <v>330</v>
      </c>
      <c r="C68" s="10" t="s">
        <v>1038</v>
      </c>
      <c r="D68" s="3" t="s">
        <v>331</v>
      </c>
      <c r="E68" s="3" t="s">
        <v>332</v>
      </c>
      <c r="F68" s="3" t="s">
        <v>333</v>
      </c>
      <c r="G68" s="3" t="s">
        <v>334</v>
      </c>
      <c r="H68" s="3" t="s">
        <v>14</v>
      </c>
      <c r="I68" s="3" t="s">
        <v>6</v>
      </c>
      <c r="J68" s="3" t="s">
        <v>15</v>
      </c>
      <c r="K68" s="3" t="s">
        <v>335</v>
      </c>
      <c r="L68" s="3"/>
      <c r="M68" s="3"/>
      <c r="N68" s="3"/>
      <c r="O68" s="3">
        <v>2041</v>
      </c>
      <c r="P68" s="3"/>
      <c r="Q68" s="4">
        <v>46081</v>
      </c>
      <c r="R68" s="5">
        <v>139.1</v>
      </c>
      <c r="S68" s="3">
        <v>148</v>
      </c>
      <c r="T68" s="3"/>
      <c r="U68" s="3">
        <v>0</v>
      </c>
      <c r="V68" s="3" t="s">
        <v>8</v>
      </c>
      <c r="W68" s="5">
        <v>139.1</v>
      </c>
      <c r="X68" s="3">
        <v>0</v>
      </c>
      <c r="Y68" s="3">
        <v>0</v>
      </c>
      <c r="Z68" s="3">
        <v>0</v>
      </c>
      <c r="AA68" s="3">
        <v>0</v>
      </c>
      <c r="AB68" s="5">
        <v>139.1</v>
      </c>
    </row>
    <row r="69" spans="1:28" x14ac:dyDescent="0.25">
      <c r="A69">
        <v>62</v>
      </c>
      <c r="B69" s="10" t="s">
        <v>336</v>
      </c>
      <c r="C69" s="10" t="s">
        <v>1039</v>
      </c>
      <c r="D69" s="3" t="s">
        <v>337</v>
      </c>
      <c r="E69" s="3" t="s">
        <v>338</v>
      </c>
      <c r="F69" s="3" t="s">
        <v>339</v>
      </c>
      <c r="G69" s="3"/>
      <c r="H69" s="3" t="s">
        <v>14</v>
      </c>
      <c r="I69" s="3" t="s">
        <v>6</v>
      </c>
      <c r="J69" s="3" t="s">
        <v>33</v>
      </c>
      <c r="K69" s="3" t="s">
        <v>340</v>
      </c>
      <c r="L69" s="3"/>
      <c r="M69" s="3"/>
      <c r="N69" s="3"/>
      <c r="O69" s="3">
        <v>1508</v>
      </c>
      <c r="P69" s="3"/>
      <c r="Q69" s="4">
        <v>46059</v>
      </c>
      <c r="R69" s="5">
        <v>411032.32000000001</v>
      </c>
      <c r="S69" s="3">
        <v>547</v>
      </c>
      <c r="T69" s="3"/>
      <c r="U69" s="3">
        <v>0</v>
      </c>
      <c r="V69" s="3" t="s">
        <v>8</v>
      </c>
      <c r="W69" s="5">
        <v>414083.61</v>
      </c>
      <c r="X69" s="3">
        <v>0</v>
      </c>
      <c r="Y69" s="3">
        <v>0</v>
      </c>
      <c r="Z69" s="3">
        <v>0.02</v>
      </c>
      <c r="AA69" s="5">
        <v>19676.48</v>
      </c>
      <c r="AB69" s="5">
        <v>433760.11</v>
      </c>
    </row>
    <row r="70" spans="1:28" x14ac:dyDescent="0.25">
      <c r="A70">
        <v>63</v>
      </c>
      <c r="B70" s="10" t="s">
        <v>341</v>
      </c>
      <c r="C70" s="10" t="s">
        <v>1040</v>
      </c>
      <c r="D70" s="3" t="s">
        <v>342</v>
      </c>
      <c r="E70" s="3" t="s">
        <v>343</v>
      </c>
      <c r="F70" s="6" t="s">
        <v>344</v>
      </c>
      <c r="G70" s="3" t="s">
        <v>345</v>
      </c>
      <c r="H70" s="3" t="s">
        <v>14</v>
      </c>
      <c r="I70" s="3" t="s">
        <v>6</v>
      </c>
      <c r="J70" s="3" t="s">
        <v>33</v>
      </c>
      <c r="K70" s="3" t="s">
        <v>346</v>
      </c>
      <c r="L70" s="3"/>
      <c r="M70" s="3"/>
      <c r="N70" s="3" t="s">
        <v>22</v>
      </c>
      <c r="O70" s="3"/>
      <c r="P70" s="3"/>
      <c r="Q70" s="4">
        <v>46015</v>
      </c>
      <c r="R70" s="5">
        <v>9136.5499999999993</v>
      </c>
      <c r="S70" s="3">
        <v>376</v>
      </c>
      <c r="T70" s="3"/>
      <c r="U70" s="3">
        <v>0</v>
      </c>
      <c r="V70" s="3" t="s">
        <v>8</v>
      </c>
      <c r="W70" s="5">
        <v>17275.78</v>
      </c>
      <c r="X70" s="5">
        <v>17460.96</v>
      </c>
      <c r="Y70" s="5">
        <v>16472.599999999999</v>
      </c>
      <c r="Z70" s="5">
        <v>16472.599999999999</v>
      </c>
      <c r="AA70" s="5">
        <v>45682.8</v>
      </c>
      <c r="AB70" s="5">
        <v>113364.74</v>
      </c>
    </row>
    <row r="71" spans="1:28" x14ac:dyDescent="0.25">
      <c r="A71">
        <v>64</v>
      </c>
      <c r="B71" s="10" t="s">
        <v>347</v>
      </c>
      <c r="C71" s="10" t="s">
        <v>1041</v>
      </c>
      <c r="D71" s="3" t="s">
        <v>348</v>
      </c>
      <c r="E71" s="3" t="s">
        <v>349</v>
      </c>
      <c r="F71" s="3" t="s">
        <v>350</v>
      </c>
      <c r="G71" s="3" t="s">
        <v>351</v>
      </c>
      <c r="H71" s="3" t="s">
        <v>14</v>
      </c>
      <c r="I71" s="3" t="s">
        <v>6</v>
      </c>
      <c r="J71" s="3"/>
      <c r="K71" s="3" t="s">
        <v>352</v>
      </c>
      <c r="L71" s="3"/>
      <c r="M71" s="3"/>
      <c r="N71" s="3" t="s">
        <v>22</v>
      </c>
      <c r="O71" s="3"/>
      <c r="P71" s="3"/>
      <c r="Q71" s="4">
        <v>46081</v>
      </c>
      <c r="R71" s="5">
        <v>2697.9</v>
      </c>
      <c r="S71" s="3">
        <v>30</v>
      </c>
      <c r="T71" s="3"/>
      <c r="U71" s="3">
        <v>0</v>
      </c>
      <c r="V71" s="3" t="s">
        <v>8</v>
      </c>
      <c r="W71" s="5">
        <v>-172.12</v>
      </c>
      <c r="X71" s="3">
        <v>0</v>
      </c>
      <c r="Y71" s="3">
        <v>0</v>
      </c>
      <c r="Z71" s="3">
        <v>0</v>
      </c>
      <c r="AA71" s="3">
        <v>0</v>
      </c>
      <c r="AB71" s="5">
        <v>-172.12</v>
      </c>
    </row>
    <row r="72" spans="1:28" x14ac:dyDescent="0.25">
      <c r="A72">
        <v>65</v>
      </c>
      <c r="B72" s="10" t="s">
        <v>353</v>
      </c>
      <c r="C72" s="10" t="s">
        <v>1042</v>
      </c>
      <c r="D72" s="3" t="s">
        <v>354</v>
      </c>
      <c r="E72" s="3" t="s">
        <v>355</v>
      </c>
      <c r="F72" s="3" t="s">
        <v>356</v>
      </c>
      <c r="G72" s="3" t="s">
        <v>357</v>
      </c>
      <c r="H72" s="3" t="s">
        <v>14</v>
      </c>
      <c r="I72" s="3" t="s">
        <v>6</v>
      </c>
      <c r="J72" s="3" t="s">
        <v>15</v>
      </c>
      <c r="K72" s="3" t="s">
        <v>358</v>
      </c>
      <c r="L72" s="3"/>
      <c r="M72" s="3"/>
      <c r="N72" s="3" t="s">
        <v>22</v>
      </c>
      <c r="O72" s="3"/>
      <c r="P72" s="3"/>
      <c r="Q72" s="4">
        <v>46003</v>
      </c>
      <c r="R72" s="5">
        <v>-4524.28</v>
      </c>
      <c r="S72" s="3">
        <v>93</v>
      </c>
      <c r="T72" s="3"/>
      <c r="U72" s="3">
        <v>0</v>
      </c>
      <c r="V72" s="3" t="s">
        <v>8</v>
      </c>
      <c r="W72" s="5">
        <v>4795.7299999999996</v>
      </c>
      <c r="X72" s="5">
        <v>4795.7299999999996</v>
      </c>
      <c r="Y72" s="5">
        <v>4524.28</v>
      </c>
      <c r="Z72" s="5">
        <v>4524.28</v>
      </c>
      <c r="AA72" s="5">
        <v>4524.28</v>
      </c>
      <c r="AB72" s="5">
        <v>23164.3</v>
      </c>
    </row>
    <row r="73" spans="1:28" x14ac:dyDescent="0.25">
      <c r="A73">
        <v>66</v>
      </c>
      <c r="B73" s="10" t="s">
        <v>359</v>
      </c>
      <c r="C73" s="10"/>
      <c r="D73" s="3" t="s">
        <v>360</v>
      </c>
      <c r="E73" s="3" t="s">
        <v>361</v>
      </c>
      <c r="F73" s="3" t="s">
        <v>362</v>
      </c>
      <c r="G73" s="3" t="s">
        <v>363</v>
      </c>
      <c r="H73" s="3" t="s">
        <v>14</v>
      </c>
      <c r="I73" s="3" t="s">
        <v>6</v>
      </c>
      <c r="J73" s="3" t="s">
        <v>15</v>
      </c>
      <c r="K73" s="3" t="s">
        <v>364</v>
      </c>
      <c r="L73" s="3"/>
      <c r="M73" s="3"/>
      <c r="N73" s="3"/>
      <c r="O73" s="3">
        <v>1641</v>
      </c>
      <c r="P73" s="3"/>
      <c r="Q73" s="4">
        <v>45230</v>
      </c>
      <c r="R73" s="5">
        <v>759.1</v>
      </c>
      <c r="S73" s="3">
        <v>232</v>
      </c>
      <c r="T73" s="3"/>
      <c r="U73" s="3">
        <v>0</v>
      </c>
      <c r="V73" s="3" t="s">
        <v>8</v>
      </c>
      <c r="W73" s="3">
        <v>0</v>
      </c>
      <c r="X73" s="3">
        <v>0</v>
      </c>
      <c r="Y73" s="3">
        <v>0</v>
      </c>
      <c r="Z73" s="3">
        <v>0</v>
      </c>
      <c r="AA73" s="5">
        <v>-0.01</v>
      </c>
      <c r="AB73" s="5">
        <v>-0.01</v>
      </c>
    </row>
    <row r="74" spans="1:28" x14ac:dyDescent="0.25">
      <c r="A74">
        <v>67</v>
      </c>
      <c r="B74" s="10" t="s">
        <v>365</v>
      </c>
      <c r="C74" s="10" t="s">
        <v>1043</v>
      </c>
      <c r="D74" s="3" t="s">
        <v>366</v>
      </c>
      <c r="E74" s="3" t="s">
        <v>367</v>
      </c>
      <c r="F74" s="3" t="s">
        <v>368</v>
      </c>
      <c r="G74" s="3" t="s">
        <v>369</v>
      </c>
      <c r="H74" s="3" t="s">
        <v>14</v>
      </c>
      <c r="I74" s="3" t="s">
        <v>6</v>
      </c>
      <c r="J74" s="3" t="s">
        <v>15</v>
      </c>
      <c r="K74" s="3" t="s">
        <v>370</v>
      </c>
      <c r="L74" s="3"/>
      <c r="M74" s="3"/>
      <c r="N74" s="3" t="s">
        <v>22</v>
      </c>
      <c r="O74" s="3">
        <v>2000</v>
      </c>
      <c r="P74" s="3"/>
      <c r="Q74" s="4">
        <v>46081</v>
      </c>
      <c r="R74" s="5">
        <v>8083.26</v>
      </c>
      <c r="S74" s="3">
        <v>191</v>
      </c>
      <c r="T74" s="3"/>
      <c r="U74" s="3">
        <v>0</v>
      </c>
      <c r="V74" s="3" t="s">
        <v>8</v>
      </c>
      <c r="W74" s="5">
        <v>8083.26</v>
      </c>
      <c r="X74" s="3">
        <v>0</v>
      </c>
      <c r="Y74" s="3">
        <v>0</v>
      </c>
      <c r="Z74" s="3">
        <v>0</v>
      </c>
      <c r="AA74" s="3">
        <v>0</v>
      </c>
      <c r="AB74" s="5">
        <v>8083.26</v>
      </c>
    </row>
    <row r="75" spans="1:28" x14ac:dyDescent="0.25">
      <c r="A75">
        <v>68</v>
      </c>
      <c r="B75" s="10" t="s">
        <v>371</v>
      </c>
      <c r="C75" s="10" t="s">
        <v>1044</v>
      </c>
      <c r="D75" s="3" t="s">
        <v>372</v>
      </c>
      <c r="E75" s="3" t="s">
        <v>373</v>
      </c>
      <c r="F75" s="3" t="s">
        <v>374</v>
      </c>
      <c r="G75" s="3" t="s">
        <v>375</v>
      </c>
      <c r="H75" s="3" t="s">
        <v>14</v>
      </c>
      <c r="I75" s="3" t="s">
        <v>6</v>
      </c>
      <c r="J75" s="3" t="s">
        <v>15</v>
      </c>
      <c r="K75" s="3" t="s">
        <v>376</v>
      </c>
      <c r="L75" s="3"/>
      <c r="M75" s="3"/>
      <c r="N75" s="3"/>
      <c r="O75" s="3"/>
      <c r="P75" s="3"/>
      <c r="Q75" s="4">
        <v>46081</v>
      </c>
      <c r="R75" s="5">
        <v>142.54</v>
      </c>
      <c r="S75" s="3">
        <v>40</v>
      </c>
      <c r="T75" s="3"/>
      <c r="U75" s="3">
        <v>0</v>
      </c>
      <c r="V75" s="3" t="s">
        <v>8</v>
      </c>
      <c r="W75" s="5">
        <v>142.54</v>
      </c>
      <c r="X75" s="3">
        <v>0</v>
      </c>
      <c r="Y75" s="3">
        <v>0</v>
      </c>
      <c r="Z75" s="3">
        <v>0</v>
      </c>
      <c r="AA75" s="3">
        <v>0</v>
      </c>
      <c r="AB75" s="5">
        <v>142.54</v>
      </c>
    </row>
    <row r="76" spans="1:28" x14ac:dyDescent="0.25">
      <c r="A76">
        <v>69</v>
      </c>
      <c r="B76" s="10" t="s">
        <v>377</v>
      </c>
      <c r="C76" s="10" t="s">
        <v>1045</v>
      </c>
      <c r="D76" s="3" t="s">
        <v>378</v>
      </c>
      <c r="E76" s="3" t="s">
        <v>379</v>
      </c>
      <c r="F76" s="3" t="s">
        <v>380</v>
      </c>
      <c r="G76" s="3" t="s">
        <v>381</v>
      </c>
      <c r="H76" s="3" t="s">
        <v>14</v>
      </c>
      <c r="I76" s="3" t="s">
        <v>6</v>
      </c>
      <c r="J76" s="3" t="s">
        <v>15</v>
      </c>
      <c r="K76" s="3" t="s">
        <v>382</v>
      </c>
      <c r="L76" s="3"/>
      <c r="M76" s="3" t="s">
        <v>69</v>
      </c>
      <c r="N76" s="3" t="s">
        <v>22</v>
      </c>
      <c r="O76" s="3"/>
      <c r="P76" s="3"/>
      <c r="Q76" s="4">
        <v>46053</v>
      </c>
      <c r="R76" s="5">
        <v>4635.0600000000004</v>
      </c>
      <c r="S76" s="3">
        <v>124</v>
      </c>
      <c r="T76" s="3"/>
      <c r="U76" s="3">
        <v>0</v>
      </c>
      <c r="V76" s="3" t="s">
        <v>8</v>
      </c>
      <c r="W76" s="5">
        <v>4635.0600000000004</v>
      </c>
      <c r="X76" s="5">
        <v>4635.0600000000004</v>
      </c>
      <c r="Y76" s="3">
        <v>0</v>
      </c>
      <c r="Z76" s="3">
        <v>0</v>
      </c>
      <c r="AA76" s="3">
        <v>0</v>
      </c>
      <c r="AB76" s="5">
        <v>9270.1200000000008</v>
      </c>
    </row>
    <row r="77" spans="1:28" x14ac:dyDescent="0.25">
      <c r="A77">
        <v>70</v>
      </c>
      <c r="B77" s="10" t="s">
        <v>383</v>
      </c>
      <c r="C77" s="10" t="s">
        <v>1046</v>
      </c>
      <c r="D77" s="3" t="s">
        <v>384</v>
      </c>
      <c r="E77" s="3" t="s">
        <v>385</v>
      </c>
      <c r="F77" s="3"/>
      <c r="G77" s="3" t="s">
        <v>386</v>
      </c>
      <c r="H77" s="3" t="s">
        <v>14</v>
      </c>
      <c r="I77" s="3" t="s">
        <v>6</v>
      </c>
      <c r="J77" s="3"/>
      <c r="K77" s="3" t="s">
        <v>387</v>
      </c>
      <c r="L77" s="3"/>
      <c r="M77" s="3"/>
      <c r="N77" s="3" t="s">
        <v>22</v>
      </c>
      <c r="O77" s="3"/>
      <c r="P77" s="3"/>
      <c r="Q77" s="4">
        <v>46081</v>
      </c>
      <c r="R77" s="5">
        <v>1730.75</v>
      </c>
      <c r="S77" s="3">
        <v>121</v>
      </c>
      <c r="T77" s="3"/>
      <c r="U77" s="3">
        <v>0</v>
      </c>
      <c r="V77" s="3" t="s">
        <v>8</v>
      </c>
      <c r="W77" s="5">
        <v>1730.75</v>
      </c>
      <c r="X77" s="3">
        <v>0</v>
      </c>
      <c r="Y77" s="3">
        <v>0</v>
      </c>
      <c r="Z77" s="3">
        <v>0</v>
      </c>
      <c r="AA77" s="3">
        <v>0</v>
      </c>
      <c r="AB77" s="5">
        <v>1730.75</v>
      </c>
    </row>
    <row r="78" spans="1:28" x14ac:dyDescent="0.25">
      <c r="A78">
        <v>71</v>
      </c>
      <c r="B78" s="10">
        <v>1122</v>
      </c>
      <c r="C78" s="10" t="s">
        <v>1047</v>
      </c>
      <c r="D78" s="3" t="s">
        <v>388</v>
      </c>
      <c r="E78" s="3" t="s">
        <v>389</v>
      </c>
      <c r="F78" s="3" t="s">
        <v>390</v>
      </c>
      <c r="G78" s="3" t="s">
        <v>391</v>
      </c>
      <c r="H78" s="3" t="s">
        <v>14</v>
      </c>
      <c r="I78" s="3" t="s">
        <v>6</v>
      </c>
      <c r="J78" s="3" t="s">
        <v>15</v>
      </c>
      <c r="K78" s="3" t="s">
        <v>392</v>
      </c>
      <c r="L78" s="3"/>
      <c r="M78" s="3"/>
      <c r="N78" s="3" t="s">
        <v>22</v>
      </c>
      <c r="O78" s="3">
        <v>2710</v>
      </c>
      <c r="P78" s="3"/>
      <c r="Q78" s="4">
        <v>46052</v>
      </c>
      <c r="R78" s="5">
        <v>19251.919999999998</v>
      </c>
      <c r="S78" s="3">
        <v>217</v>
      </c>
      <c r="T78" s="3"/>
      <c r="U78" s="3">
        <v>0</v>
      </c>
      <c r="V78" s="3" t="s">
        <v>8</v>
      </c>
      <c r="W78" s="5">
        <v>19251.919999999998</v>
      </c>
      <c r="X78" s="5">
        <v>19251.919999999998</v>
      </c>
      <c r="Y78" s="3">
        <v>0</v>
      </c>
      <c r="Z78" s="3">
        <v>0</v>
      </c>
      <c r="AA78" s="3">
        <v>0</v>
      </c>
      <c r="AB78" s="5">
        <v>38503.839999999997</v>
      </c>
    </row>
    <row r="79" spans="1:28" x14ac:dyDescent="0.25">
      <c r="A79">
        <v>72</v>
      </c>
      <c r="B79" s="10" t="s">
        <v>393</v>
      </c>
      <c r="C79" s="10" t="s">
        <v>1048</v>
      </c>
      <c r="D79" s="3" t="s">
        <v>394</v>
      </c>
      <c r="E79" s="3" t="s">
        <v>395</v>
      </c>
      <c r="F79" s="6" t="s">
        <v>396</v>
      </c>
      <c r="G79" s="3" t="s">
        <v>397</v>
      </c>
      <c r="H79" s="3" t="s">
        <v>14</v>
      </c>
      <c r="I79" s="3" t="s">
        <v>6</v>
      </c>
      <c r="J79" s="3" t="s">
        <v>15</v>
      </c>
      <c r="K79" s="3" t="s">
        <v>398</v>
      </c>
      <c r="L79" s="3"/>
      <c r="M79" s="3"/>
      <c r="N79" s="3"/>
      <c r="O79" s="6" t="s">
        <v>399</v>
      </c>
      <c r="P79" s="3"/>
      <c r="Q79" s="4">
        <v>46081</v>
      </c>
      <c r="R79" s="5">
        <v>476.54</v>
      </c>
      <c r="S79" s="3">
        <v>82</v>
      </c>
      <c r="T79" s="3"/>
      <c r="U79" s="3">
        <v>0</v>
      </c>
      <c r="V79" s="3" t="s">
        <v>8</v>
      </c>
      <c r="W79" s="5">
        <v>1467.84</v>
      </c>
      <c r="X79" s="3">
        <v>0</v>
      </c>
      <c r="Y79" s="3">
        <v>0</v>
      </c>
      <c r="Z79" s="3">
        <v>0</v>
      </c>
      <c r="AA79" s="3">
        <v>0</v>
      </c>
      <c r="AB79" s="5">
        <v>1467.84</v>
      </c>
    </row>
    <row r="80" spans="1:28" x14ac:dyDescent="0.25">
      <c r="A80">
        <v>73</v>
      </c>
      <c r="B80" s="10" t="s">
        <v>400</v>
      </c>
      <c r="C80" s="10" t="s">
        <v>1049</v>
      </c>
      <c r="D80" s="3" t="s">
        <v>401</v>
      </c>
      <c r="E80" s="3" t="s">
        <v>402</v>
      </c>
      <c r="F80" s="6" t="s">
        <v>403</v>
      </c>
      <c r="G80" s="3" t="s">
        <v>404</v>
      </c>
      <c r="H80" s="3" t="s">
        <v>14</v>
      </c>
      <c r="I80" s="3" t="s">
        <v>6</v>
      </c>
      <c r="J80" s="3"/>
      <c r="K80" s="3" t="s">
        <v>405</v>
      </c>
      <c r="L80" s="3"/>
      <c r="M80" s="3"/>
      <c r="N80" s="3" t="s">
        <v>22</v>
      </c>
      <c r="O80" s="3"/>
      <c r="P80" s="3"/>
      <c r="Q80" s="4">
        <v>46081</v>
      </c>
      <c r="R80" s="5">
        <v>244.78</v>
      </c>
      <c r="S80" s="3">
        <v>49</v>
      </c>
      <c r="T80" s="3"/>
      <c r="U80" s="3">
        <v>0</v>
      </c>
      <c r="V80" s="3" t="s">
        <v>8</v>
      </c>
      <c r="W80" s="5">
        <v>244.78</v>
      </c>
      <c r="X80" s="3">
        <v>0</v>
      </c>
      <c r="Y80" s="3">
        <v>0</v>
      </c>
      <c r="Z80" s="3">
        <v>0</v>
      </c>
      <c r="AA80" s="3">
        <v>0</v>
      </c>
      <c r="AB80" s="5">
        <v>244.78</v>
      </c>
    </row>
    <row r="81" spans="1:31" x14ac:dyDescent="0.25">
      <c r="A81">
        <v>74</v>
      </c>
      <c r="B81" s="10" t="s">
        <v>406</v>
      </c>
      <c r="C81" s="10"/>
      <c r="D81" s="3" t="s">
        <v>407</v>
      </c>
      <c r="E81" s="3" t="s">
        <v>408</v>
      </c>
      <c r="F81" s="3" t="s">
        <v>409</v>
      </c>
      <c r="G81" s="3" t="s">
        <v>410</v>
      </c>
      <c r="H81" s="3" t="s">
        <v>236</v>
      </c>
      <c r="I81" s="3" t="s">
        <v>6</v>
      </c>
      <c r="J81" s="3"/>
      <c r="K81" s="3" t="s">
        <v>411</v>
      </c>
      <c r="L81" s="3"/>
      <c r="M81" s="3"/>
      <c r="N81" s="3" t="s">
        <v>22</v>
      </c>
      <c r="O81" s="3"/>
      <c r="P81" s="3"/>
      <c r="Q81" s="4">
        <v>45925</v>
      </c>
      <c r="R81" s="5">
        <v>1000</v>
      </c>
      <c r="S81" s="3">
        <v>473</v>
      </c>
      <c r="T81" s="3"/>
      <c r="U81" s="3">
        <v>0</v>
      </c>
      <c r="V81" s="3" t="s">
        <v>8</v>
      </c>
      <c r="W81" s="3">
        <v>0</v>
      </c>
      <c r="X81" s="3">
        <v>0</v>
      </c>
      <c r="Y81" s="3">
        <v>0</v>
      </c>
      <c r="Z81" s="3">
        <v>0</v>
      </c>
      <c r="AA81" s="5">
        <v>57222.48</v>
      </c>
      <c r="AB81" s="5">
        <v>57222.48</v>
      </c>
    </row>
    <row r="82" spans="1:31" x14ac:dyDescent="0.25">
      <c r="A82">
        <v>75</v>
      </c>
      <c r="B82" s="10" t="s">
        <v>412</v>
      </c>
      <c r="C82" s="10" t="s">
        <v>1050</v>
      </c>
      <c r="D82" s="3" t="s">
        <v>413</v>
      </c>
      <c r="E82" s="3" t="s">
        <v>414</v>
      </c>
      <c r="F82" s="6" t="s">
        <v>415</v>
      </c>
      <c r="G82" s="3" t="s">
        <v>416</v>
      </c>
      <c r="H82" s="3" t="s">
        <v>14</v>
      </c>
      <c r="I82" s="3" t="s">
        <v>6</v>
      </c>
      <c r="J82" s="3" t="s">
        <v>33</v>
      </c>
      <c r="K82" s="3" t="s">
        <v>417</v>
      </c>
      <c r="L82" s="3"/>
      <c r="M82" s="3"/>
      <c r="N82" s="3"/>
      <c r="O82" s="3">
        <v>2047</v>
      </c>
      <c r="P82" s="3"/>
      <c r="Q82" s="4">
        <v>46057</v>
      </c>
      <c r="R82" s="5">
        <v>11427.55</v>
      </c>
      <c r="S82" s="3">
        <v>476</v>
      </c>
      <c r="T82" s="3"/>
      <c r="U82" s="3">
        <v>0</v>
      </c>
      <c r="V82" s="3" t="s">
        <v>8</v>
      </c>
      <c r="W82" s="5">
        <v>11486.2</v>
      </c>
      <c r="X82" s="5">
        <v>11083.7</v>
      </c>
      <c r="Y82" s="3">
        <v>0</v>
      </c>
      <c r="Z82" s="3">
        <v>0</v>
      </c>
      <c r="AA82" s="3">
        <v>0</v>
      </c>
      <c r="AB82" s="5">
        <v>22569.9</v>
      </c>
    </row>
    <row r="83" spans="1:31" x14ac:dyDescent="0.25">
      <c r="A83">
        <v>76</v>
      </c>
      <c r="B83" s="10" t="s">
        <v>418</v>
      </c>
      <c r="C83" s="10" t="s">
        <v>1051</v>
      </c>
      <c r="D83" s="3" t="s">
        <v>419</v>
      </c>
      <c r="E83" s="3" t="s">
        <v>420</v>
      </c>
      <c r="F83" s="3" t="s">
        <v>421</v>
      </c>
      <c r="G83" s="3" t="s">
        <v>422</v>
      </c>
      <c r="H83" s="3" t="s">
        <v>14</v>
      </c>
      <c r="I83" s="3" t="s">
        <v>6</v>
      </c>
      <c r="J83" s="3" t="s">
        <v>33</v>
      </c>
      <c r="K83" s="3" t="s">
        <v>417</v>
      </c>
      <c r="L83" s="3"/>
      <c r="M83" s="3"/>
      <c r="N83" s="3"/>
      <c r="O83" s="3">
        <v>2047</v>
      </c>
      <c r="P83" s="3"/>
      <c r="Q83" s="4">
        <v>46057</v>
      </c>
      <c r="R83" s="5">
        <v>26781.200000000001</v>
      </c>
      <c r="S83" s="3">
        <v>398</v>
      </c>
      <c r="T83" s="3"/>
      <c r="U83" s="3">
        <v>0</v>
      </c>
      <c r="V83" s="3" t="s">
        <v>8</v>
      </c>
      <c r="W83" s="5">
        <v>21683.25</v>
      </c>
      <c r="X83" s="5">
        <f>19520.1+1207.5</f>
        <v>20727.599999999999</v>
      </c>
      <c r="Y83" s="3">
        <v>0</v>
      </c>
      <c r="Z83" s="3">
        <v>0</v>
      </c>
      <c r="AA83" s="5">
        <v>-0.01</v>
      </c>
      <c r="AB83" s="5">
        <f>SUM(W83:AA83)</f>
        <v>42410.84</v>
      </c>
    </row>
    <row r="84" spans="1:31" x14ac:dyDescent="0.25">
      <c r="A84">
        <v>77</v>
      </c>
      <c r="B84" s="10" t="s">
        <v>423</v>
      </c>
      <c r="C84" s="10" t="s">
        <v>1052</v>
      </c>
      <c r="D84" s="3" t="s">
        <v>424</v>
      </c>
      <c r="E84" s="3" t="s">
        <v>425</v>
      </c>
      <c r="F84" s="6" t="s">
        <v>415</v>
      </c>
      <c r="G84" s="3" t="s">
        <v>426</v>
      </c>
      <c r="H84" s="3" t="s">
        <v>14</v>
      </c>
      <c r="I84" s="3" t="s">
        <v>6</v>
      </c>
      <c r="J84" s="3" t="s">
        <v>33</v>
      </c>
      <c r="K84" s="3" t="s">
        <v>417</v>
      </c>
      <c r="L84" s="3"/>
      <c r="M84" s="3"/>
      <c r="N84" s="3"/>
      <c r="O84" s="3">
        <v>2047</v>
      </c>
      <c r="P84" s="3"/>
      <c r="Q84" s="4">
        <v>46057</v>
      </c>
      <c r="R84" s="5">
        <v>34861.97</v>
      </c>
      <c r="S84" s="3">
        <v>1067</v>
      </c>
      <c r="T84" s="3"/>
      <c r="U84" s="3">
        <v>0</v>
      </c>
      <c r="V84" s="3" t="s">
        <v>8</v>
      </c>
      <c r="W84" s="5">
        <v>46503.96</v>
      </c>
      <c r="X84" s="5">
        <v>36516.94</v>
      </c>
      <c r="Y84" s="5">
        <v>5738.17</v>
      </c>
      <c r="Z84" s="3">
        <v>0</v>
      </c>
      <c r="AA84" s="5">
        <v>-1.38</v>
      </c>
      <c r="AB84" s="5">
        <v>88757.69</v>
      </c>
    </row>
    <row r="85" spans="1:31" s="43" customFormat="1" x14ac:dyDescent="0.25">
      <c r="A85">
        <v>78</v>
      </c>
      <c r="B85" s="10"/>
      <c r="C85" s="10"/>
      <c r="D85" s="3"/>
      <c r="E85" s="3"/>
      <c r="F85" s="6"/>
      <c r="G85" s="3"/>
      <c r="H85" s="3"/>
      <c r="I85" s="3"/>
      <c r="J85" s="3"/>
      <c r="K85" s="3"/>
      <c r="L85" s="3"/>
      <c r="M85" s="3"/>
      <c r="N85" s="3"/>
      <c r="O85" s="3"/>
      <c r="P85" s="3"/>
      <c r="Q85" s="4"/>
      <c r="R85" s="5"/>
      <c r="S85" s="3"/>
      <c r="T85" s="3"/>
      <c r="U85" s="3"/>
      <c r="V85" s="3"/>
      <c r="W85" s="5"/>
      <c r="X85" s="5"/>
      <c r="Y85" s="5"/>
      <c r="Z85" s="3"/>
      <c r="AA85" s="5"/>
      <c r="AB85" s="5"/>
      <c r="AC85"/>
      <c r="AD85"/>
      <c r="AE85"/>
    </row>
    <row r="86" spans="1:31" x14ac:dyDescent="0.25">
      <c r="A86">
        <v>79</v>
      </c>
      <c r="B86" s="10" t="s">
        <v>427</v>
      </c>
      <c r="C86" s="10" t="s">
        <v>1053</v>
      </c>
      <c r="D86" s="3" t="s">
        <v>428</v>
      </c>
      <c r="E86" s="3" t="s">
        <v>429</v>
      </c>
      <c r="F86" s="3" t="s">
        <v>430</v>
      </c>
      <c r="G86" s="3" t="s">
        <v>431</v>
      </c>
      <c r="H86" s="3" t="s">
        <v>14</v>
      </c>
      <c r="I86" s="3"/>
      <c r="J86" s="3" t="s">
        <v>33</v>
      </c>
      <c r="K86" s="3" t="s">
        <v>432</v>
      </c>
      <c r="L86" s="3"/>
      <c r="M86" s="3"/>
      <c r="N86" s="3"/>
      <c r="O86" s="3"/>
      <c r="P86" s="3"/>
      <c r="Q86" s="4">
        <v>46046</v>
      </c>
      <c r="R86" s="5">
        <v>637.30999999999995</v>
      </c>
      <c r="S86" s="3">
        <v>102</v>
      </c>
      <c r="T86" s="3"/>
      <c r="U86" s="3">
        <v>0</v>
      </c>
      <c r="V86" s="3" t="s">
        <v>8</v>
      </c>
      <c r="W86" s="5">
        <v>637.30999999999995</v>
      </c>
      <c r="X86" s="3">
        <v>0</v>
      </c>
      <c r="Y86" s="3">
        <v>0</v>
      </c>
      <c r="Z86" s="3">
        <v>0</v>
      </c>
      <c r="AA86" s="3">
        <v>0.31</v>
      </c>
      <c r="AB86" s="5">
        <v>637.62</v>
      </c>
    </row>
    <row r="87" spans="1:31" x14ac:dyDescent="0.25">
      <c r="A87">
        <v>80</v>
      </c>
      <c r="B87" s="10" t="s">
        <v>433</v>
      </c>
      <c r="C87" s="10" t="s">
        <v>1054</v>
      </c>
      <c r="D87" s="3" t="s">
        <v>434</v>
      </c>
      <c r="E87" s="3" t="s">
        <v>435</v>
      </c>
      <c r="F87" s="3" t="s">
        <v>436</v>
      </c>
      <c r="G87" s="3" t="s">
        <v>437</v>
      </c>
      <c r="H87" s="3" t="s">
        <v>14</v>
      </c>
      <c r="I87" s="3"/>
      <c r="J87" s="3" t="s">
        <v>15</v>
      </c>
      <c r="K87" s="3" t="s">
        <v>438</v>
      </c>
      <c r="L87" s="3"/>
      <c r="M87" s="3"/>
      <c r="N87" s="3"/>
      <c r="O87" s="3">
        <v>1402</v>
      </c>
      <c r="P87" s="3"/>
      <c r="Q87" s="4">
        <v>46060</v>
      </c>
      <c r="R87" s="5">
        <v>2725.96</v>
      </c>
      <c r="S87" s="3">
        <v>154</v>
      </c>
      <c r="T87" s="3"/>
      <c r="U87" s="3">
        <v>0</v>
      </c>
      <c r="V87" s="3" t="s">
        <v>8</v>
      </c>
      <c r="W87" s="5">
        <v>2725.96</v>
      </c>
      <c r="X87" s="5">
        <v>2725.96</v>
      </c>
      <c r="Y87" s="3">
        <v>0</v>
      </c>
      <c r="Z87" s="3">
        <v>0</v>
      </c>
      <c r="AA87" s="3">
        <v>0</v>
      </c>
      <c r="AB87" s="5">
        <v>5451.92</v>
      </c>
    </row>
    <row r="88" spans="1:31" x14ac:dyDescent="0.25">
      <c r="A88">
        <v>81</v>
      </c>
      <c r="B88" s="10">
        <v>1134</v>
      </c>
      <c r="C88" s="10" t="s">
        <v>1055</v>
      </c>
      <c r="D88" s="3" t="s">
        <v>439</v>
      </c>
      <c r="E88" s="3"/>
      <c r="F88" s="3" t="s">
        <v>440</v>
      </c>
      <c r="G88" s="3" t="s">
        <v>441</v>
      </c>
      <c r="H88" s="3" t="s">
        <v>14</v>
      </c>
      <c r="I88" s="3" t="s">
        <v>6</v>
      </c>
      <c r="J88" s="3" t="s">
        <v>15</v>
      </c>
      <c r="K88" s="3" t="s">
        <v>442</v>
      </c>
      <c r="L88" s="3"/>
      <c r="M88" s="3"/>
      <c r="N88" s="3" t="s">
        <v>22</v>
      </c>
      <c r="O88" s="3"/>
      <c r="P88" s="3"/>
      <c r="Q88" s="4">
        <v>46053</v>
      </c>
      <c r="R88" s="5">
        <v>28723.53</v>
      </c>
      <c r="S88" s="3">
        <v>110</v>
      </c>
      <c r="T88" s="3"/>
      <c r="U88" s="3">
        <v>0</v>
      </c>
      <c r="V88" s="3" t="s">
        <v>8</v>
      </c>
      <c r="W88" s="5">
        <v>28838.53</v>
      </c>
      <c r="X88" s="5">
        <v>28723.53</v>
      </c>
      <c r="Y88" s="3">
        <v>0</v>
      </c>
      <c r="Z88" s="3">
        <v>0</v>
      </c>
      <c r="AA88" s="3">
        <v>0</v>
      </c>
      <c r="AB88" s="5">
        <v>57562.06</v>
      </c>
    </row>
    <row r="89" spans="1:31" x14ac:dyDescent="0.25">
      <c r="A89">
        <v>82</v>
      </c>
      <c r="B89" s="10" t="s">
        <v>443</v>
      </c>
      <c r="C89" s="10" t="s">
        <v>1056</v>
      </c>
      <c r="D89" s="3" t="s">
        <v>444</v>
      </c>
      <c r="E89" s="3" t="s">
        <v>445</v>
      </c>
      <c r="F89" s="3"/>
      <c r="G89" s="3" t="s">
        <v>446</v>
      </c>
      <c r="H89" s="3" t="s">
        <v>14</v>
      </c>
      <c r="I89" s="3" t="s">
        <v>6</v>
      </c>
      <c r="J89" s="3"/>
      <c r="K89" s="3" t="s">
        <v>447</v>
      </c>
      <c r="L89" s="3"/>
      <c r="M89" s="3"/>
      <c r="N89" s="3" t="s">
        <v>22</v>
      </c>
      <c r="O89" s="3"/>
      <c r="P89" s="3"/>
      <c r="Q89" s="4">
        <v>45663</v>
      </c>
      <c r="R89" s="5">
        <v>4600</v>
      </c>
      <c r="S89" s="3">
        <v>95</v>
      </c>
      <c r="T89" s="3"/>
      <c r="U89" s="3">
        <v>0</v>
      </c>
      <c r="V89" s="3" t="s">
        <v>8</v>
      </c>
      <c r="W89" s="5">
        <v>7337</v>
      </c>
      <c r="X89" s="3">
        <v>0</v>
      </c>
      <c r="Y89" s="3">
        <v>0</v>
      </c>
      <c r="Z89" s="3">
        <v>0</v>
      </c>
      <c r="AA89" s="3">
        <v>0</v>
      </c>
      <c r="AB89" s="5">
        <v>7337</v>
      </c>
    </row>
    <row r="90" spans="1:31" x14ac:dyDescent="0.25">
      <c r="A90">
        <v>83</v>
      </c>
      <c r="B90" s="10" t="s">
        <v>448</v>
      </c>
      <c r="C90" s="10" t="s">
        <v>1057</v>
      </c>
      <c r="D90" s="3" t="s">
        <v>449</v>
      </c>
      <c r="E90" s="3" t="s">
        <v>450</v>
      </c>
      <c r="F90" s="6" t="s">
        <v>451</v>
      </c>
      <c r="G90" s="3" t="s">
        <v>452</v>
      </c>
      <c r="H90" s="3" t="s">
        <v>14</v>
      </c>
      <c r="I90" s="3" t="s">
        <v>6</v>
      </c>
      <c r="J90" s="3" t="s">
        <v>15</v>
      </c>
      <c r="K90" s="3" t="s">
        <v>453</v>
      </c>
      <c r="L90" s="3"/>
      <c r="M90" s="3"/>
      <c r="N90" s="3" t="s">
        <v>22</v>
      </c>
      <c r="O90" s="3"/>
      <c r="P90" s="3"/>
      <c r="Q90" s="4">
        <v>46060</v>
      </c>
      <c r="R90" s="5">
        <v>2561.11</v>
      </c>
      <c r="S90" s="3">
        <v>230</v>
      </c>
      <c r="T90" s="3"/>
      <c r="U90" s="3">
        <v>0</v>
      </c>
      <c r="V90" s="3" t="s">
        <v>8</v>
      </c>
      <c r="W90" s="5">
        <v>2714.77</v>
      </c>
      <c r="X90" s="5">
        <v>2714.77</v>
      </c>
      <c r="Y90" s="5">
        <v>2561.11</v>
      </c>
      <c r="Z90" s="3">
        <v>0</v>
      </c>
      <c r="AA90" s="3">
        <v>0</v>
      </c>
      <c r="AB90" s="5">
        <v>7990.65</v>
      </c>
    </row>
    <row r="91" spans="1:31" x14ac:dyDescent="0.25">
      <c r="A91">
        <v>84</v>
      </c>
      <c r="B91" s="10" t="s">
        <v>454</v>
      </c>
      <c r="C91" s="10"/>
      <c r="D91" s="3" t="s">
        <v>455</v>
      </c>
      <c r="E91" s="3" t="s">
        <v>456</v>
      </c>
      <c r="F91" s="3" t="s">
        <v>457</v>
      </c>
      <c r="G91" s="3" t="s">
        <v>458</v>
      </c>
      <c r="H91" s="3" t="s">
        <v>249</v>
      </c>
      <c r="I91" s="3" t="s">
        <v>6</v>
      </c>
      <c r="J91" s="3"/>
      <c r="K91" s="3" t="s">
        <v>459</v>
      </c>
      <c r="L91" s="3"/>
      <c r="M91" s="3"/>
      <c r="N91" s="3"/>
      <c r="O91" s="6" t="s">
        <v>460</v>
      </c>
      <c r="P91" s="3"/>
      <c r="Q91" s="4">
        <v>45811</v>
      </c>
      <c r="R91" s="5">
        <v>758.65</v>
      </c>
      <c r="S91" s="3">
        <v>17</v>
      </c>
      <c r="T91" s="3"/>
      <c r="U91" s="3">
        <v>0</v>
      </c>
      <c r="V91" s="3" t="s">
        <v>8</v>
      </c>
      <c r="W91" s="3">
        <v>0</v>
      </c>
      <c r="X91" s="3">
        <v>0</v>
      </c>
      <c r="Y91" s="3">
        <v>0</v>
      </c>
      <c r="Z91" s="3">
        <v>0</v>
      </c>
      <c r="AA91" s="5">
        <v>0</v>
      </c>
      <c r="AB91" s="5">
        <v>0</v>
      </c>
    </row>
    <row r="92" spans="1:31" x14ac:dyDescent="0.25">
      <c r="A92">
        <v>85</v>
      </c>
      <c r="B92" s="10">
        <v>1133</v>
      </c>
      <c r="C92" s="10" t="s">
        <v>1058</v>
      </c>
      <c r="D92" s="3" t="s">
        <v>461</v>
      </c>
      <c r="E92" s="3" t="s">
        <v>462</v>
      </c>
      <c r="F92" s="6" t="s">
        <v>463</v>
      </c>
      <c r="G92" s="3" t="s">
        <v>464</v>
      </c>
      <c r="H92" s="3" t="s">
        <v>14</v>
      </c>
      <c r="I92" s="3" t="s">
        <v>6</v>
      </c>
      <c r="J92" s="3" t="s">
        <v>15</v>
      </c>
      <c r="K92" s="3" t="s">
        <v>465</v>
      </c>
      <c r="L92" s="3"/>
      <c r="M92" s="3"/>
      <c r="N92" s="3" t="s">
        <v>22</v>
      </c>
      <c r="O92" s="3"/>
      <c r="P92" s="3"/>
      <c r="Q92" s="4">
        <v>46052</v>
      </c>
      <c r="R92" s="5">
        <v>10102.219999999999</v>
      </c>
      <c r="S92" s="3">
        <v>129</v>
      </c>
      <c r="T92" s="3"/>
      <c r="U92" s="3">
        <v>0</v>
      </c>
      <c r="V92" s="3" t="s">
        <v>8</v>
      </c>
      <c r="W92" s="5">
        <v>10102.219999999999</v>
      </c>
      <c r="X92" s="3">
        <v>0</v>
      </c>
      <c r="Y92" s="3">
        <v>0</v>
      </c>
      <c r="Z92" s="3">
        <v>0</v>
      </c>
      <c r="AA92" s="3">
        <v>0</v>
      </c>
      <c r="AB92" s="5">
        <v>10102.219999999999</v>
      </c>
    </row>
    <row r="93" spans="1:31" x14ac:dyDescent="0.25">
      <c r="A93">
        <v>86</v>
      </c>
      <c r="B93" s="10" t="s">
        <v>466</v>
      </c>
      <c r="C93" s="10" t="s">
        <v>1059</v>
      </c>
      <c r="D93" s="3" t="s">
        <v>467</v>
      </c>
      <c r="E93" s="3" t="s">
        <v>468</v>
      </c>
      <c r="F93" s="3" t="s">
        <v>469</v>
      </c>
      <c r="G93" s="3" t="s">
        <v>470</v>
      </c>
      <c r="H93" s="3" t="s">
        <v>14</v>
      </c>
      <c r="I93" s="3" t="s">
        <v>6</v>
      </c>
      <c r="J93" s="3"/>
      <c r="K93" s="3" t="s">
        <v>471</v>
      </c>
      <c r="L93" s="3"/>
      <c r="M93" s="3"/>
      <c r="N93" s="3" t="s">
        <v>22</v>
      </c>
      <c r="O93" s="3"/>
      <c r="P93" s="3"/>
      <c r="Q93" s="4">
        <v>46081</v>
      </c>
      <c r="R93" s="5">
        <v>1025.06</v>
      </c>
      <c r="S93" s="3">
        <v>51</v>
      </c>
      <c r="T93" s="3"/>
      <c r="U93" s="3">
        <v>0</v>
      </c>
      <c r="V93" s="3" t="s">
        <v>8</v>
      </c>
      <c r="W93" s="5">
        <v>646.30999999999995</v>
      </c>
      <c r="X93" s="3">
        <v>0</v>
      </c>
      <c r="Y93" s="3">
        <v>0</v>
      </c>
      <c r="Z93" s="3">
        <v>0</v>
      </c>
      <c r="AA93" s="3">
        <v>0</v>
      </c>
      <c r="AB93" s="5">
        <v>646.30999999999995</v>
      </c>
    </row>
    <row r="94" spans="1:31" x14ac:dyDescent="0.25">
      <c r="A94">
        <v>87</v>
      </c>
      <c r="B94" s="10" t="s">
        <v>472</v>
      </c>
      <c r="C94" s="10" t="s">
        <v>1060</v>
      </c>
      <c r="D94" s="3" t="s">
        <v>473</v>
      </c>
      <c r="E94" s="3" t="s">
        <v>474</v>
      </c>
      <c r="F94" s="3" t="s">
        <v>475</v>
      </c>
      <c r="G94" s="3" t="s">
        <v>476</v>
      </c>
      <c r="H94" s="3" t="s">
        <v>14</v>
      </c>
      <c r="I94" s="3" t="s">
        <v>6</v>
      </c>
      <c r="J94" s="3" t="s">
        <v>15</v>
      </c>
      <c r="K94" s="3" t="s">
        <v>477</v>
      </c>
      <c r="L94" s="3"/>
      <c r="M94" s="3"/>
      <c r="N94" s="3"/>
      <c r="O94" s="3"/>
      <c r="P94" s="3"/>
      <c r="Q94" s="4">
        <v>46081</v>
      </c>
      <c r="R94" s="5">
        <v>358.59</v>
      </c>
      <c r="S94" s="3">
        <v>40</v>
      </c>
      <c r="T94" s="3"/>
      <c r="U94" s="3">
        <v>0</v>
      </c>
      <c r="V94" s="3" t="s">
        <v>8</v>
      </c>
      <c r="W94" s="5">
        <v>358.59</v>
      </c>
      <c r="X94" s="3">
        <v>0</v>
      </c>
      <c r="Y94" s="3">
        <v>0</v>
      </c>
      <c r="Z94" s="3">
        <v>0</v>
      </c>
      <c r="AA94" s="3">
        <v>0</v>
      </c>
      <c r="AB94" s="5">
        <v>358.59</v>
      </c>
    </row>
    <row r="95" spans="1:31" s="43" customFormat="1" x14ac:dyDescent="0.25">
      <c r="A95">
        <v>88</v>
      </c>
      <c r="B95" s="10" t="s">
        <v>478</v>
      </c>
      <c r="C95" s="10" t="s">
        <v>1061</v>
      </c>
      <c r="D95" s="3" t="s">
        <v>479</v>
      </c>
      <c r="E95" s="3" t="s">
        <v>480</v>
      </c>
      <c r="F95" s="3" t="s">
        <v>481</v>
      </c>
      <c r="G95" s="3" t="s">
        <v>482</v>
      </c>
      <c r="H95" s="3" t="s">
        <v>14</v>
      </c>
      <c r="I95" s="3" t="s">
        <v>6</v>
      </c>
      <c r="J95" s="3" t="s">
        <v>33</v>
      </c>
      <c r="K95" s="3" t="s">
        <v>483</v>
      </c>
      <c r="L95" s="3"/>
      <c r="M95" s="3"/>
      <c r="N95" s="3"/>
      <c r="O95" s="3">
        <v>1600</v>
      </c>
      <c r="P95" s="3"/>
      <c r="Q95" s="4">
        <v>46080</v>
      </c>
      <c r="R95" s="5">
        <v>17493.34</v>
      </c>
      <c r="S95" s="3">
        <v>555</v>
      </c>
      <c r="T95" s="3"/>
      <c r="U95" s="3">
        <v>0</v>
      </c>
      <c r="V95" s="3" t="s">
        <v>8</v>
      </c>
      <c r="W95" s="5">
        <v>17493.34</v>
      </c>
      <c r="X95" s="3">
        <v>0</v>
      </c>
      <c r="Y95" s="3">
        <v>0</v>
      </c>
      <c r="Z95" s="3">
        <v>0</v>
      </c>
      <c r="AA95" s="3">
        <v>0</v>
      </c>
      <c r="AB95" s="5">
        <v>17493.34</v>
      </c>
      <c r="AC95"/>
      <c r="AD95"/>
      <c r="AE95"/>
    </row>
    <row r="96" spans="1:31" x14ac:dyDescent="0.25">
      <c r="A96">
        <v>89</v>
      </c>
      <c r="B96" s="10" t="s">
        <v>484</v>
      </c>
      <c r="C96" s="10" t="s">
        <v>1062</v>
      </c>
      <c r="D96" s="3" t="s">
        <v>485</v>
      </c>
      <c r="E96" s="3" t="s">
        <v>486</v>
      </c>
      <c r="F96" s="3" t="s">
        <v>487</v>
      </c>
      <c r="G96" s="3" t="s">
        <v>488</v>
      </c>
      <c r="H96" s="3" t="s">
        <v>14</v>
      </c>
      <c r="I96" s="3" t="s">
        <v>6</v>
      </c>
      <c r="J96" s="3" t="s">
        <v>15</v>
      </c>
      <c r="K96" s="3" t="s">
        <v>489</v>
      </c>
      <c r="L96" s="3"/>
      <c r="M96" s="3"/>
      <c r="N96" s="3"/>
      <c r="O96" s="3">
        <v>8570</v>
      </c>
      <c r="P96" s="3"/>
      <c r="Q96" s="4">
        <v>46022</v>
      </c>
      <c r="R96" s="5">
        <v>1687.29</v>
      </c>
      <c r="S96" s="3">
        <v>204</v>
      </c>
      <c r="T96" s="3"/>
      <c r="U96" s="3">
        <v>0</v>
      </c>
      <c r="V96" s="3" t="s">
        <v>8</v>
      </c>
      <c r="W96" s="3">
        <v>0</v>
      </c>
      <c r="X96" s="3">
        <v>0</v>
      </c>
      <c r="Y96" s="5">
        <v>-0.01</v>
      </c>
      <c r="Z96" s="5">
        <v>-0.01</v>
      </c>
      <c r="AA96" s="3">
        <v>0.01</v>
      </c>
      <c r="AB96" s="5">
        <v>-0.01</v>
      </c>
    </row>
    <row r="97" spans="1:28" x14ac:dyDescent="0.25">
      <c r="A97">
        <v>90</v>
      </c>
      <c r="B97" s="10" t="s">
        <v>490</v>
      </c>
      <c r="C97" s="10"/>
      <c r="D97" s="3" t="s">
        <v>491</v>
      </c>
      <c r="E97" s="3" t="s">
        <v>492</v>
      </c>
      <c r="F97" s="3"/>
      <c r="G97" s="3" t="s">
        <v>493</v>
      </c>
      <c r="H97" s="3" t="s">
        <v>328</v>
      </c>
      <c r="I97" s="3" t="s">
        <v>6</v>
      </c>
      <c r="J97" s="3"/>
      <c r="K97" s="3" t="s">
        <v>494</v>
      </c>
      <c r="L97" s="3"/>
      <c r="M97" s="3"/>
      <c r="N97" s="3" t="s">
        <v>22</v>
      </c>
      <c r="O97" s="3"/>
      <c r="P97" s="3"/>
      <c r="Q97" s="4">
        <v>45841</v>
      </c>
      <c r="R97" s="5">
        <v>-12749.13</v>
      </c>
      <c r="S97" s="3">
        <v>167</v>
      </c>
      <c r="T97" s="3"/>
      <c r="U97" s="3">
        <v>0</v>
      </c>
      <c r="V97" s="3" t="s">
        <v>8</v>
      </c>
      <c r="W97" s="3">
        <v>0</v>
      </c>
      <c r="X97" s="3">
        <v>0</v>
      </c>
      <c r="Y97" s="3">
        <v>0</v>
      </c>
      <c r="Z97" s="3">
        <v>0</v>
      </c>
      <c r="AA97" s="5">
        <v>50996.52</v>
      </c>
      <c r="AB97" s="5">
        <v>50996.52</v>
      </c>
    </row>
    <row r="98" spans="1:28" x14ac:dyDescent="0.25">
      <c r="A98">
        <v>91</v>
      </c>
      <c r="B98" s="10" t="s">
        <v>495</v>
      </c>
      <c r="C98" s="10" t="s">
        <v>1063</v>
      </c>
      <c r="D98" s="3" t="s">
        <v>496</v>
      </c>
      <c r="E98" s="3" t="s">
        <v>314</v>
      </c>
      <c r="F98" s="3" t="s">
        <v>497</v>
      </c>
      <c r="G98" s="3" t="s">
        <v>316</v>
      </c>
      <c r="H98" s="3" t="s">
        <v>14</v>
      </c>
      <c r="I98" s="3" t="s">
        <v>6</v>
      </c>
      <c r="J98" s="3" t="s">
        <v>33</v>
      </c>
      <c r="K98" s="3" t="s">
        <v>498</v>
      </c>
      <c r="L98" s="3"/>
      <c r="M98" s="3"/>
      <c r="N98" s="3"/>
      <c r="O98" s="3">
        <v>2000</v>
      </c>
      <c r="P98" s="3"/>
      <c r="Q98" s="4">
        <v>46081</v>
      </c>
      <c r="R98" s="5">
        <v>2748.44</v>
      </c>
      <c r="S98" s="3">
        <v>359</v>
      </c>
      <c r="T98" s="3"/>
      <c r="U98" s="3">
        <v>0</v>
      </c>
      <c r="V98" s="3" t="s">
        <v>8</v>
      </c>
      <c r="W98" s="5">
        <v>19440.68</v>
      </c>
      <c r="X98" s="3">
        <v>0</v>
      </c>
      <c r="Y98" s="3">
        <v>0</v>
      </c>
      <c r="Z98" s="3">
        <v>0</v>
      </c>
      <c r="AA98" s="5">
        <v>-3.78</v>
      </c>
      <c r="AB98" s="5">
        <v>19436.900000000001</v>
      </c>
    </row>
    <row r="99" spans="1:28" x14ac:dyDescent="0.25">
      <c r="A99">
        <v>92</v>
      </c>
      <c r="B99" s="10" t="s">
        <v>499</v>
      </c>
      <c r="C99" s="10" t="s">
        <v>1064</v>
      </c>
      <c r="D99" s="3" t="s">
        <v>500</v>
      </c>
      <c r="E99" s="3" t="s">
        <v>314</v>
      </c>
      <c r="F99" s="3" t="s">
        <v>501</v>
      </c>
      <c r="G99" s="3" t="s">
        <v>316</v>
      </c>
      <c r="H99" s="3" t="s">
        <v>14</v>
      </c>
      <c r="I99" s="3" t="s">
        <v>6</v>
      </c>
      <c r="J99" s="3" t="s">
        <v>33</v>
      </c>
      <c r="K99" s="3" t="s">
        <v>502</v>
      </c>
      <c r="L99" s="3"/>
      <c r="M99" s="3"/>
      <c r="N99" s="3"/>
      <c r="O99" s="3">
        <v>2000</v>
      </c>
      <c r="P99" s="3"/>
      <c r="Q99" s="4">
        <v>46081</v>
      </c>
      <c r="R99" s="5">
        <v>1212.6400000000001</v>
      </c>
      <c r="S99" s="3">
        <v>71</v>
      </c>
      <c r="T99" s="3" t="s">
        <v>503</v>
      </c>
      <c r="U99" s="3">
        <v>0</v>
      </c>
      <c r="V99" s="3" t="s">
        <v>8</v>
      </c>
      <c r="W99" s="5">
        <v>1212.6400000000001</v>
      </c>
      <c r="X99" s="3">
        <v>0</v>
      </c>
      <c r="Y99" s="3">
        <v>0</v>
      </c>
      <c r="Z99" s="3">
        <v>0</v>
      </c>
      <c r="AA99" s="3">
        <v>0</v>
      </c>
      <c r="AB99" s="5">
        <v>1212.6400000000001</v>
      </c>
    </row>
    <row r="100" spans="1:28" x14ac:dyDescent="0.25">
      <c r="A100">
        <v>93</v>
      </c>
      <c r="B100" s="10" t="s">
        <v>504</v>
      </c>
      <c r="C100" s="10"/>
      <c r="D100" s="3" t="s">
        <v>505</v>
      </c>
      <c r="E100" s="3" t="s">
        <v>506</v>
      </c>
      <c r="F100" s="3"/>
      <c r="G100" s="3" t="s">
        <v>507</v>
      </c>
      <c r="H100" s="3" t="s">
        <v>14</v>
      </c>
      <c r="I100" s="3" t="s">
        <v>6</v>
      </c>
      <c r="J100" s="3"/>
      <c r="K100" s="3" t="s">
        <v>508</v>
      </c>
      <c r="L100" s="3"/>
      <c r="M100" s="3"/>
      <c r="N100" s="3" t="s">
        <v>22</v>
      </c>
      <c r="O100" s="3"/>
      <c r="P100" s="3"/>
      <c r="Q100" s="4">
        <v>46081</v>
      </c>
      <c r="R100" s="5">
        <v>3908.2</v>
      </c>
      <c r="S100" s="3">
        <v>227</v>
      </c>
      <c r="T100" s="3"/>
      <c r="U100" s="3">
        <v>0</v>
      </c>
      <c r="V100" s="3" t="s">
        <v>8</v>
      </c>
      <c r="W100" s="5">
        <v>3908.2</v>
      </c>
      <c r="X100" s="3">
        <v>0</v>
      </c>
      <c r="Y100" s="3">
        <v>0</v>
      </c>
      <c r="Z100" s="3">
        <v>0</v>
      </c>
      <c r="AA100" s="3">
        <v>0</v>
      </c>
      <c r="AB100" s="5">
        <v>3908.2</v>
      </c>
    </row>
    <row r="101" spans="1:28" x14ac:dyDescent="0.25">
      <c r="A101">
        <v>94</v>
      </c>
      <c r="B101" s="10" t="s">
        <v>509</v>
      </c>
      <c r="C101" s="10" t="s">
        <v>1065</v>
      </c>
      <c r="D101" s="3" t="s">
        <v>510</v>
      </c>
      <c r="E101" s="3" t="s">
        <v>30</v>
      </c>
      <c r="F101" s="3" t="s">
        <v>511</v>
      </c>
      <c r="G101" s="3" t="s">
        <v>512</v>
      </c>
      <c r="H101" s="3" t="s">
        <v>14</v>
      </c>
      <c r="I101" s="3" t="s">
        <v>6</v>
      </c>
      <c r="J101" s="3"/>
      <c r="K101" s="3" t="s">
        <v>513</v>
      </c>
      <c r="L101" s="3"/>
      <c r="M101" s="3"/>
      <c r="N101" s="3"/>
      <c r="O101" s="3"/>
      <c r="P101" s="3"/>
      <c r="Q101" s="4">
        <v>46053</v>
      </c>
      <c r="R101" s="5">
        <v>2870.02</v>
      </c>
      <c r="S101" s="3">
        <v>39</v>
      </c>
      <c r="T101" s="3"/>
      <c r="U101" s="3">
        <v>0</v>
      </c>
      <c r="V101" s="3" t="s">
        <v>8</v>
      </c>
      <c r="W101" s="5">
        <v>2870.02</v>
      </c>
      <c r="X101" s="3">
        <v>0</v>
      </c>
      <c r="Y101" s="3">
        <v>0</v>
      </c>
      <c r="Z101" s="3">
        <v>0</v>
      </c>
      <c r="AA101" s="3">
        <v>0</v>
      </c>
      <c r="AB101" s="5">
        <v>2870.02</v>
      </c>
    </row>
    <row r="102" spans="1:28" x14ac:dyDescent="0.25">
      <c r="A102">
        <v>95</v>
      </c>
      <c r="B102" s="10">
        <v>1151</v>
      </c>
      <c r="C102" s="10" t="s">
        <v>1066</v>
      </c>
      <c r="D102" s="3" t="s">
        <v>514</v>
      </c>
      <c r="E102" s="3" t="s">
        <v>515</v>
      </c>
      <c r="F102" s="3" t="s">
        <v>516</v>
      </c>
      <c r="G102" s="3" t="s">
        <v>517</v>
      </c>
      <c r="H102" s="3" t="s">
        <v>14</v>
      </c>
      <c r="I102" s="3" t="s">
        <v>6</v>
      </c>
      <c r="J102" s="3"/>
      <c r="K102" s="3" t="s">
        <v>518</v>
      </c>
      <c r="L102" s="3"/>
      <c r="M102" s="3"/>
      <c r="N102" s="3" t="s">
        <v>22</v>
      </c>
      <c r="O102" s="3"/>
      <c r="P102" s="3"/>
      <c r="Q102" s="4">
        <v>46079</v>
      </c>
      <c r="R102" s="5">
        <v>2250.8200000000002</v>
      </c>
      <c r="S102" s="6" t="s">
        <v>519</v>
      </c>
      <c r="T102" s="3"/>
      <c r="U102" s="3">
        <v>0</v>
      </c>
      <c r="V102" s="3" t="s">
        <v>8</v>
      </c>
      <c r="W102" s="5">
        <v>10646.61</v>
      </c>
      <c r="X102" s="3">
        <v>0</v>
      </c>
      <c r="Y102" s="3">
        <v>0</v>
      </c>
      <c r="Z102" s="3">
        <v>0</v>
      </c>
      <c r="AA102" s="3">
        <v>0</v>
      </c>
      <c r="AB102" s="5">
        <v>10646.61</v>
      </c>
    </row>
    <row r="103" spans="1:28" x14ac:dyDescent="0.25">
      <c r="A103">
        <v>96</v>
      </c>
      <c r="B103" s="10" t="s">
        <v>520</v>
      </c>
      <c r="C103" s="10" t="s">
        <v>1067</v>
      </c>
      <c r="D103" s="3" t="s">
        <v>521</v>
      </c>
      <c r="E103" s="3" t="s">
        <v>522</v>
      </c>
      <c r="F103" s="3" t="s">
        <v>523</v>
      </c>
      <c r="G103" s="3" t="s">
        <v>524</v>
      </c>
      <c r="H103" s="3" t="s">
        <v>14</v>
      </c>
      <c r="I103" s="3" t="s">
        <v>6</v>
      </c>
      <c r="J103" s="3"/>
      <c r="K103" s="3" t="s">
        <v>525</v>
      </c>
      <c r="L103" s="3"/>
      <c r="M103" s="3"/>
      <c r="N103" s="3" t="s">
        <v>22</v>
      </c>
      <c r="O103" s="3"/>
      <c r="P103" s="3"/>
      <c r="Q103" s="4">
        <v>46078</v>
      </c>
      <c r="R103" s="5">
        <v>4897.21</v>
      </c>
      <c r="S103" s="3">
        <v>179</v>
      </c>
      <c r="T103" s="3"/>
      <c r="U103" s="3">
        <v>0</v>
      </c>
      <c r="V103" s="3" t="s">
        <v>8</v>
      </c>
      <c r="W103" s="5">
        <v>4012.77</v>
      </c>
      <c r="X103" s="3">
        <v>0</v>
      </c>
      <c r="Y103" s="3">
        <v>0</v>
      </c>
      <c r="Z103" s="3">
        <v>0</v>
      </c>
      <c r="AA103" s="3">
        <v>0</v>
      </c>
      <c r="AB103" s="5">
        <v>4012.77</v>
      </c>
    </row>
    <row r="104" spans="1:28" x14ac:dyDescent="0.25">
      <c r="A104">
        <v>97</v>
      </c>
      <c r="B104" s="10" t="s">
        <v>526</v>
      </c>
      <c r="C104" s="10" t="s">
        <v>1068</v>
      </c>
      <c r="D104" s="3" t="s">
        <v>527</v>
      </c>
      <c r="E104" s="3" t="s">
        <v>314</v>
      </c>
      <c r="F104" s="3" t="s">
        <v>528</v>
      </c>
      <c r="G104" s="3" t="s">
        <v>316</v>
      </c>
      <c r="H104" s="3" t="s">
        <v>14</v>
      </c>
      <c r="I104" s="3" t="s">
        <v>6</v>
      </c>
      <c r="J104" s="3" t="s">
        <v>33</v>
      </c>
      <c r="K104" s="3" t="s">
        <v>529</v>
      </c>
      <c r="L104" s="3"/>
      <c r="M104" s="3"/>
      <c r="N104" s="3"/>
      <c r="O104" s="3">
        <v>1422</v>
      </c>
      <c r="P104" s="3"/>
      <c r="Q104" s="4">
        <v>45930</v>
      </c>
      <c r="R104" s="5">
        <v>1207.5</v>
      </c>
      <c r="S104" s="3">
        <v>1339</v>
      </c>
      <c r="T104" s="3" t="s">
        <v>530</v>
      </c>
      <c r="U104" s="3">
        <v>0</v>
      </c>
      <c r="V104" s="3" t="s">
        <v>8</v>
      </c>
      <c r="W104" s="5">
        <v>28245.61</v>
      </c>
      <c r="X104" s="3">
        <v>0</v>
      </c>
      <c r="Y104" s="3">
        <v>0</v>
      </c>
      <c r="Z104" s="3">
        <v>0</v>
      </c>
      <c r="AA104" s="5">
        <v>-0.1</v>
      </c>
      <c r="AB104" s="5">
        <v>28245.51</v>
      </c>
    </row>
    <row r="105" spans="1:28" x14ac:dyDescent="0.25">
      <c r="A105">
        <v>98</v>
      </c>
      <c r="B105" s="10" t="s">
        <v>531</v>
      </c>
      <c r="C105" s="10" t="s">
        <v>1069</v>
      </c>
      <c r="D105" s="3" t="s">
        <v>532</v>
      </c>
      <c r="E105" s="3" t="s">
        <v>314</v>
      </c>
      <c r="F105" s="3" t="s">
        <v>533</v>
      </c>
      <c r="G105" s="3" t="s">
        <v>316</v>
      </c>
      <c r="H105" s="3"/>
      <c r="I105" s="3" t="s">
        <v>6</v>
      </c>
      <c r="J105" s="3" t="s">
        <v>33</v>
      </c>
      <c r="K105" s="3" t="s">
        <v>534</v>
      </c>
      <c r="L105" s="3"/>
      <c r="M105" s="3"/>
      <c r="N105" s="3" t="s">
        <v>22</v>
      </c>
      <c r="O105" s="3"/>
      <c r="P105" s="3"/>
      <c r="Q105" s="4">
        <v>46081</v>
      </c>
      <c r="R105" s="5">
        <v>1212.6400000000001</v>
      </c>
      <c r="S105" s="3">
        <v>61</v>
      </c>
      <c r="T105" s="3"/>
      <c r="U105" s="3">
        <v>0</v>
      </c>
      <c r="V105" s="3" t="s">
        <v>8</v>
      </c>
      <c r="W105" s="5">
        <v>1212.6400000000001</v>
      </c>
      <c r="X105" s="3">
        <v>0</v>
      </c>
      <c r="Y105" s="3">
        <v>0</v>
      </c>
      <c r="Z105" s="3">
        <v>0</v>
      </c>
      <c r="AA105" s="3">
        <v>0</v>
      </c>
      <c r="AB105" s="5">
        <v>1212.6400000000001</v>
      </c>
    </row>
    <row r="106" spans="1:28" x14ac:dyDescent="0.25">
      <c r="A106">
        <v>99</v>
      </c>
      <c r="B106" s="10" t="s">
        <v>535</v>
      </c>
      <c r="C106" s="10" t="s">
        <v>1070</v>
      </c>
      <c r="D106" s="3" t="s">
        <v>536</v>
      </c>
      <c r="E106" s="3" t="s">
        <v>314</v>
      </c>
      <c r="F106" s="3" t="s">
        <v>537</v>
      </c>
      <c r="G106" s="3" t="s">
        <v>316</v>
      </c>
      <c r="H106" s="3" t="s">
        <v>14</v>
      </c>
      <c r="I106" s="3" t="s">
        <v>6</v>
      </c>
      <c r="J106" s="3" t="s">
        <v>33</v>
      </c>
      <c r="K106" s="3" t="s">
        <v>538</v>
      </c>
      <c r="L106" s="3"/>
      <c r="M106" s="3"/>
      <c r="N106" s="3"/>
      <c r="O106" s="3">
        <v>2000</v>
      </c>
      <c r="P106" s="3"/>
      <c r="Q106" s="4">
        <v>46081</v>
      </c>
      <c r="R106" s="5">
        <v>6669.39</v>
      </c>
      <c r="S106" s="3">
        <v>127</v>
      </c>
      <c r="T106" s="3"/>
      <c r="U106" s="3">
        <v>0</v>
      </c>
      <c r="V106" s="3" t="s">
        <v>8</v>
      </c>
      <c r="W106" s="5">
        <v>7558.87</v>
      </c>
      <c r="X106" s="3">
        <v>0</v>
      </c>
      <c r="Y106" s="3">
        <v>0</v>
      </c>
      <c r="Z106" s="3">
        <v>0</v>
      </c>
      <c r="AA106" s="3">
        <v>0</v>
      </c>
      <c r="AB106" s="5">
        <v>7558.87</v>
      </c>
    </row>
    <row r="107" spans="1:28" x14ac:dyDescent="0.25">
      <c r="A107">
        <v>100</v>
      </c>
      <c r="B107" s="10" t="s">
        <v>539</v>
      </c>
      <c r="C107" s="10" t="s">
        <v>1071</v>
      </c>
      <c r="D107" s="3" t="s">
        <v>540</v>
      </c>
      <c r="E107" s="3" t="s">
        <v>314</v>
      </c>
      <c r="F107" s="3" t="s">
        <v>541</v>
      </c>
      <c r="G107" s="3" t="s">
        <v>316</v>
      </c>
      <c r="H107" s="3" t="s">
        <v>14</v>
      </c>
      <c r="I107" s="3" t="s">
        <v>6</v>
      </c>
      <c r="J107" s="3" t="s">
        <v>33</v>
      </c>
      <c r="K107" s="3" t="s">
        <v>542</v>
      </c>
      <c r="L107" s="3"/>
      <c r="M107" s="3"/>
      <c r="N107" s="3"/>
      <c r="O107" s="3">
        <v>1508</v>
      </c>
      <c r="P107" s="3"/>
      <c r="Q107" s="4">
        <v>46081</v>
      </c>
      <c r="R107" s="5">
        <v>13064.4</v>
      </c>
      <c r="S107" s="3">
        <v>273</v>
      </c>
      <c r="T107" s="3" t="s">
        <v>543</v>
      </c>
      <c r="U107" s="3">
        <v>0</v>
      </c>
      <c r="V107" s="3" t="s">
        <v>8</v>
      </c>
      <c r="W107" s="5">
        <v>13064.4</v>
      </c>
      <c r="X107" s="3">
        <v>0</v>
      </c>
      <c r="Y107" s="3">
        <v>0</v>
      </c>
      <c r="Z107" s="3">
        <v>0</v>
      </c>
      <c r="AA107" s="5">
        <v>-0.06</v>
      </c>
      <c r="AB107" s="5">
        <v>13064.34</v>
      </c>
    </row>
    <row r="108" spans="1:28" x14ac:dyDescent="0.25">
      <c r="A108">
        <v>101</v>
      </c>
      <c r="B108" s="10" t="s">
        <v>544</v>
      </c>
      <c r="C108" s="10" t="s">
        <v>1072</v>
      </c>
      <c r="D108" s="3" t="s">
        <v>545</v>
      </c>
      <c r="E108" s="3" t="s">
        <v>314</v>
      </c>
      <c r="F108" s="3" t="s">
        <v>533</v>
      </c>
      <c r="G108" s="3" t="s">
        <v>316</v>
      </c>
      <c r="H108" s="3" t="s">
        <v>14</v>
      </c>
      <c r="I108" s="3" t="s">
        <v>6</v>
      </c>
      <c r="J108" s="3" t="s">
        <v>33</v>
      </c>
      <c r="K108" s="3" t="s">
        <v>546</v>
      </c>
      <c r="L108" s="3"/>
      <c r="M108" s="3"/>
      <c r="N108" s="3"/>
      <c r="O108" s="3">
        <v>4110</v>
      </c>
      <c r="P108" s="3"/>
      <c r="Q108" s="4">
        <v>46081</v>
      </c>
      <c r="R108" s="5">
        <v>4495.95</v>
      </c>
      <c r="S108" s="3">
        <v>62</v>
      </c>
      <c r="T108" s="3"/>
      <c r="U108" s="3">
        <v>0</v>
      </c>
      <c r="V108" s="3" t="s">
        <v>8</v>
      </c>
      <c r="W108" s="5">
        <v>4495.91</v>
      </c>
      <c r="X108" s="3">
        <v>0</v>
      </c>
      <c r="Y108" s="3">
        <v>0</v>
      </c>
      <c r="Z108" s="3">
        <v>0</v>
      </c>
      <c r="AA108" s="3">
        <v>0</v>
      </c>
      <c r="AB108" s="5">
        <v>4495.91</v>
      </c>
    </row>
    <row r="109" spans="1:28" x14ac:dyDescent="0.25">
      <c r="A109">
        <v>102</v>
      </c>
      <c r="B109" s="10" t="s">
        <v>547</v>
      </c>
      <c r="C109" s="10" t="s">
        <v>1073</v>
      </c>
      <c r="D109" s="3" t="s">
        <v>548</v>
      </c>
      <c r="E109" s="3" t="s">
        <v>314</v>
      </c>
      <c r="F109" s="3" t="s">
        <v>549</v>
      </c>
      <c r="G109" s="3" t="s">
        <v>316</v>
      </c>
      <c r="H109" s="3" t="s">
        <v>14</v>
      </c>
      <c r="I109" s="3" t="s">
        <v>6</v>
      </c>
      <c r="J109" s="3" t="s">
        <v>33</v>
      </c>
      <c r="K109" s="3" t="s">
        <v>550</v>
      </c>
      <c r="L109" s="3"/>
      <c r="M109" s="3"/>
      <c r="N109" s="3"/>
      <c r="O109" s="3">
        <v>9300</v>
      </c>
      <c r="P109" s="3"/>
      <c r="Q109" s="4">
        <v>46081</v>
      </c>
      <c r="R109" s="5">
        <v>15462.71</v>
      </c>
      <c r="S109" s="3">
        <v>284</v>
      </c>
      <c r="T109" s="3"/>
      <c r="U109" s="3">
        <v>0</v>
      </c>
      <c r="V109" s="3" t="s">
        <v>8</v>
      </c>
      <c r="W109" s="5">
        <v>15462.71</v>
      </c>
      <c r="X109" s="3">
        <v>0</v>
      </c>
      <c r="Y109" s="3">
        <v>0.01</v>
      </c>
      <c r="Z109" s="3">
        <v>0</v>
      </c>
      <c r="AA109" s="5">
        <v>-0.08</v>
      </c>
      <c r="AB109" s="5">
        <v>15462.64</v>
      </c>
    </row>
    <row r="110" spans="1:28" x14ac:dyDescent="0.25">
      <c r="A110">
        <v>103</v>
      </c>
      <c r="B110" s="10" t="s">
        <v>551</v>
      </c>
      <c r="C110" s="10"/>
      <c r="D110" s="3" t="s">
        <v>552</v>
      </c>
      <c r="E110" s="3" t="s">
        <v>314</v>
      </c>
      <c r="F110" s="3" t="s">
        <v>553</v>
      </c>
      <c r="G110" s="3" t="s">
        <v>316</v>
      </c>
      <c r="H110" s="3" t="s">
        <v>14</v>
      </c>
      <c r="I110" s="3" t="s">
        <v>6</v>
      </c>
      <c r="J110" s="3" t="s">
        <v>33</v>
      </c>
      <c r="K110" s="3" t="s">
        <v>554</v>
      </c>
      <c r="L110" s="3"/>
      <c r="M110" s="3"/>
      <c r="N110" s="3"/>
      <c r="O110" s="3">
        <v>1960</v>
      </c>
      <c r="P110" s="3"/>
      <c r="Q110" s="4">
        <v>46081</v>
      </c>
      <c r="R110" s="5">
        <v>6778.22</v>
      </c>
      <c r="S110" s="3">
        <v>183</v>
      </c>
      <c r="T110" s="3"/>
      <c r="U110" s="3">
        <v>0</v>
      </c>
      <c r="V110" s="3" t="s">
        <v>8</v>
      </c>
      <c r="W110" s="5">
        <v>14691.38</v>
      </c>
      <c r="X110" s="3">
        <v>0</v>
      </c>
      <c r="Y110" s="3">
        <v>0</v>
      </c>
      <c r="Z110" s="3">
        <v>0</v>
      </c>
      <c r="AA110" s="3">
        <v>0</v>
      </c>
      <c r="AB110" s="5">
        <v>14691.38</v>
      </c>
    </row>
    <row r="111" spans="1:28" x14ac:dyDescent="0.25">
      <c r="A111">
        <v>104</v>
      </c>
      <c r="B111" s="10" t="s">
        <v>555</v>
      </c>
      <c r="C111" s="10" t="s">
        <v>1074</v>
      </c>
      <c r="D111" s="3" t="s">
        <v>556</v>
      </c>
      <c r="E111" s="3" t="s">
        <v>314</v>
      </c>
      <c r="F111" s="3" t="s">
        <v>557</v>
      </c>
      <c r="G111" s="3" t="s">
        <v>316</v>
      </c>
      <c r="H111" s="3" t="s">
        <v>14</v>
      </c>
      <c r="I111" s="3" t="s">
        <v>6</v>
      </c>
      <c r="J111" s="3" t="s">
        <v>33</v>
      </c>
      <c r="K111" s="3" t="s">
        <v>558</v>
      </c>
      <c r="L111" s="3"/>
      <c r="M111" s="3"/>
      <c r="N111" s="3"/>
      <c r="O111" s="3">
        <v>7535</v>
      </c>
      <c r="P111" s="3"/>
      <c r="Q111" s="4">
        <v>46081</v>
      </c>
      <c r="R111" s="5">
        <v>23815.02</v>
      </c>
      <c r="S111" s="3">
        <v>290</v>
      </c>
      <c r="T111" s="3" t="s">
        <v>559</v>
      </c>
      <c r="U111" s="3">
        <v>0</v>
      </c>
      <c r="V111" s="3" t="s">
        <v>8</v>
      </c>
      <c r="W111" s="5">
        <v>23815.02</v>
      </c>
      <c r="X111" s="3">
        <v>0</v>
      </c>
      <c r="Y111" s="3">
        <v>0</v>
      </c>
      <c r="Z111" s="3">
        <v>0</v>
      </c>
      <c r="AA111" s="3">
        <v>0</v>
      </c>
      <c r="AB111" s="5">
        <v>23815.02</v>
      </c>
    </row>
    <row r="112" spans="1:28" x14ac:dyDescent="0.25">
      <c r="A112">
        <v>105</v>
      </c>
      <c r="B112" s="10" t="s">
        <v>560</v>
      </c>
      <c r="C112" s="10" t="s">
        <v>1075</v>
      </c>
      <c r="D112" s="3" t="s">
        <v>561</v>
      </c>
      <c r="E112" s="3" t="s">
        <v>314</v>
      </c>
      <c r="F112" s="3" t="s">
        <v>533</v>
      </c>
      <c r="G112" s="3" t="s">
        <v>316</v>
      </c>
      <c r="H112" s="3" t="s">
        <v>14</v>
      </c>
      <c r="I112" s="3" t="s">
        <v>6</v>
      </c>
      <c r="J112" s="3" t="s">
        <v>33</v>
      </c>
      <c r="K112" s="3" t="s">
        <v>546</v>
      </c>
      <c r="L112" s="3"/>
      <c r="M112" s="3"/>
      <c r="N112" s="3"/>
      <c r="O112" s="3">
        <v>4000</v>
      </c>
      <c r="P112" s="3"/>
      <c r="Q112" s="4">
        <v>46081</v>
      </c>
      <c r="R112" s="5">
        <v>3314.76</v>
      </c>
      <c r="S112" s="3">
        <v>216</v>
      </c>
      <c r="T112" s="3" t="s">
        <v>562</v>
      </c>
      <c r="U112" s="3">
        <v>0</v>
      </c>
      <c r="V112" s="3" t="s">
        <v>8</v>
      </c>
      <c r="W112" s="5">
        <v>30561.75</v>
      </c>
      <c r="X112" s="3">
        <v>0.01</v>
      </c>
      <c r="Y112" s="3">
        <v>0.01</v>
      </c>
      <c r="Z112" s="3">
        <v>0.01</v>
      </c>
      <c r="AA112" s="3">
        <v>0.01</v>
      </c>
      <c r="AB112" s="5">
        <v>30561.79</v>
      </c>
    </row>
    <row r="113" spans="1:28" x14ac:dyDescent="0.25">
      <c r="A113">
        <v>106</v>
      </c>
      <c r="B113" s="10" t="s">
        <v>563</v>
      </c>
      <c r="C113" s="10" t="s">
        <v>1076</v>
      </c>
      <c r="D113" s="3" t="s">
        <v>564</v>
      </c>
      <c r="E113" s="3" t="s">
        <v>314</v>
      </c>
      <c r="F113" s="3" t="s">
        <v>541</v>
      </c>
      <c r="G113" s="3" t="s">
        <v>316</v>
      </c>
      <c r="H113" s="3" t="s">
        <v>14</v>
      </c>
      <c r="I113" s="3" t="s">
        <v>6</v>
      </c>
      <c r="J113" s="3" t="s">
        <v>33</v>
      </c>
      <c r="K113" s="3" t="s">
        <v>565</v>
      </c>
      <c r="L113" s="3"/>
      <c r="M113" s="3"/>
      <c r="N113" s="3"/>
      <c r="O113" s="3">
        <v>2000</v>
      </c>
      <c r="P113" s="3"/>
      <c r="Q113" s="4">
        <v>46081</v>
      </c>
      <c r="R113" s="5">
        <v>62304.67</v>
      </c>
      <c r="S113" s="3">
        <v>463</v>
      </c>
      <c r="T113" s="3" t="s">
        <v>566</v>
      </c>
      <c r="U113" s="3">
        <v>0</v>
      </c>
      <c r="V113" s="3" t="s">
        <v>8</v>
      </c>
      <c r="W113" s="5">
        <v>62304.639999999999</v>
      </c>
      <c r="X113" s="3">
        <v>0</v>
      </c>
      <c r="Y113" s="3">
        <v>0</v>
      </c>
      <c r="Z113" s="3">
        <v>0</v>
      </c>
      <c r="AA113" s="5">
        <v>-0.38</v>
      </c>
      <c r="AB113" s="5">
        <v>62304.26</v>
      </c>
    </row>
    <row r="114" spans="1:28" x14ac:dyDescent="0.25">
      <c r="A114">
        <v>107</v>
      </c>
      <c r="B114" s="10" t="s">
        <v>567</v>
      </c>
      <c r="C114" s="10" t="s">
        <v>1077</v>
      </c>
      <c r="D114" s="3" t="s">
        <v>568</v>
      </c>
      <c r="E114" s="3" t="s">
        <v>314</v>
      </c>
      <c r="F114" s="3" t="s">
        <v>569</v>
      </c>
      <c r="G114" s="3" t="s">
        <v>316</v>
      </c>
      <c r="H114" s="3" t="s">
        <v>14</v>
      </c>
      <c r="I114" s="3" t="s">
        <v>6</v>
      </c>
      <c r="J114" s="3"/>
      <c r="K114" s="3" t="s">
        <v>570</v>
      </c>
      <c r="L114" s="3"/>
      <c r="M114" s="3"/>
      <c r="N114" s="3"/>
      <c r="O114" s="3">
        <v>2000</v>
      </c>
      <c r="P114" s="3"/>
      <c r="Q114" s="4">
        <v>46081</v>
      </c>
      <c r="R114" s="5">
        <v>4091.06</v>
      </c>
      <c r="S114" s="3">
        <v>414</v>
      </c>
      <c r="T114" s="3"/>
      <c r="U114" s="3">
        <v>0</v>
      </c>
      <c r="V114" s="3" t="s">
        <v>8</v>
      </c>
      <c r="W114" s="5">
        <v>3646.31</v>
      </c>
      <c r="X114" s="3">
        <v>0</v>
      </c>
      <c r="Y114" s="3">
        <v>0</v>
      </c>
      <c r="Z114" s="3">
        <v>0</v>
      </c>
      <c r="AA114" s="3">
        <v>0.04</v>
      </c>
      <c r="AB114" s="5">
        <v>3646.35</v>
      </c>
    </row>
    <row r="115" spans="1:28" x14ac:dyDescent="0.25">
      <c r="A115">
        <v>108</v>
      </c>
      <c r="B115" s="10" t="s">
        <v>571</v>
      </c>
      <c r="C115" s="10" t="s">
        <v>1078</v>
      </c>
      <c r="D115" s="3" t="s">
        <v>572</v>
      </c>
      <c r="E115" s="3" t="s">
        <v>314</v>
      </c>
      <c r="F115" s="3" t="s">
        <v>541</v>
      </c>
      <c r="G115" s="3" t="s">
        <v>316</v>
      </c>
      <c r="H115" s="3" t="s">
        <v>14</v>
      </c>
      <c r="I115" s="3" t="s">
        <v>6</v>
      </c>
      <c r="J115" s="3" t="s">
        <v>33</v>
      </c>
      <c r="K115" s="3" t="s">
        <v>573</v>
      </c>
      <c r="L115" s="3"/>
      <c r="M115" s="3"/>
      <c r="N115" s="3"/>
      <c r="O115" s="3">
        <v>1390</v>
      </c>
      <c r="P115" s="3"/>
      <c r="Q115" s="4">
        <v>46081</v>
      </c>
      <c r="R115" s="5">
        <v>4051.17</v>
      </c>
      <c r="S115" s="3">
        <v>166</v>
      </c>
      <c r="T115" s="3" t="s">
        <v>574</v>
      </c>
      <c r="U115" s="3">
        <v>0</v>
      </c>
      <c r="V115" s="3" t="s">
        <v>8</v>
      </c>
      <c r="W115" s="5">
        <v>4051.17</v>
      </c>
      <c r="X115" s="3">
        <v>0</v>
      </c>
      <c r="Y115" s="3">
        <v>0</v>
      </c>
      <c r="Z115" s="3">
        <v>0</v>
      </c>
      <c r="AA115" s="3">
        <v>0</v>
      </c>
      <c r="AB115" s="5">
        <v>4051.17</v>
      </c>
    </row>
    <row r="116" spans="1:28" x14ac:dyDescent="0.25">
      <c r="A116">
        <v>109</v>
      </c>
      <c r="B116" s="10" t="s">
        <v>575</v>
      </c>
      <c r="C116" s="10" t="s">
        <v>30</v>
      </c>
      <c r="D116" s="3" t="s">
        <v>576</v>
      </c>
      <c r="E116" s="3" t="s">
        <v>314</v>
      </c>
      <c r="F116" s="3" t="s">
        <v>577</v>
      </c>
      <c r="G116" s="3" t="s">
        <v>316</v>
      </c>
      <c r="H116" s="3" t="s">
        <v>14</v>
      </c>
      <c r="I116" s="3" t="s">
        <v>6</v>
      </c>
      <c r="J116" s="3" t="s">
        <v>33</v>
      </c>
      <c r="K116" s="3" t="s">
        <v>578</v>
      </c>
      <c r="L116" s="3"/>
      <c r="M116" s="3"/>
      <c r="N116" s="3"/>
      <c r="O116" s="3">
        <v>1422</v>
      </c>
      <c r="P116" s="3"/>
      <c r="Q116" s="4">
        <v>46081</v>
      </c>
      <c r="R116" s="5">
        <v>10931.65</v>
      </c>
      <c r="S116" s="3">
        <v>240</v>
      </c>
      <c r="T116" s="3" t="s">
        <v>579</v>
      </c>
      <c r="U116" s="3">
        <v>0</v>
      </c>
      <c r="V116" s="3" t="s">
        <v>8</v>
      </c>
      <c r="W116" s="5">
        <v>10931.65</v>
      </c>
      <c r="X116" s="3">
        <v>0</v>
      </c>
      <c r="Y116" s="3">
        <v>0</v>
      </c>
      <c r="Z116" s="3">
        <v>0</v>
      </c>
      <c r="AA116" s="5">
        <v>-0.02</v>
      </c>
      <c r="AB116" s="5">
        <v>10931.63</v>
      </c>
    </row>
    <row r="117" spans="1:28" x14ac:dyDescent="0.25">
      <c r="A117">
        <v>110</v>
      </c>
      <c r="B117" s="10" t="s">
        <v>580</v>
      </c>
      <c r="C117" s="10" t="s">
        <v>1080</v>
      </c>
      <c r="D117" s="3" t="s">
        <v>581</v>
      </c>
      <c r="E117" s="3" t="s">
        <v>314</v>
      </c>
      <c r="F117" s="3" t="s">
        <v>582</v>
      </c>
      <c r="G117" s="3" t="s">
        <v>316</v>
      </c>
      <c r="H117" s="3" t="s">
        <v>14</v>
      </c>
      <c r="I117" s="3" t="s">
        <v>6</v>
      </c>
      <c r="J117" s="3" t="s">
        <v>33</v>
      </c>
      <c r="K117" s="3" t="s">
        <v>583</v>
      </c>
      <c r="L117" s="3"/>
      <c r="M117" s="3"/>
      <c r="N117" s="3"/>
      <c r="O117" s="3">
        <v>6000</v>
      </c>
      <c r="P117" s="3"/>
      <c r="Q117" s="4">
        <v>46081</v>
      </c>
      <c r="R117" s="5">
        <v>8642.8799999999992</v>
      </c>
      <c r="S117" s="3">
        <v>239</v>
      </c>
      <c r="T117" s="3"/>
      <c r="U117" s="3">
        <v>0</v>
      </c>
      <c r="V117" s="3" t="s">
        <v>8</v>
      </c>
      <c r="W117" s="5">
        <v>8642.89</v>
      </c>
      <c r="X117" s="3">
        <v>0</v>
      </c>
      <c r="Y117" s="3">
        <v>0</v>
      </c>
      <c r="Z117" s="3">
        <v>0</v>
      </c>
      <c r="AA117" s="5">
        <v>-0.39</v>
      </c>
      <c r="AB117" s="5">
        <v>8642.5</v>
      </c>
    </row>
    <row r="118" spans="1:28" x14ac:dyDescent="0.25">
      <c r="A118">
        <v>111</v>
      </c>
      <c r="B118" s="10" t="s">
        <v>584</v>
      </c>
      <c r="C118" s="10" t="s">
        <v>1079</v>
      </c>
      <c r="D118" s="3" t="s">
        <v>585</v>
      </c>
      <c r="E118" s="3" t="s">
        <v>314</v>
      </c>
      <c r="F118" s="3" t="s">
        <v>586</v>
      </c>
      <c r="G118" s="3" t="s">
        <v>316</v>
      </c>
      <c r="H118" s="3" t="s">
        <v>14</v>
      </c>
      <c r="I118" s="3" t="s">
        <v>6</v>
      </c>
      <c r="J118" s="3" t="s">
        <v>33</v>
      </c>
      <c r="K118" s="3" t="s">
        <v>587</v>
      </c>
      <c r="L118" s="3"/>
      <c r="M118" s="3"/>
      <c r="N118" s="3"/>
      <c r="O118" s="3">
        <v>1467</v>
      </c>
      <c r="P118" s="3"/>
      <c r="Q118" s="4">
        <v>46081</v>
      </c>
      <c r="R118" s="5">
        <v>19058.46</v>
      </c>
      <c r="S118" s="3">
        <v>357</v>
      </c>
      <c r="T118" s="3"/>
      <c r="U118" s="3">
        <v>0</v>
      </c>
      <c r="V118" s="3" t="s">
        <v>8</v>
      </c>
      <c r="W118" s="5">
        <v>18613.72</v>
      </c>
      <c r="X118" s="3">
        <v>0</v>
      </c>
      <c r="Y118" s="3">
        <v>0</v>
      </c>
      <c r="Z118" s="3">
        <v>0</v>
      </c>
      <c r="AA118" s="3">
        <v>0</v>
      </c>
      <c r="AB118" s="5">
        <v>18613.72</v>
      </c>
    </row>
    <row r="119" spans="1:28" x14ac:dyDescent="0.25">
      <c r="A119">
        <v>112</v>
      </c>
      <c r="B119" s="10" t="s">
        <v>588</v>
      </c>
      <c r="C119" s="10" t="s">
        <v>1081</v>
      </c>
      <c r="D119" s="3" t="s">
        <v>589</v>
      </c>
      <c r="E119" s="3" t="s">
        <v>590</v>
      </c>
      <c r="F119" s="3" t="s">
        <v>591</v>
      </c>
      <c r="G119" s="3" t="s">
        <v>592</v>
      </c>
      <c r="H119" s="3" t="s">
        <v>14</v>
      </c>
      <c r="I119" s="3" t="s">
        <v>6</v>
      </c>
      <c r="J119" s="3" t="s">
        <v>15</v>
      </c>
      <c r="K119" s="3" t="s">
        <v>593</v>
      </c>
      <c r="L119" s="3"/>
      <c r="M119" s="3"/>
      <c r="N119" s="3"/>
      <c r="O119" s="3">
        <v>1457</v>
      </c>
      <c r="P119" s="3"/>
      <c r="Q119" s="4">
        <v>46081</v>
      </c>
      <c r="R119" s="5">
        <v>65469.06</v>
      </c>
      <c r="S119" s="3">
        <v>168</v>
      </c>
      <c r="T119" s="3" t="s">
        <v>594</v>
      </c>
      <c r="U119" s="3">
        <v>0</v>
      </c>
      <c r="V119" s="3" t="s">
        <v>8</v>
      </c>
      <c r="W119" s="5">
        <v>65469.06</v>
      </c>
      <c r="X119" s="3">
        <v>0</v>
      </c>
      <c r="Y119" s="3">
        <v>0</v>
      </c>
      <c r="Z119" s="3">
        <v>0</v>
      </c>
      <c r="AA119" s="3">
        <v>0</v>
      </c>
      <c r="AB119" s="5">
        <v>65469.06</v>
      </c>
    </row>
    <row r="120" spans="1:28" x14ac:dyDescent="0.25">
      <c r="A120">
        <v>113</v>
      </c>
      <c r="B120" s="10" t="s">
        <v>595</v>
      </c>
      <c r="C120" s="10" t="s">
        <v>1082</v>
      </c>
      <c r="D120" s="3" t="s">
        <v>596</v>
      </c>
      <c r="E120" s="3" t="s">
        <v>597</v>
      </c>
      <c r="F120" s="3" t="s">
        <v>598</v>
      </c>
      <c r="G120" s="3" t="s">
        <v>599</v>
      </c>
      <c r="H120" s="3" t="s">
        <v>14</v>
      </c>
      <c r="I120" s="3" t="s">
        <v>6</v>
      </c>
      <c r="J120" s="3" t="s">
        <v>15</v>
      </c>
      <c r="K120" s="3" t="s">
        <v>600</v>
      </c>
      <c r="L120" s="3"/>
      <c r="M120" s="3"/>
      <c r="N120" s="3"/>
      <c r="O120" s="3">
        <v>9460</v>
      </c>
      <c r="P120" s="3"/>
      <c r="Q120" s="4">
        <v>46081</v>
      </c>
      <c r="R120" s="5">
        <v>175.18</v>
      </c>
      <c r="S120" s="3">
        <v>27</v>
      </c>
      <c r="T120" s="3" t="s">
        <v>601</v>
      </c>
      <c r="U120" s="3">
        <v>0</v>
      </c>
      <c r="V120" s="3" t="s">
        <v>8</v>
      </c>
      <c r="W120" s="5">
        <v>175.18</v>
      </c>
      <c r="X120" s="3">
        <v>0</v>
      </c>
      <c r="Y120" s="3">
        <v>0</v>
      </c>
      <c r="Z120" s="3">
        <v>0</v>
      </c>
      <c r="AA120" s="3">
        <v>0</v>
      </c>
      <c r="AB120" s="5">
        <v>175.18</v>
      </c>
    </row>
    <row r="121" spans="1:28" x14ac:dyDescent="0.25">
      <c r="A121">
        <v>114</v>
      </c>
      <c r="B121" s="10" t="s">
        <v>602</v>
      </c>
      <c r="C121" s="10" t="s">
        <v>1083</v>
      </c>
      <c r="D121" s="3" t="s">
        <v>603</v>
      </c>
      <c r="E121" s="3" t="s">
        <v>603</v>
      </c>
      <c r="F121" s="3"/>
      <c r="G121" s="3" t="s">
        <v>604</v>
      </c>
      <c r="H121" s="3" t="s">
        <v>14</v>
      </c>
      <c r="I121" s="3" t="s">
        <v>6</v>
      </c>
      <c r="J121" s="3"/>
      <c r="K121" s="3" t="s">
        <v>605</v>
      </c>
      <c r="L121" s="3"/>
      <c r="M121" s="3"/>
      <c r="N121" s="3"/>
      <c r="O121" s="3"/>
      <c r="P121" s="3"/>
      <c r="Q121" s="4">
        <v>46081</v>
      </c>
      <c r="R121" s="5">
        <v>214.27</v>
      </c>
      <c r="S121" s="3">
        <v>39</v>
      </c>
      <c r="T121" s="3"/>
      <c r="U121" s="3">
        <v>0</v>
      </c>
      <c r="V121" s="3" t="s">
        <v>8</v>
      </c>
      <c r="W121" s="5">
        <v>214.27</v>
      </c>
      <c r="X121" s="3">
        <v>0</v>
      </c>
      <c r="Y121" s="3">
        <v>0</v>
      </c>
      <c r="Z121" s="3">
        <v>0</v>
      </c>
      <c r="AA121" s="3">
        <v>0</v>
      </c>
      <c r="AB121" s="5">
        <v>214.27</v>
      </c>
    </row>
    <row r="122" spans="1:28" x14ac:dyDescent="0.25">
      <c r="A122">
        <v>115</v>
      </c>
      <c r="B122" s="10" t="s">
        <v>606</v>
      </c>
      <c r="C122" s="10"/>
      <c r="D122" s="3" t="s">
        <v>607</v>
      </c>
      <c r="E122" s="3" t="s">
        <v>608</v>
      </c>
      <c r="F122" s="3"/>
      <c r="G122" s="3" t="s">
        <v>609</v>
      </c>
      <c r="H122" s="3" t="s">
        <v>14</v>
      </c>
      <c r="I122" s="3" t="s">
        <v>6</v>
      </c>
      <c r="J122" s="3"/>
      <c r="K122" s="3" t="s">
        <v>610</v>
      </c>
      <c r="L122" s="3"/>
      <c r="M122" s="3"/>
      <c r="N122" s="3"/>
      <c r="O122" s="3"/>
      <c r="P122" s="3"/>
      <c r="Q122" s="4">
        <v>46080</v>
      </c>
      <c r="R122" s="5">
        <v>131.80000000000001</v>
      </c>
      <c r="S122" s="3">
        <v>23</v>
      </c>
      <c r="T122" s="3"/>
      <c r="U122" s="3">
        <v>0</v>
      </c>
      <c r="V122" s="3" t="s">
        <v>8</v>
      </c>
      <c r="W122" s="5">
        <v>131.80000000000001</v>
      </c>
      <c r="X122" s="3">
        <v>0</v>
      </c>
      <c r="Y122" s="3">
        <v>0</v>
      </c>
      <c r="Z122" s="3">
        <v>0</v>
      </c>
      <c r="AA122" s="3">
        <v>0</v>
      </c>
      <c r="AB122" s="5">
        <v>131.80000000000001</v>
      </c>
    </row>
    <row r="123" spans="1:28" x14ac:dyDescent="0.25">
      <c r="A123">
        <v>116</v>
      </c>
      <c r="B123" s="10">
        <v>1110</v>
      </c>
      <c r="C123" s="10"/>
      <c r="D123" s="3" t="s">
        <v>611</v>
      </c>
      <c r="E123" s="3"/>
      <c r="F123" s="3" t="s">
        <v>612</v>
      </c>
      <c r="G123" s="3" t="s">
        <v>613</v>
      </c>
      <c r="H123" s="3" t="s">
        <v>14</v>
      </c>
      <c r="I123" s="3" t="s">
        <v>6</v>
      </c>
      <c r="J123" s="3" t="s">
        <v>15</v>
      </c>
      <c r="K123" s="3" t="s">
        <v>614</v>
      </c>
      <c r="L123" s="3"/>
      <c r="M123" s="3"/>
      <c r="N123" s="3"/>
      <c r="O123" s="3">
        <v>1657</v>
      </c>
      <c r="P123" s="3"/>
      <c r="Q123" s="4">
        <v>46053</v>
      </c>
      <c r="R123" s="5">
        <v>600</v>
      </c>
      <c r="S123" s="3">
        <v>20</v>
      </c>
      <c r="T123" s="3"/>
      <c r="U123" s="3">
        <v>0</v>
      </c>
      <c r="V123" s="3" t="s">
        <v>8</v>
      </c>
      <c r="W123" s="5">
        <v>251.05</v>
      </c>
      <c r="X123" s="5">
        <v>-600</v>
      </c>
      <c r="Y123" s="3">
        <v>0</v>
      </c>
      <c r="Z123" s="5">
        <v>251.05</v>
      </c>
      <c r="AA123" s="3">
        <v>0</v>
      </c>
      <c r="AB123" s="5">
        <v>-97.9</v>
      </c>
    </row>
    <row r="124" spans="1:28" s="43" customFormat="1" x14ac:dyDescent="0.25">
      <c r="A124" s="43">
        <v>117</v>
      </c>
      <c r="B124" s="41" t="s">
        <v>615</v>
      </c>
      <c r="C124" s="41" t="s">
        <v>1084</v>
      </c>
      <c r="D124" s="40" t="s">
        <v>616</v>
      </c>
      <c r="E124" s="40"/>
      <c r="F124" s="40" t="s">
        <v>617</v>
      </c>
      <c r="G124" s="40" t="s">
        <v>618</v>
      </c>
      <c r="H124" s="40" t="s">
        <v>14</v>
      </c>
      <c r="I124" s="40" t="s">
        <v>6</v>
      </c>
      <c r="J124" s="40"/>
      <c r="K124" s="40" t="s">
        <v>619</v>
      </c>
      <c r="L124" s="40" t="s">
        <v>620</v>
      </c>
      <c r="M124" s="40"/>
      <c r="N124" s="40"/>
      <c r="O124" s="40">
        <v>2066</v>
      </c>
      <c r="P124" s="40"/>
      <c r="Q124" s="42">
        <v>46055</v>
      </c>
      <c r="R124" s="16">
        <v>30000</v>
      </c>
      <c r="S124" s="40">
        <v>56</v>
      </c>
      <c r="T124" s="40"/>
      <c r="U124" s="40">
        <v>0</v>
      </c>
      <c r="V124" s="40" t="s">
        <v>8</v>
      </c>
      <c r="W124" s="16">
        <v>11037.7</v>
      </c>
      <c r="X124" s="16">
        <v>9657.7000000000007</v>
      </c>
      <c r="Y124" s="16">
        <f>170538.28-X124-W124</f>
        <v>149842.87999999998</v>
      </c>
      <c r="Z124" s="40">
        <v>0</v>
      </c>
      <c r="AA124" s="16">
        <v>0</v>
      </c>
      <c r="AB124" s="16">
        <f>SUM(W124:AA124)</f>
        <v>170538.27999999997</v>
      </c>
    </row>
    <row r="125" spans="1:28" x14ac:dyDescent="0.25">
      <c r="A125">
        <v>118</v>
      </c>
      <c r="B125" s="10" t="s">
        <v>621</v>
      </c>
      <c r="C125" s="10"/>
      <c r="D125" s="3" t="s">
        <v>622</v>
      </c>
      <c r="E125" s="3" t="s">
        <v>622</v>
      </c>
      <c r="F125" s="3"/>
      <c r="G125" s="3" t="s">
        <v>623</v>
      </c>
      <c r="H125" s="3" t="s">
        <v>14</v>
      </c>
      <c r="I125" s="3" t="s">
        <v>6</v>
      </c>
      <c r="J125" s="3"/>
      <c r="K125" s="3" t="s">
        <v>624</v>
      </c>
      <c r="L125" s="3"/>
      <c r="M125" s="3"/>
      <c r="N125" s="3" t="s">
        <v>22</v>
      </c>
      <c r="O125" s="3"/>
      <c r="P125" s="3"/>
      <c r="Q125" s="4">
        <v>46081</v>
      </c>
      <c r="R125" s="5">
        <v>128.80000000000001</v>
      </c>
      <c r="S125" s="3">
        <v>42</v>
      </c>
      <c r="T125" s="3"/>
      <c r="U125" s="3">
        <v>0</v>
      </c>
      <c r="V125" s="3" t="s">
        <v>8</v>
      </c>
      <c r="W125" s="5">
        <v>128.80000000000001</v>
      </c>
      <c r="X125" s="3">
        <v>0</v>
      </c>
      <c r="Y125" s="3">
        <v>0</v>
      </c>
      <c r="Z125" s="3">
        <v>0</v>
      </c>
      <c r="AA125" s="3">
        <v>0</v>
      </c>
      <c r="AB125" s="5">
        <v>128.80000000000001</v>
      </c>
    </row>
    <row r="126" spans="1:28" x14ac:dyDescent="0.25">
      <c r="A126">
        <v>119</v>
      </c>
      <c r="B126" s="10" t="s">
        <v>625</v>
      </c>
      <c r="C126" s="10" t="s">
        <v>1085</v>
      </c>
      <c r="D126" s="3" t="s">
        <v>626</v>
      </c>
      <c r="E126" s="3" t="s">
        <v>626</v>
      </c>
      <c r="F126" s="3"/>
      <c r="G126" s="3" t="s">
        <v>627</v>
      </c>
      <c r="H126" s="3" t="s">
        <v>14</v>
      </c>
      <c r="I126" s="3" t="s">
        <v>6</v>
      </c>
      <c r="J126" s="3" t="s">
        <v>15</v>
      </c>
      <c r="K126" s="3" t="s">
        <v>628</v>
      </c>
      <c r="L126" s="3"/>
      <c r="M126" s="3"/>
      <c r="N126" s="3" t="s">
        <v>22</v>
      </c>
      <c r="O126" s="3"/>
      <c r="P126" s="3"/>
      <c r="Q126" s="4">
        <v>46079</v>
      </c>
      <c r="R126" s="5">
        <v>143.41999999999999</v>
      </c>
      <c r="S126" s="3">
        <v>60</v>
      </c>
      <c r="T126" s="3"/>
      <c r="U126" s="3">
        <v>0</v>
      </c>
      <c r="V126" s="3" t="s">
        <v>8</v>
      </c>
      <c r="W126" s="3">
        <v>0</v>
      </c>
      <c r="X126" s="3">
        <v>0</v>
      </c>
      <c r="Y126" s="3">
        <v>0</v>
      </c>
      <c r="Z126" s="5">
        <v>143.41999999999999</v>
      </c>
      <c r="AA126" s="5">
        <v>143.41999999999999</v>
      </c>
      <c r="AB126" s="5">
        <v>286.83999999999997</v>
      </c>
    </row>
    <row r="127" spans="1:28" x14ac:dyDescent="0.25">
      <c r="A127">
        <v>120</v>
      </c>
      <c r="B127" s="10" t="s">
        <v>629</v>
      </c>
      <c r="C127" s="10" t="s">
        <v>1086</v>
      </c>
      <c r="D127" s="3" t="s">
        <v>630</v>
      </c>
      <c r="E127" s="3" t="s">
        <v>631</v>
      </c>
      <c r="F127" s="3"/>
      <c r="G127" s="3" t="s">
        <v>632</v>
      </c>
      <c r="H127" s="3" t="s">
        <v>14</v>
      </c>
      <c r="I127" s="3" t="s">
        <v>6</v>
      </c>
      <c r="J127" s="3" t="s">
        <v>15</v>
      </c>
      <c r="K127" s="3" t="s">
        <v>633</v>
      </c>
      <c r="L127" s="3"/>
      <c r="M127" s="3"/>
      <c r="N127" s="3"/>
      <c r="O127" s="3">
        <v>2196</v>
      </c>
      <c r="P127" s="3"/>
      <c r="Q127" s="4">
        <v>46081</v>
      </c>
      <c r="R127" s="5">
        <v>742.42</v>
      </c>
      <c r="S127" s="3">
        <v>85</v>
      </c>
      <c r="T127" s="3"/>
      <c r="U127" s="3">
        <v>0</v>
      </c>
      <c r="V127" s="3" t="s">
        <v>8</v>
      </c>
      <c r="W127" s="5">
        <v>742.42</v>
      </c>
      <c r="X127" s="3">
        <v>0</v>
      </c>
      <c r="Y127" s="3">
        <v>0</v>
      </c>
      <c r="Z127" s="3">
        <v>0</v>
      </c>
      <c r="AA127" s="3">
        <v>0</v>
      </c>
      <c r="AB127" s="5">
        <v>742.42</v>
      </c>
    </row>
    <row r="128" spans="1:28" x14ac:dyDescent="0.25">
      <c r="A128">
        <v>121</v>
      </c>
      <c r="B128" s="10" t="s">
        <v>634</v>
      </c>
      <c r="C128" s="10"/>
      <c r="D128" s="3" t="s">
        <v>635</v>
      </c>
      <c r="E128" s="3" t="s">
        <v>636</v>
      </c>
      <c r="F128" s="3" t="s">
        <v>637</v>
      </c>
      <c r="G128" s="3"/>
      <c r="H128" s="3" t="s">
        <v>14</v>
      </c>
      <c r="I128" s="3" t="s">
        <v>6</v>
      </c>
      <c r="J128" s="3" t="s">
        <v>33</v>
      </c>
      <c r="K128" s="3" t="s">
        <v>638</v>
      </c>
      <c r="L128" s="3"/>
      <c r="M128" s="3"/>
      <c r="N128" s="3"/>
      <c r="O128" s="3">
        <v>1686</v>
      </c>
      <c r="P128" s="3"/>
      <c r="Q128" s="4">
        <v>46074</v>
      </c>
      <c r="R128" s="5">
        <v>5531.5</v>
      </c>
      <c r="S128" s="3">
        <v>66</v>
      </c>
      <c r="T128" s="3"/>
      <c r="U128" s="3">
        <v>0</v>
      </c>
      <c r="V128" s="3" t="s">
        <v>8</v>
      </c>
      <c r="W128" s="5">
        <v>4634.5</v>
      </c>
      <c r="X128" s="3">
        <v>0</v>
      </c>
      <c r="Y128" s="5"/>
      <c r="Z128" s="5">
        <v>149.5</v>
      </c>
      <c r="AA128" s="5">
        <v>544.54999999999995</v>
      </c>
      <c r="AB128" s="5">
        <f>SUM(W128:AA128)</f>
        <v>5328.55</v>
      </c>
    </row>
    <row r="129" spans="1:28" x14ac:dyDescent="0.25">
      <c r="A129">
        <v>122</v>
      </c>
      <c r="B129" s="10" t="s">
        <v>634</v>
      </c>
      <c r="C129" s="10"/>
      <c r="D129" s="3" t="s">
        <v>635</v>
      </c>
      <c r="E129" s="3" t="s">
        <v>636</v>
      </c>
      <c r="F129" s="3" t="s">
        <v>637</v>
      </c>
      <c r="G129" s="3"/>
      <c r="H129" s="3" t="s">
        <v>14</v>
      </c>
      <c r="I129" s="3" t="s">
        <v>6</v>
      </c>
      <c r="J129" s="3" t="s">
        <v>33</v>
      </c>
      <c r="K129" s="3" t="s">
        <v>638</v>
      </c>
      <c r="L129" s="3"/>
      <c r="M129" s="3"/>
      <c r="N129" s="3"/>
      <c r="O129" s="3">
        <v>1686</v>
      </c>
      <c r="P129" s="3"/>
      <c r="Q129" s="4">
        <v>46074</v>
      </c>
      <c r="R129" s="5">
        <v>5531.5</v>
      </c>
      <c r="S129" s="3">
        <v>66</v>
      </c>
      <c r="T129" s="3"/>
      <c r="U129" s="3">
        <v>0</v>
      </c>
      <c r="V129" s="3" t="s">
        <v>639</v>
      </c>
      <c r="W129" s="3">
        <v>0</v>
      </c>
      <c r="X129" s="3">
        <v>0</v>
      </c>
      <c r="Y129" s="3">
        <v>0</v>
      </c>
      <c r="Z129" s="5">
        <v>0</v>
      </c>
      <c r="AA129" s="5">
        <v>0</v>
      </c>
      <c r="AB129" s="5">
        <v>0</v>
      </c>
    </row>
    <row r="130" spans="1:28" x14ac:dyDescent="0.25">
      <c r="A130">
        <v>123</v>
      </c>
      <c r="B130" s="10" t="s">
        <v>640</v>
      </c>
      <c r="C130" s="10"/>
      <c r="D130" s="3" t="s">
        <v>641</v>
      </c>
      <c r="E130" s="3" t="s">
        <v>642</v>
      </c>
      <c r="F130" s="3"/>
      <c r="G130" s="3" t="s">
        <v>643</v>
      </c>
      <c r="H130" s="3" t="s">
        <v>14</v>
      </c>
      <c r="I130" s="3" t="s">
        <v>6</v>
      </c>
      <c r="J130" s="3"/>
      <c r="K130" s="3" t="s">
        <v>644</v>
      </c>
      <c r="L130" s="3"/>
      <c r="M130" s="3"/>
      <c r="N130" s="3" t="s">
        <v>22</v>
      </c>
      <c r="O130" s="3"/>
      <c r="P130" s="3"/>
      <c r="Q130" s="4">
        <v>46045</v>
      </c>
      <c r="R130" s="5">
        <v>21948.9</v>
      </c>
      <c r="S130" s="3">
        <v>59</v>
      </c>
      <c r="T130" s="3"/>
      <c r="U130" s="3">
        <v>0</v>
      </c>
      <c r="V130" s="3" t="s">
        <v>8</v>
      </c>
      <c r="W130" s="5">
        <v>21319.15</v>
      </c>
      <c r="X130" s="5">
        <v>3117.61</v>
      </c>
      <c r="Y130" s="5">
        <v>747.5</v>
      </c>
      <c r="Z130" s="3">
        <v>0.02</v>
      </c>
      <c r="AA130" s="3">
        <v>0</v>
      </c>
      <c r="AB130" s="5">
        <v>25184.28</v>
      </c>
    </row>
    <row r="131" spans="1:28" x14ac:dyDescent="0.25">
      <c r="A131">
        <v>124</v>
      </c>
      <c r="B131" s="10" t="s">
        <v>645</v>
      </c>
      <c r="C131" s="10" t="s">
        <v>1087</v>
      </c>
      <c r="D131" s="3" t="s">
        <v>646</v>
      </c>
      <c r="E131" s="3" t="s">
        <v>647</v>
      </c>
      <c r="F131" s="3"/>
      <c r="G131" s="3" t="s">
        <v>648</v>
      </c>
      <c r="H131" s="3" t="s">
        <v>14</v>
      </c>
      <c r="I131" s="3" t="s">
        <v>6</v>
      </c>
      <c r="J131" s="3"/>
      <c r="K131" s="3" t="s">
        <v>649</v>
      </c>
      <c r="L131" s="3"/>
      <c r="M131" s="3"/>
      <c r="N131" s="3" t="s">
        <v>22</v>
      </c>
      <c r="O131" s="3"/>
      <c r="P131" s="3"/>
      <c r="Q131" s="4">
        <v>46081</v>
      </c>
      <c r="R131" s="5">
        <v>18400</v>
      </c>
      <c r="S131" s="3">
        <v>71</v>
      </c>
      <c r="T131" s="3"/>
      <c r="U131" s="3">
        <v>0</v>
      </c>
      <c r="V131" s="3" t="s">
        <v>8</v>
      </c>
      <c r="W131" s="5">
        <v>20861</v>
      </c>
      <c r="X131" s="3">
        <v>0</v>
      </c>
      <c r="Y131" s="3">
        <v>0</v>
      </c>
      <c r="Z131" s="3">
        <v>0</v>
      </c>
      <c r="AA131" s="3">
        <v>0</v>
      </c>
      <c r="AB131" s="5">
        <v>20861</v>
      </c>
    </row>
    <row r="132" spans="1:28" x14ac:dyDescent="0.25">
      <c r="A132">
        <v>125</v>
      </c>
      <c r="B132" s="10" t="s">
        <v>650</v>
      </c>
      <c r="C132" s="10"/>
      <c r="D132" s="3" t="s">
        <v>651</v>
      </c>
      <c r="E132" s="3" t="s">
        <v>652</v>
      </c>
      <c r="F132" s="3" t="s">
        <v>653</v>
      </c>
      <c r="G132" s="3"/>
      <c r="H132" s="3" t="s">
        <v>14</v>
      </c>
      <c r="I132" s="3" t="s">
        <v>6</v>
      </c>
      <c r="J132" s="3"/>
      <c r="K132" s="3" t="s">
        <v>654</v>
      </c>
      <c r="L132" s="3"/>
      <c r="M132" s="3"/>
      <c r="N132" s="3"/>
      <c r="O132" s="3">
        <v>1400</v>
      </c>
      <c r="P132" s="3"/>
      <c r="Q132" s="4">
        <v>46058</v>
      </c>
      <c r="R132" s="5">
        <v>340000</v>
      </c>
      <c r="S132" s="3">
        <v>1456</v>
      </c>
      <c r="T132" s="3"/>
      <c r="U132" s="3">
        <v>0</v>
      </c>
      <c r="V132" s="3" t="s">
        <v>8</v>
      </c>
      <c r="W132" s="3">
        <v>0</v>
      </c>
      <c r="X132" s="5">
        <v>895</v>
      </c>
      <c r="Y132" s="3">
        <v>0</v>
      </c>
      <c r="Z132" s="3">
        <v>0</v>
      </c>
      <c r="AA132" s="3">
        <v>0</v>
      </c>
      <c r="AB132" s="5">
        <v>895</v>
      </c>
    </row>
    <row r="133" spans="1:28" x14ac:dyDescent="0.25">
      <c r="A133">
        <v>126</v>
      </c>
      <c r="B133" s="10" t="s">
        <v>655</v>
      </c>
      <c r="C133" s="10" t="s">
        <v>1088</v>
      </c>
      <c r="D133" s="3" t="s">
        <v>656</v>
      </c>
      <c r="E133" s="3" t="s">
        <v>657</v>
      </c>
      <c r="F133" s="3" t="s">
        <v>658</v>
      </c>
      <c r="G133" s="3" t="s">
        <v>659</v>
      </c>
      <c r="H133" s="3" t="s">
        <v>14</v>
      </c>
      <c r="I133" s="3" t="s">
        <v>6</v>
      </c>
      <c r="J133" s="3"/>
      <c r="K133" s="3" t="s">
        <v>660</v>
      </c>
      <c r="L133" s="3"/>
      <c r="M133" s="3"/>
      <c r="N133" s="3" t="s">
        <v>22</v>
      </c>
      <c r="O133" s="3"/>
      <c r="P133" s="3"/>
      <c r="Q133" s="4">
        <v>46051</v>
      </c>
      <c r="R133" s="5">
        <v>13627.5</v>
      </c>
      <c r="S133" s="3">
        <v>31</v>
      </c>
      <c r="T133" s="3"/>
      <c r="U133" s="3">
        <v>0</v>
      </c>
      <c r="V133" s="3" t="s">
        <v>8</v>
      </c>
      <c r="W133" s="5">
        <v>13627.5</v>
      </c>
      <c r="X133" s="3">
        <v>0</v>
      </c>
      <c r="Y133" s="3">
        <v>0</v>
      </c>
      <c r="Z133" s="3">
        <v>0</v>
      </c>
      <c r="AA133" s="3">
        <v>0</v>
      </c>
      <c r="AB133" s="5">
        <v>13627.5</v>
      </c>
    </row>
    <row r="134" spans="1:28" x14ac:dyDescent="0.25">
      <c r="A134">
        <v>127</v>
      </c>
      <c r="B134" s="10">
        <v>1137</v>
      </c>
      <c r="C134" s="10"/>
      <c r="D134" s="3" t="s">
        <v>661</v>
      </c>
      <c r="E134" s="3" t="s">
        <v>662</v>
      </c>
      <c r="F134" s="3"/>
      <c r="G134" s="3" t="s">
        <v>663</v>
      </c>
      <c r="H134" s="3" t="s">
        <v>14</v>
      </c>
      <c r="I134" s="3" t="s">
        <v>6</v>
      </c>
      <c r="J134" s="3" t="s">
        <v>15</v>
      </c>
      <c r="K134" s="3" t="s">
        <v>664</v>
      </c>
      <c r="L134" s="3"/>
      <c r="M134" s="3"/>
      <c r="N134" s="3" t="s">
        <v>22</v>
      </c>
      <c r="O134" s="3"/>
      <c r="P134" s="3"/>
      <c r="Q134" s="4">
        <v>46081</v>
      </c>
      <c r="R134" s="5">
        <v>2458.6999999999998</v>
      </c>
      <c r="S134" s="3">
        <v>279</v>
      </c>
      <c r="T134" s="3"/>
      <c r="U134" s="3">
        <v>0</v>
      </c>
      <c r="V134" s="3" t="s">
        <v>8</v>
      </c>
      <c r="W134" s="5">
        <v>2458.6999999999998</v>
      </c>
      <c r="X134" s="3">
        <v>0</v>
      </c>
      <c r="Y134" s="3">
        <v>0</v>
      </c>
      <c r="Z134" s="3">
        <v>0</v>
      </c>
      <c r="AA134" s="3">
        <v>0</v>
      </c>
      <c r="AB134" s="5">
        <v>2458.6999999999998</v>
      </c>
    </row>
    <row r="135" spans="1:28" x14ac:dyDescent="0.25">
      <c r="A135">
        <v>128</v>
      </c>
      <c r="B135" s="10" t="s">
        <v>665</v>
      </c>
      <c r="C135" s="10"/>
      <c r="D135" s="3" t="s">
        <v>666</v>
      </c>
      <c r="E135" s="3" t="s">
        <v>667</v>
      </c>
      <c r="F135" s="3" t="s">
        <v>668</v>
      </c>
      <c r="G135" s="3" t="s">
        <v>669</v>
      </c>
      <c r="H135" s="3" t="s">
        <v>14</v>
      </c>
      <c r="I135" s="3" t="s">
        <v>6</v>
      </c>
      <c r="J135" s="3" t="s">
        <v>15</v>
      </c>
      <c r="K135" s="3" t="s">
        <v>670</v>
      </c>
      <c r="L135" s="3"/>
      <c r="M135" s="3"/>
      <c r="N135" s="3" t="s">
        <v>22</v>
      </c>
      <c r="O135" s="3"/>
      <c r="P135" s="3"/>
      <c r="Q135" s="4">
        <v>45625</v>
      </c>
      <c r="R135" s="5">
        <v>19285.5</v>
      </c>
      <c r="S135" s="3">
        <v>200</v>
      </c>
      <c r="T135" s="3"/>
      <c r="U135" s="3">
        <v>0</v>
      </c>
      <c r="V135" s="3" t="s">
        <v>8</v>
      </c>
      <c r="W135" s="3">
        <v>0</v>
      </c>
      <c r="X135" s="3">
        <v>0</v>
      </c>
      <c r="Y135" s="3">
        <v>0</v>
      </c>
      <c r="Z135" s="3">
        <v>0</v>
      </c>
      <c r="AA135" s="5">
        <v>38548</v>
      </c>
      <c r="AB135" s="5">
        <v>38548</v>
      </c>
    </row>
    <row r="136" spans="1:28" x14ac:dyDescent="0.25">
      <c r="A136">
        <v>129</v>
      </c>
      <c r="B136" s="10" t="s">
        <v>671</v>
      </c>
      <c r="C136" s="10"/>
      <c r="D136" s="3" t="s">
        <v>672</v>
      </c>
      <c r="E136" s="3" t="s">
        <v>672</v>
      </c>
      <c r="F136" s="6" t="s">
        <v>673</v>
      </c>
      <c r="G136" s="3" t="s">
        <v>674</v>
      </c>
      <c r="H136" s="3" t="s">
        <v>14</v>
      </c>
      <c r="I136" s="3" t="s">
        <v>6</v>
      </c>
      <c r="J136" s="3"/>
      <c r="K136" s="3" t="s">
        <v>675</v>
      </c>
      <c r="L136" s="3"/>
      <c r="M136" s="3"/>
      <c r="N136" s="3"/>
      <c r="O136" s="3"/>
      <c r="P136" s="3"/>
      <c r="Q136" s="4">
        <v>46055</v>
      </c>
      <c r="R136" s="5">
        <v>113.85</v>
      </c>
      <c r="S136" s="3">
        <v>54</v>
      </c>
      <c r="T136" s="3"/>
      <c r="U136" s="3">
        <v>0</v>
      </c>
      <c r="V136" s="3" t="s">
        <v>8</v>
      </c>
      <c r="W136" s="5">
        <v>113.85</v>
      </c>
      <c r="X136" s="3">
        <v>0</v>
      </c>
      <c r="Y136" s="3">
        <v>0</v>
      </c>
      <c r="Z136" s="3">
        <v>0</v>
      </c>
      <c r="AA136" s="5">
        <v>-113.79</v>
      </c>
      <c r="AB136" s="3">
        <v>0.06</v>
      </c>
    </row>
    <row r="137" spans="1:28" x14ac:dyDescent="0.25">
      <c r="A137">
        <v>130</v>
      </c>
      <c r="B137" s="10" t="s">
        <v>676</v>
      </c>
      <c r="C137" s="10" t="s">
        <v>1089</v>
      </c>
      <c r="D137" s="3" t="s">
        <v>677</v>
      </c>
      <c r="E137" s="3" t="s">
        <v>678</v>
      </c>
      <c r="F137" s="3" t="s">
        <v>679</v>
      </c>
      <c r="G137" s="3" t="s">
        <v>680</v>
      </c>
      <c r="H137" s="3" t="s">
        <v>14</v>
      </c>
      <c r="I137" s="3" t="s">
        <v>6</v>
      </c>
      <c r="J137" s="3" t="s">
        <v>15</v>
      </c>
      <c r="K137" s="3" t="s">
        <v>681</v>
      </c>
      <c r="L137" s="3"/>
      <c r="M137" s="3"/>
      <c r="N137" s="3"/>
      <c r="O137" s="3">
        <v>2000</v>
      </c>
      <c r="P137" s="3"/>
      <c r="Q137" s="4">
        <v>46081</v>
      </c>
      <c r="R137" s="5">
        <v>338.25</v>
      </c>
      <c r="S137" s="3">
        <v>41</v>
      </c>
      <c r="T137" s="3"/>
      <c r="U137" s="3">
        <v>0</v>
      </c>
      <c r="V137" s="3" t="s">
        <v>8</v>
      </c>
      <c r="W137" s="5">
        <v>338.25</v>
      </c>
      <c r="X137" s="3">
        <v>0</v>
      </c>
      <c r="Y137" s="3">
        <v>0.33</v>
      </c>
      <c r="Z137" s="3">
        <v>0</v>
      </c>
      <c r="AA137" s="5">
        <v>-0.33</v>
      </c>
      <c r="AB137" s="5">
        <v>338.25</v>
      </c>
    </row>
    <row r="138" spans="1:28" x14ac:dyDescent="0.25">
      <c r="A138">
        <v>131</v>
      </c>
      <c r="B138" s="10" t="s">
        <v>682</v>
      </c>
      <c r="C138" s="10" t="s">
        <v>1090</v>
      </c>
      <c r="D138" s="3" t="s">
        <v>683</v>
      </c>
      <c r="E138" s="3" t="s">
        <v>684</v>
      </c>
      <c r="F138" s="3" t="s">
        <v>685</v>
      </c>
      <c r="G138" s="3" t="s">
        <v>686</v>
      </c>
      <c r="H138" s="3" t="s">
        <v>14</v>
      </c>
      <c r="I138" s="3" t="s">
        <v>6</v>
      </c>
      <c r="J138" s="3"/>
      <c r="K138" s="3" t="s">
        <v>687</v>
      </c>
      <c r="L138" s="3"/>
      <c r="M138" s="3"/>
      <c r="N138" s="3" t="s">
        <v>22</v>
      </c>
      <c r="O138" s="3"/>
      <c r="P138" s="3"/>
      <c r="Q138" s="4">
        <v>46049</v>
      </c>
      <c r="R138" s="5">
        <v>79159.33</v>
      </c>
      <c r="S138" s="3">
        <v>116</v>
      </c>
      <c r="T138" s="3"/>
      <c r="U138" s="3">
        <v>0</v>
      </c>
      <c r="V138" s="3" t="s">
        <v>8</v>
      </c>
      <c r="W138" s="5">
        <v>79009.83</v>
      </c>
      <c r="X138" s="5">
        <v>805</v>
      </c>
      <c r="Y138" s="3">
        <v>0</v>
      </c>
      <c r="Z138" s="3">
        <v>0.01</v>
      </c>
      <c r="AA138" s="3">
        <v>0</v>
      </c>
      <c r="AB138" s="5">
        <v>79814.84</v>
      </c>
    </row>
    <row r="139" spans="1:28" x14ac:dyDescent="0.25">
      <c r="A139">
        <v>132</v>
      </c>
      <c r="B139" s="10"/>
      <c r="C139" s="10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4"/>
      <c r="R139" s="5"/>
      <c r="S139" s="3"/>
      <c r="T139" s="3"/>
      <c r="U139" s="3"/>
      <c r="V139" s="3"/>
      <c r="W139" s="5"/>
      <c r="X139" s="5"/>
      <c r="Y139" s="3"/>
      <c r="Z139" s="3"/>
      <c r="AA139" s="3"/>
      <c r="AB139" s="5"/>
    </row>
    <row r="140" spans="1:28" x14ac:dyDescent="0.25">
      <c r="A140">
        <v>133</v>
      </c>
      <c r="B140" s="10" t="s">
        <v>688</v>
      </c>
      <c r="C140" s="10" t="s">
        <v>1091</v>
      </c>
      <c r="D140" s="3" t="s">
        <v>689</v>
      </c>
      <c r="E140" s="3" t="s">
        <v>690</v>
      </c>
      <c r="F140" s="3" t="s">
        <v>691</v>
      </c>
      <c r="G140" s="3" t="s">
        <v>692</v>
      </c>
      <c r="H140" s="3" t="s">
        <v>14</v>
      </c>
      <c r="I140" s="3" t="s">
        <v>6</v>
      </c>
      <c r="J140" s="3"/>
      <c r="K140" s="3" t="s">
        <v>693</v>
      </c>
      <c r="L140" s="3"/>
      <c r="M140" s="3"/>
      <c r="N140" s="3"/>
      <c r="O140" s="3"/>
      <c r="P140" s="3"/>
      <c r="Q140" s="4">
        <v>46062</v>
      </c>
      <c r="R140" s="5">
        <v>14934.9</v>
      </c>
      <c r="S140" s="3">
        <v>284</v>
      </c>
      <c r="T140" s="3" t="s">
        <v>694</v>
      </c>
      <c r="U140" s="3">
        <v>0</v>
      </c>
      <c r="V140" s="3" t="s">
        <v>8</v>
      </c>
      <c r="W140" s="5">
        <v>14934.9</v>
      </c>
      <c r="X140" s="3">
        <v>0</v>
      </c>
      <c r="Y140" s="3">
        <v>0</v>
      </c>
      <c r="Z140" s="3">
        <v>0</v>
      </c>
      <c r="AA140" s="3">
        <v>0</v>
      </c>
      <c r="AB140" s="5">
        <v>14934.9</v>
      </c>
    </row>
    <row r="141" spans="1:28" x14ac:dyDescent="0.25">
      <c r="A141">
        <v>134</v>
      </c>
      <c r="B141" s="10" t="s">
        <v>695</v>
      </c>
      <c r="C141" s="10" t="s">
        <v>1092</v>
      </c>
      <c r="D141" s="3" t="s">
        <v>696</v>
      </c>
      <c r="E141" s="3" t="s">
        <v>697</v>
      </c>
      <c r="F141" s="3" t="s">
        <v>698</v>
      </c>
      <c r="G141" s="3" t="s">
        <v>699</v>
      </c>
      <c r="H141" s="3" t="s">
        <v>14</v>
      </c>
      <c r="I141" s="3" t="s">
        <v>6</v>
      </c>
      <c r="J141" s="3"/>
      <c r="K141" s="3" t="s">
        <v>700</v>
      </c>
      <c r="L141" s="3"/>
      <c r="M141" s="3"/>
      <c r="N141" s="3"/>
      <c r="O141" s="3">
        <v>2136</v>
      </c>
      <c r="P141" s="3"/>
      <c r="Q141" s="4">
        <v>46081</v>
      </c>
      <c r="R141" s="5">
        <v>1682.26</v>
      </c>
      <c r="S141" s="3">
        <v>66</v>
      </c>
      <c r="T141" s="3"/>
      <c r="U141" s="3">
        <v>0</v>
      </c>
      <c r="V141" s="3" t="s">
        <v>8</v>
      </c>
      <c r="W141" s="5">
        <v>1682.26</v>
      </c>
      <c r="X141" s="3">
        <v>0</v>
      </c>
      <c r="Y141" s="3">
        <v>0</v>
      </c>
      <c r="Z141" s="3">
        <v>0</v>
      </c>
      <c r="AA141" s="3">
        <v>0</v>
      </c>
      <c r="AB141" s="5">
        <v>1682.26</v>
      </c>
    </row>
    <row r="142" spans="1:28" x14ac:dyDescent="0.25">
      <c r="A142">
        <v>135</v>
      </c>
      <c r="B142" s="10" t="s">
        <v>701</v>
      </c>
      <c r="C142" s="10"/>
      <c r="D142" s="3" t="s">
        <v>702</v>
      </c>
      <c r="E142" s="3" t="s">
        <v>703</v>
      </c>
      <c r="F142" s="3" t="s">
        <v>704</v>
      </c>
      <c r="G142" s="3" t="s">
        <v>705</v>
      </c>
      <c r="H142" s="3" t="s">
        <v>14</v>
      </c>
      <c r="I142" s="3" t="s">
        <v>6</v>
      </c>
      <c r="J142" s="3"/>
      <c r="K142" s="3" t="s">
        <v>706</v>
      </c>
      <c r="L142" s="3"/>
      <c r="M142" s="3"/>
      <c r="N142" s="3"/>
      <c r="O142" s="3"/>
      <c r="P142" s="3"/>
      <c r="Q142" s="4">
        <v>46056</v>
      </c>
      <c r="R142" s="5">
        <v>583.03</v>
      </c>
      <c r="S142" s="3">
        <v>113</v>
      </c>
      <c r="T142" s="3"/>
      <c r="U142" s="3">
        <v>0</v>
      </c>
      <c r="V142" s="3" t="s">
        <v>8</v>
      </c>
      <c r="W142" s="5">
        <v>583.03</v>
      </c>
      <c r="X142" s="3">
        <v>0</v>
      </c>
      <c r="Y142" s="3">
        <v>0</v>
      </c>
      <c r="Z142" s="3">
        <v>0</v>
      </c>
      <c r="AA142" s="3">
        <v>0</v>
      </c>
      <c r="AB142" s="5">
        <v>583.03</v>
      </c>
    </row>
    <row r="143" spans="1:28" x14ac:dyDescent="0.25">
      <c r="A143">
        <v>136</v>
      </c>
      <c r="B143" s="10" t="s">
        <v>707</v>
      </c>
      <c r="C143" s="10"/>
      <c r="D143" s="3" t="s">
        <v>708</v>
      </c>
      <c r="E143" s="3" t="s">
        <v>709</v>
      </c>
      <c r="F143" s="3" t="s">
        <v>710</v>
      </c>
      <c r="G143" s="3" t="s">
        <v>711</v>
      </c>
      <c r="H143" s="3" t="s">
        <v>249</v>
      </c>
      <c r="I143" s="3" t="s">
        <v>6</v>
      </c>
      <c r="J143" s="3" t="s">
        <v>15</v>
      </c>
      <c r="K143" s="3" t="s">
        <v>712</v>
      </c>
      <c r="L143" s="3"/>
      <c r="M143" s="3"/>
      <c r="N143" s="3" t="s">
        <v>22</v>
      </c>
      <c r="O143" s="3"/>
      <c r="P143" s="3"/>
      <c r="Q143" s="4">
        <v>45716</v>
      </c>
      <c r="R143" s="5">
        <v>154.88999999999999</v>
      </c>
      <c r="S143" s="3">
        <v>53</v>
      </c>
      <c r="T143" s="3"/>
      <c r="U143" s="3">
        <v>0</v>
      </c>
      <c r="V143" s="3" t="s">
        <v>8</v>
      </c>
      <c r="W143" s="3">
        <v>0</v>
      </c>
      <c r="X143" s="3">
        <v>0</v>
      </c>
      <c r="Y143" s="3">
        <v>0</v>
      </c>
      <c r="Z143" s="3">
        <v>0</v>
      </c>
      <c r="AA143" s="5">
        <v>0</v>
      </c>
      <c r="AB143" s="5">
        <v>0</v>
      </c>
    </row>
    <row r="144" spans="1:28" x14ac:dyDescent="0.25">
      <c r="A144">
        <v>137</v>
      </c>
      <c r="B144" s="10" t="s">
        <v>713</v>
      </c>
      <c r="C144" s="10"/>
      <c r="D144" s="3" t="s">
        <v>714</v>
      </c>
      <c r="E144" s="3" t="s">
        <v>715</v>
      </c>
      <c r="F144" s="3" t="s">
        <v>716</v>
      </c>
      <c r="G144" s="3" t="s">
        <v>717</v>
      </c>
      <c r="H144" s="3" t="s">
        <v>14</v>
      </c>
      <c r="I144" s="3" t="s">
        <v>6</v>
      </c>
      <c r="J144" s="3" t="s">
        <v>33</v>
      </c>
      <c r="K144" s="3" t="s">
        <v>718</v>
      </c>
      <c r="L144" s="3"/>
      <c r="M144" s="3"/>
      <c r="N144" s="3" t="s">
        <v>22</v>
      </c>
      <c r="O144" s="3"/>
      <c r="P144" s="3"/>
      <c r="Q144" s="3"/>
      <c r="R144" s="3">
        <v>0</v>
      </c>
      <c r="S144" s="3">
        <v>523</v>
      </c>
      <c r="T144" s="3"/>
      <c r="U144" s="3">
        <v>0</v>
      </c>
      <c r="V144" s="3" t="s">
        <v>8</v>
      </c>
      <c r="W144" s="3">
        <v>0</v>
      </c>
      <c r="X144" s="3">
        <v>0</v>
      </c>
      <c r="Y144" s="3">
        <v>0</v>
      </c>
      <c r="Z144" s="5">
        <v>1505.1</v>
      </c>
      <c r="AA144" s="3">
        <v>0</v>
      </c>
      <c r="AB144" s="5">
        <v>1505.1</v>
      </c>
    </row>
    <row r="145" spans="1:28" x14ac:dyDescent="0.25">
      <c r="A145">
        <v>138</v>
      </c>
      <c r="B145" s="10" t="s">
        <v>719</v>
      </c>
      <c r="C145" s="10" t="s">
        <v>1093</v>
      </c>
      <c r="D145" s="3" t="s">
        <v>720</v>
      </c>
      <c r="E145" s="3" t="s">
        <v>721</v>
      </c>
      <c r="F145" s="3" t="s">
        <v>722</v>
      </c>
      <c r="G145" s="3" t="s">
        <v>723</v>
      </c>
      <c r="H145" s="3" t="s">
        <v>14</v>
      </c>
      <c r="I145" s="3" t="s">
        <v>6</v>
      </c>
      <c r="J145" s="3" t="s">
        <v>15</v>
      </c>
      <c r="K145" s="3" t="s">
        <v>724</v>
      </c>
      <c r="L145" s="3"/>
      <c r="M145" s="3"/>
      <c r="N145" s="3"/>
      <c r="O145" s="3">
        <v>1462</v>
      </c>
      <c r="P145" s="3"/>
      <c r="Q145" s="4">
        <v>46081</v>
      </c>
      <c r="R145" s="5">
        <v>60140.26</v>
      </c>
      <c r="S145" s="3">
        <v>549</v>
      </c>
      <c r="T145" s="3"/>
      <c r="U145" s="3">
        <v>0</v>
      </c>
      <c r="V145" s="3" t="s">
        <v>8</v>
      </c>
      <c r="W145" s="5">
        <v>60140.26</v>
      </c>
      <c r="X145" s="3">
        <v>0</v>
      </c>
      <c r="Y145" s="3">
        <v>0</v>
      </c>
      <c r="Z145" s="3">
        <v>0</v>
      </c>
      <c r="AA145" s="3">
        <v>0</v>
      </c>
      <c r="AB145" s="5">
        <v>60140.26</v>
      </c>
    </row>
    <row r="146" spans="1:28" x14ac:dyDescent="0.25">
      <c r="A146">
        <v>139</v>
      </c>
      <c r="B146" s="10" t="s">
        <v>725</v>
      </c>
      <c r="C146" s="10" t="s">
        <v>1094</v>
      </c>
      <c r="D146" s="3" t="s">
        <v>726</v>
      </c>
      <c r="E146" s="3" t="s">
        <v>727</v>
      </c>
      <c r="F146" s="3" t="s">
        <v>728</v>
      </c>
      <c r="G146" s="3" t="s">
        <v>729</v>
      </c>
      <c r="H146" s="3" t="s">
        <v>14</v>
      </c>
      <c r="I146" s="3" t="s">
        <v>6</v>
      </c>
      <c r="J146" s="3" t="s">
        <v>15</v>
      </c>
      <c r="K146" s="3" t="s">
        <v>730</v>
      </c>
      <c r="L146" s="3"/>
      <c r="M146" s="3"/>
      <c r="N146" s="3"/>
      <c r="O146" s="3"/>
      <c r="P146" s="3"/>
      <c r="Q146" s="4">
        <v>46081</v>
      </c>
      <c r="R146" s="5">
        <v>698.74</v>
      </c>
      <c r="S146" s="3">
        <v>78</v>
      </c>
      <c r="T146" s="3"/>
      <c r="U146" s="3">
        <v>0</v>
      </c>
      <c r="V146" s="3" t="s">
        <v>8</v>
      </c>
      <c r="W146" s="5">
        <v>349.37</v>
      </c>
      <c r="X146" s="3">
        <v>0</v>
      </c>
      <c r="Y146" s="3">
        <v>0</v>
      </c>
      <c r="Z146" s="3">
        <v>0</v>
      </c>
      <c r="AA146" s="3">
        <v>0</v>
      </c>
      <c r="AB146" s="5">
        <v>349.37</v>
      </c>
    </row>
    <row r="147" spans="1:28" x14ac:dyDescent="0.25">
      <c r="A147">
        <v>140</v>
      </c>
      <c r="B147" s="10" t="s">
        <v>731</v>
      </c>
      <c r="C147" s="10" t="s">
        <v>1095</v>
      </c>
      <c r="D147" s="3" t="s">
        <v>732</v>
      </c>
      <c r="E147" s="3" t="s">
        <v>733</v>
      </c>
      <c r="F147" s="3" t="s">
        <v>734</v>
      </c>
      <c r="G147" s="3" t="s">
        <v>735</v>
      </c>
      <c r="H147" s="3" t="s">
        <v>14</v>
      </c>
      <c r="I147" s="3" t="s">
        <v>6</v>
      </c>
      <c r="J147" s="3"/>
      <c r="K147" s="3" t="s">
        <v>736</v>
      </c>
      <c r="L147" s="3"/>
      <c r="M147" s="3"/>
      <c r="N147" s="3"/>
      <c r="O147" s="3">
        <v>2037</v>
      </c>
      <c r="P147" s="3"/>
      <c r="Q147" s="4">
        <v>46080</v>
      </c>
      <c r="R147" s="5">
        <v>938.4</v>
      </c>
      <c r="S147" s="3">
        <v>106</v>
      </c>
      <c r="T147" s="3"/>
      <c r="U147" s="3">
        <v>0</v>
      </c>
      <c r="V147" s="3" t="s">
        <v>8</v>
      </c>
      <c r="W147" s="5">
        <v>938.4</v>
      </c>
      <c r="X147" s="3">
        <v>0</v>
      </c>
      <c r="Y147" s="3">
        <v>0</v>
      </c>
      <c r="Z147" s="3">
        <v>0</v>
      </c>
      <c r="AA147" s="3">
        <v>0</v>
      </c>
      <c r="AB147" s="5">
        <v>938.4</v>
      </c>
    </row>
    <row r="148" spans="1:28" x14ac:dyDescent="0.25">
      <c r="A148">
        <v>141</v>
      </c>
      <c r="B148" s="10" t="s">
        <v>737</v>
      </c>
      <c r="C148" s="10" t="s">
        <v>1096</v>
      </c>
      <c r="D148" s="3" t="s">
        <v>738</v>
      </c>
      <c r="E148" s="3" t="s">
        <v>739</v>
      </c>
      <c r="F148" s="3"/>
      <c r="G148" s="3" t="s">
        <v>740</v>
      </c>
      <c r="H148" s="3" t="s">
        <v>14</v>
      </c>
      <c r="I148" s="3"/>
      <c r="J148" s="3"/>
      <c r="K148" s="3" t="s">
        <v>741</v>
      </c>
      <c r="L148" s="3"/>
      <c r="M148" s="3"/>
      <c r="N148" s="3"/>
      <c r="O148" s="3">
        <v>2144</v>
      </c>
      <c r="P148" s="3"/>
      <c r="Q148" s="4">
        <v>46077</v>
      </c>
      <c r="R148" s="5">
        <v>2817.5</v>
      </c>
      <c r="S148" s="3">
        <v>179</v>
      </c>
      <c r="T148" s="3"/>
      <c r="U148" s="3">
        <v>0</v>
      </c>
      <c r="V148" s="3" t="s">
        <v>8</v>
      </c>
      <c r="W148" s="5">
        <v>2817.5</v>
      </c>
      <c r="X148" s="3">
        <v>0</v>
      </c>
      <c r="Y148" s="3">
        <v>0</v>
      </c>
      <c r="Z148" s="3">
        <v>0</v>
      </c>
      <c r="AA148" s="3">
        <v>0</v>
      </c>
      <c r="AB148" s="5">
        <v>2817.5</v>
      </c>
    </row>
    <row r="149" spans="1:28" x14ac:dyDescent="0.25">
      <c r="A149">
        <v>142</v>
      </c>
      <c r="B149" s="10" t="s">
        <v>742</v>
      </c>
      <c r="C149" s="10" t="s">
        <v>1097</v>
      </c>
      <c r="D149" s="3" t="s">
        <v>743</v>
      </c>
      <c r="E149" s="3" t="s">
        <v>744</v>
      </c>
      <c r="F149" s="3" t="s">
        <v>745</v>
      </c>
      <c r="G149" s="3" t="s">
        <v>746</v>
      </c>
      <c r="H149" s="3" t="s">
        <v>14</v>
      </c>
      <c r="I149" s="3" t="s">
        <v>6</v>
      </c>
      <c r="J149" s="3" t="s">
        <v>15</v>
      </c>
      <c r="K149" s="3" t="s">
        <v>747</v>
      </c>
      <c r="L149" s="3"/>
      <c r="M149" s="3"/>
      <c r="N149" s="3" t="s">
        <v>22</v>
      </c>
      <c r="O149" s="3"/>
      <c r="P149" s="3"/>
      <c r="Q149" s="4">
        <v>46081</v>
      </c>
      <c r="R149" s="5">
        <v>232.14</v>
      </c>
      <c r="S149" s="3">
        <v>68</v>
      </c>
      <c r="T149" s="3"/>
      <c r="U149" s="3">
        <v>0</v>
      </c>
      <c r="V149" s="3" t="s">
        <v>8</v>
      </c>
      <c r="W149" s="5">
        <v>232.14</v>
      </c>
      <c r="X149" s="3">
        <v>0</v>
      </c>
      <c r="Y149" s="3">
        <v>0</v>
      </c>
      <c r="Z149" s="3">
        <v>0</v>
      </c>
      <c r="AA149" s="3">
        <v>0</v>
      </c>
      <c r="AB149" s="5">
        <v>232.14</v>
      </c>
    </row>
    <row r="150" spans="1:28" x14ac:dyDescent="0.25">
      <c r="A150">
        <v>143</v>
      </c>
      <c r="B150" s="10">
        <v>1119</v>
      </c>
      <c r="C150" s="10"/>
      <c r="D150" s="3" t="s">
        <v>748</v>
      </c>
      <c r="E150" s="3" t="s">
        <v>749</v>
      </c>
      <c r="F150" s="3" t="s">
        <v>750</v>
      </c>
      <c r="G150" s="3" t="s">
        <v>751</v>
      </c>
      <c r="H150" s="3" t="s">
        <v>14</v>
      </c>
      <c r="I150" s="3" t="s">
        <v>6</v>
      </c>
      <c r="J150" s="3" t="s">
        <v>33</v>
      </c>
      <c r="K150" s="3" t="s">
        <v>752</v>
      </c>
      <c r="L150" s="3" t="s">
        <v>753</v>
      </c>
      <c r="M150" s="3" t="s">
        <v>754</v>
      </c>
      <c r="N150" s="3"/>
      <c r="O150" s="3">
        <v>3910</v>
      </c>
      <c r="P150" s="3"/>
      <c r="Q150" s="4">
        <v>45847</v>
      </c>
      <c r="R150" s="5">
        <v>5000</v>
      </c>
      <c r="S150" s="3">
        <v>300</v>
      </c>
      <c r="T150" s="3"/>
      <c r="U150" s="3">
        <v>0</v>
      </c>
      <c r="V150" s="3" t="s">
        <v>8</v>
      </c>
      <c r="W150" s="3">
        <v>0</v>
      </c>
      <c r="X150" s="3">
        <v>0</v>
      </c>
      <c r="Y150" s="3">
        <v>0</v>
      </c>
      <c r="Z150" s="3">
        <v>0</v>
      </c>
      <c r="AA150" s="5">
        <v>88002.8</v>
      </c>
      <c r="AB150" s="5">
        <v>88002.8</v>
      </c>
    </row>
    <row r="151" spans="1:28" x14ac:dyDescent="0.25">
      <c r="A151">
        <v>144</v>
      </c>
      <c r="B151" s="10">
        <v>2275</v>
      </c>
      <c r="C151" s="10" t="s">
        <v>1098</v>
      </c>
      <c r="D151" s="3" t="s">
        <v>755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>
        <v>0</v>
      </c>
      <c r="S151" s="3">
        <v>31</v>
      </c>
      <c r="T151" s="3"/>
      <c r="U151" s="3">
        <v>0</v>
      </c>
      <c r="V151" s="3" t="s">
        <v>8</v>
      </c>
      <c r="W151" s="5">
        <v>13436.6</v>
      </c>
      <c r="X151" s="3">
        <v>0</v>
      </c>
      <c r="Y151" s="3">
        <v>0</v>
      </c>
      <c r="Z151" s="3">
        <v>0</v>
      </c>
      <c r="AA151" s="3">
        <v>0</v>
      </c>
      <c r="AB151" s="5">
        <v>13436.6</v>
      </c>
    </row>
    <row r="152" spans="1:28" x14ac:dyDescent="0.25">
      <c r="A152">
        <v>145</v>
      </c>
      <c r="B152" s="10" t="s">
        <v>756</v>
      </c>
      <c r="C152" s="10"/>
      <c r="D152" s="3" t="s">
        <v>757</v>
      </c>
      <c r="E152" s="3" t="s">
        <v>758</v>
      </c>
      <c r="F152" s="3" t="s">
        <v>759</v>
      </c>
      <c r="G152" s="3" t="s">
        <v>760</v>
      </c>
      <c r="H152" s="3" t="s">
        <v>236</v>
      </c>
      <c r="I152" s="3" t="s">
        <v>6</v>
      </c>
      <c r="J152" s="3" t="s">
        <v>33</v>
      </c>
      <c r="K152" s="3" t="s">
        <v>761</v>
      </c>
      <c r="L152" s="3"/>
      <c r="M152" s="3"/>
      <c r="N152" s="3"/>
      <c r="O152" s="3">
        <v>2128</v>
      </c>
      <c r="P152" s="3"/>
      <c r="Q152" s="4">
        <v>43231</v>
      </c>
      <c r="R152" s="5">
        <v>164934.66</v>
      </c>
      <c r="S152" s="3">
        <v>1540</v>
      </c>
      <c r="T152" s="3"/>
      <c r="U152" s="3">
        <v>0</v>
      </c>
      <c r="V152" s="3" t="s">
        <v>8</v>
      </c>
      <c r="W152" s="3">
        <v>0</v>
      </c>
      <c r="X152" s="3">
        <v>0</v>
      </c>
      <c r="Y152" s="3">
        <v>0</v>
      </c>
      <c r="Z152" s="3">
        <v>0</v>
      </c>
      <c r="AA152" s="5">
        <v>0</v>
      </c>
      <c r="AB152" s="5">
        <v>0</v>
      </c>
    </row>
    <row r="153" spans="1:28" x14ac:dyDescent="0.25">
      <c r="A153">
        <v>146</v>
      </c>
      <c r="B153" s="10">
        <v>682</v>
      </c>
      <c r="C153" s="10" t="s">
        <v>1099</v>
      </c>
      <c r="D153" s="3" t="s">
        <v>762</v>
      </c>
      <c r="E153" s="3" t="s">
        <v>763</v>
      </c>
      <c r="F153" s="3" t="s">
        <v>764</v>
      </c>
      <c r="G153" s="3" t="s">
        <v>765</v>
      </c>
      <c r="H153" s="3" t="s">
        <v>14</v>
      </c>
      <c r="I153" s="3" t="s">
        <v>6</v>
      </c>
      <c r="J153" s="3" t="s">
        <v>15</v>
      </c>
      <c r="K153" s="3"/>
      <c r="L153" s="3"/>
      <c r="M153" s="3"/>
      <c r="N153" s="3"/>
      <c r="O153" s="3"/>
      <c r="P153" s="3"/>
      <c r="Q153" s="4">
        <v>46081</v>
      </c>
      <c r="R153" s="5">
        <v>5559.8</v>
      </c>
      <c r="S153" s="3">
        <v>261</v>
      </c>
      <c r="T153" s="3"/>
      <c r="U153" s="3">
        <v>0</v>
      </c>
      <c r="V153" s="3" t="s">
        <v>8</v>
      </c>
      <c r="W153" s="5">
        <v>5559.8</v>
      </c>
      <c r="X153" s="3">
        <v>0</v>
      </c>
      <c r="Y153" s="3">
        <v>0</v>
      </c>
      <c r="Z153" s="3">
        <v>0</v>
      </c>
      <c r="AA153" s="3">
        <v>0</v>
      </c>
      <c r="AB153" s="5">
        <v>5559.8</v>
      </c>
    </row>
    <row r="154" spans="1:28" x14ac:dyDescent="0.25">
      <c r="A154">
        <v>147</v>
      </c>
      <c r="B154" s="10">
        <v>2276</v>
      </c>
      <c r="C154" s="10" t="s">
        <v>1100</v>
      </c>
      <c r="D154" s="3" t="s">
        <v>766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>
        <v>0</v>
      </c>
      <c r="S154" s="3">
        <v>31</v>
      </c>
      <c r="T154" s="3"/>
      <c r="U154" s="3">
        <v>0</v>
      </c>
      <c r="V154" s="3" t="s">
        <v>8</v>
      </c>
      <c r="W154" s="5">
        <v>19807.599999999999</v>
      </c>
      <c r="X154" s="3">
        <v>0</v>
      </c>
      <c r="Y154" s="3">
        <v>0</v>
      </c>
      <c r="Z154" s="3">
        <v>0</v>
      </c>
      <c r="AA154" s="3">
        <v>0</v>
      </c>
      <c r="AB154" s="5">
        <v>19807.599999999999</v>
      </c>
    </row>
    <row r="155" spans="1:28" x14ac:dyDescent="0.25">
      <c r="A155">
        <v>148</v>
      </c>
      <c r="B155" s="10" t="s">
        <v>767</v>
      </c>
      <c r="C155" s="10" t="s">
        <v>1101</v>
      </c>
      <c r="D155" s="3" t="s">
        <v>768</v>
      </c>
      <c r="E155" s="3" t="s">
        <v>769</v>
      </c>
      <c r="F155" s="3" t="s">
        <v>770</v>
      </c>
      <c r="G155" s="3" t="s">
        <v>771</v>
      </c>
      <c r="H155" s="3" t="s">
        <v>14</v>
      </c>
      <c r="I155" s="3"/>
      <c r="J155" s="3"/>
      <c r="K155" s="3" t="s">
        <v>772</v>
      </c>
      <c r="L155" s="3"/>
      <c r="M155" s="3"/>
      <c r="N155" s="3"/>
      <c r="O155" s="3">
        <v>1465</v>
      </c>
      <c r="P155" s="3"/>
      <c r="Q155" s="4">
        <v>46052</v>
      </c>
      <c r="R155" s="5">
        <v>21721.360000000001</v>
      </c>
      <c r="S155" s="3">
        <v>172</v>
      </c>
      <c r="T155" s="3"/>
      <c r="U155" s="3">
        <v>0</v>
      </c>
      <c r="V155" s="3" t="s">
        <v>8</v>
      </c>
      <c r="W155" s="5">
        <v>10860.68</v>
      </c>
      <c r="X155" s="5">
        <v>10860.68</v>
      </c>
      <c r="Y155" s="3">
        <v>0</v>
      </c>
      <c r="Z155" s="3">
        <v>0</v>
      </c>
      <c r="AA155" s="3">
        <v>0</v>
      </c>
      <c r="AB155" s="5">
        <v>21721.360000000001</v>
      </c>
    </row>
    <row r="156" spans="1:28" x14ac:dyDescent="0.25">
      <c r="A156">
        <v>149</v>
      </c>
      <c r="B156" s="10" t="s">
        <v>773</v>
      </c>
      <c r="C156" s="10" t="s">
        <v>1102</v>
      </c>
      <c r="D156" s="3" t="s">
        <v>774</v>
      </c>
      <c r="E156" s="3" t="s">
        <v>774</v>
      </c>
      <c r="F156" s="3" t="s">
        <v>775</v>
      </c>
      <c r="G156" s="3" t="s">
        <v>776</v>
      </c>
      <c r="H156" s="3" t="s">
        <v>14</v>
      </c>
      <c r="I156" s="3" t="s">
        <v>6</v>
      </c>
      <c r="J156" s="3" t="s">
        <v>15</v>
      </c>
      <c r="K156" s="3" t="s">
        <v>777</v>
      </c>
      <c r="L156" s="3"/>
      <c r="M156" s="3"/>
      <c r="N156" s="3"/>
      <c r="O156" s="3">
        <v>2196</v>
      </c>
      <c r="P156" s="3"/>
      <c r="Q156" s="4">
        <v>46081</v>
      </c>
      <c r="R156" s="5">
        <v>162.97999999999999</v>
      </c>
      <c r="S156" s="3">
        <v>60</v>
      </c>
      <c r="T156" s="3"/>
      <c r="U156" s="3">
        <v>0</v>
      </c>
      <c r="V156" s="3" t="s">
        <v>8</v>
      </c>
      <c r="W156" s="5">
        <v>162.97999999999999</v>
      </c>
      <c r="X156" s="3">
        <v>0</v>
      </c>
      <c r="Y156" s="3">
        <v>0</v>
      </c>
      <c r="Z156" s="3">
        <v>0</v>
      </c>
      <c r="AA156" s="3">
        <v>0</v>
      </c>
      <c r="AB156" s="5">
        <v>162.97999999999999</v>
      </c>
    </row>
    <row r="157" spans="1:28" x14ac:dyDescent="0.25">
      <c r="A157">
        <v>150</v>
      </c>
      <c r="B157" s="10" t="s">
        <v>778</v>
      </c>
      <c r="C157" s="10" t="s">
        <v>1103</v>
      </c>
      <c r="D157" s="3" t="s">
        <v>779</v>
      </c>
      <c r="E157" s="3" t="s">
        <v>314</v>
      </c>
      <c r="F157" s="3" t="s">
        <v>315</v>
      </c>
      <c r="G157" s="3" t="s">
        <v>316</v>
      </c>
      <c r="H157" s="3" t="s">
        <v>14</v>
      </c>
      <c r="I157" s="3" t="s">
        <v>6</v>
      </c>
      <c r="J157" s="3"/>
      <c r="K157" s="3" t="s">
        <v>780</v>
      </c>
      <c r="L157" s="3"/>
      <c r="M157" s="3"/>
      <c r="N157" s="3"/>
      <c r="O157" s="3">
        <v>1540</v>
      </c>
      <c r="P157" s="3"/>
      <c r="Q157" s="4">
        <v>46081</v>
      </c>
      <c r="R157" s="5">
        <v>8345.5</v>
      </c>
      <c r="S157" s="3">
        <v>43</v>
      </c>
      <c r="T157" s="3"/>
      <c r="U157" s="3">
        <v>0</v>
      </c>
      <c r="V157" s="3" t="s">
        <v>8</v>
      </c>
      <c r="W157" s="5">
        <v>8345.5</v>
      </c>
      <c r="X157" s="3">
        <v>0</v>
      </c>
      <c r="Y157" s="3">
        <v>0</v>
      </c>
      <c r="Z157" s="3">
        <v>0</v>
      </c>
      <c r="AA157" s="3">
        <v>0</v>
      </c>
      <c r="AB157" s="5">
        <v>8345.5</v>
      </c>
    </row>
    <row r="158" spans="1:28" x14ac:dyDescent="0.25">
      <c r="A158">
        <v>151</v>
      </c>
      <c r="B158" s="10" t="s">
        <v>781</v>
      </c>
      <c r="C158" s="10" t="s">
        <v>1104</v>
      </c>
      <c r="D158" s="3" t="s">
        <v>782</v>
      </c>
      <c r="E158" s="3" t="s">
        <v>783</v>
      </c>
      <c r="F158" s="3"/>
      <c r="G158" s="3" t="s">
        <v>784</v>
      </c>
      <c r="H158" s="3" t="s">
        <v>14</v>
      </c>
      <c r="I158" s="3" t="s">
        <v>6</v>
      </c>
      <c r="J158" s="3" t="s">
        <v>15</v>
      </c>
      <c r="K158" s="3" t="s">
        <v>785</v>
      </c>
      <c r="L158" s="3"/>
      <c r="M158" s="3"/>
      <c r="N158" s="3" t="s">
        <v>22</v>
      </c>
      <c r="O158" s="3"/>
      <c r="P158" s="3"/>
      <c r="Q158" s="4">
        <v>46081</v>
      </c>
      <c r="R158" s="5">
        <v>297.85000000000002</v>
      </c>
      <c r="S158" s="3">
        <v>68</v>
      </c>
      <c r="T158" s="3"/>
      <c r="U158" s="3">
        <v>0</v>
      </c>
      <c r="V158" s="3" t="s">
        <v>8</v>
      </c>
      <c r="W158" s="5">
        <v>297.85000000000002</v>
      </c>
      <c r="X158" s="3">
        <v>0</v>
      </c>
      <c r="Y158" s="3">
        <v>0</v>
      </c>
      <c r="Z158" s="3">
        <v>0</v>
      </c>
      <c r="AA158" s="3">
        <v>0</v>
      </c>
      <c r="AB158" s="5">
        <v>297.85000000000002</v>
      </c>
    </row>
    <row r="159" spans="1:28" x14ac:dyDescent="0.25">
      <c r="A159">
        <v>152</v>
      </c>
      <c r="B159" s="10" t="s">
        <v>786</v>
      </c>
      <c r="C159" s="10"/>
      <c r="D159" s="3" t="s">
        <v>787</v>
      </c>
      <c r="E159" s="3" t="s">
        <v>788</v>
      </c>
      <c r="F159" s="3" t="s">
        <v>789</v>
      </c>
      <c r="G159" s="3" t="s">
        <v>790</v>
      </c>
      <c r="H159" s="3" t="s">
        <v>82</v>
      </c>
      <c r="I159" s="3" t="s">
        <v>6</v>
      </c>
      <c r="J159" s="3" t="s">
        <v>15</v>
      </c>
      <c r="K159" s="3" t="s">
        <v>791</v>
      </c>
      <c r="L159" s="3"/>
      <c r="M159" s="3"/>
      <c r="N159" s="3"/>
      <c r="O159" s="6" t="s">
        <v>792</v>
      </c>
      <c r="P159" s="3"/>
      <c r="Q159" s="4">
        <v>43565</v>
      </c>
      <c r="R159" s="3">
        <v>0</v>
      </c>
      <c r="S159" s="3">
        <v>432</v>
      </c>
      <c r="T159" s="3" t="s">
        <v>793</v>
      </c>
      <c r="U159" s="3">
        <v>0</v>
      </c>
      <c r="V159" s="3" t="s">
        <v>8</v>
      </c>
      <c r="W159" s="3">
        <v>0</v>
      </c>
      <c r="X159" s="3">
        <v>0</v>
      </c>
      <c r="Y159" s="3">
        <v>0</v>
      </c>
      <c r="Z159" s="3">
        <v>0</v>
      </c>
      <c r="AA159" s="3">
        <v>0.01</v>
      </c>
      <c r="AB159" s="3">
        <v>0.01</v>
      </c>
    </row>
    <row r="160" spans="1:28" x14ac:dyDescent="0.25">
      <c r="A160">
        <v>153</v>
      </c>
      <c r="B160" s="10" t="s">
        <v>794</v>
      </c>
      <c r="C160" s="10" t="s">
        <v>1105</v>
      </c>
      <c r="D160" s="3" t="s">
        <v>795</v>
      </c>
      <c r="E160" s="3" t="s">
        <v>796</v>
      </c>
      <c r="F160" s="3" t="s">
        <v>797</v>
      </c>
      <c r="G160" s="3" t="s">
        <v>798</v>
      </c>
      <c r="H160" s="3" t="s">
        <v>14</v>
      </c>
      <c r="I160" s="3" t="s">
        <v>6</v>
      </c>
      <c r="J160" s="3"/>
      <c r="K160" s="3" t="s">
        <v>799</v>
      </c>
      <c r="L160" s="3"/>
      <c r="M160" s="3"/>
      <c r="N160" s="3"/>
      <c r="O160" s="6" t="s">
        <v>800</v>
      </c>
      <c r="P160" s="3"/>
      <c r="Q160" s="4">
        <v>46080</v>
      </c>
      <c r="R160" s="5">
        <v>71630.789999999994</v>
      </c>
      <c r="S160" s="3">
        <v>346</v>
      </c>
      <c r="T160" s="3"/>
      <c r="U160" s="3">
        <v>0</v>
      </c>
      <c r="V160" s="3" t="s">
        <v>8</v>
      </c>
      <c r="W160" s="5">
        <v>5017</v>
      </c>
      <c r="X160" s="3">
        <v>0</v>
      </c>
      <c r="Y160" s="3">
        <v>0</v>
      </c>
      <c r="Z160" s="3">
        <v>0</v>
      </c>
      <c r="AA160" s="5">
        <v>-0.01</v>
      </c>
      <c r="AB160" s="5">
        <v>5016.99</v>
      </c>
    </row>
    <row r="161" spans="1:28" x14ac:dyDescent="0.25">
      <c r="A161">
        <v>154</v>
      </c>
      <c r="B161" s="10" t="s">
        <v>801</v>
      </c>
      <c r="C161" s="3" t="s">
        <v>1106</v>
      </c>
      <c r="D161" s="3" t="s">
        <v>802</v>
      </c>
      <c r="E161" s="3" t="s">
        <v>803</v>
      </c>
      <c r="F161" s="3" t="s">
        <v>804</v>
      </c>
      <c r="G161" s="3" t="s">
        <v>805</v>
      </c>
      <c r="H161" s="3" t="s">
        <v>14</v>
      </c>
      <c r="I161" s="3"/>
      <c r="J161" s="3"/>
      <c r="K161" s="3" t="s">
        <v>806</v>
      </c>
      <c r="L161" s="3"/>
      <c r="M161" s="3"/>
      <c r="N161" s="3"/>
      <c r="O161" s="3">
        <v>1462</v>
      </c>
      <c r="P161" s="3"/>
      <c r="Q161" s="4">
        <v>46055</v>
      </c>
      <c r="R161" s="5">
        <v>25968.959999999999</v>
      </c>
      <c r="S161" s="3">
        <v>1218</v>
      </c>
      <c r="T161" s="3"/>
      <c r="U161" s="3">
        <v>0</v>
      </c>
      <c r="V161" s="3" t="s">
        <v>8</v>
      </c>
      <c r="W161" s="5">
        <v>26116.12</v>
      </c>
      <c r="X161" s="5">
        <v>23990.9</v>
      </c>
      <c r="Y161" s="3">
        <v>0</v>
      </c>
      <c r="Z161" s="3">
        <v>0</v>
      </c>
      <c r="AA161" s="3">
        <v>0.02</v>
      </c>
      <c r="AB161" s="5">
        <v>50107.040000000001</v>
      </c>
    </row>
    <row r="162" spans="1:28" x14ac:dyDescent="0.25">
      <c r="A162">
        <v>155</v>
      </c>
      <c r="B162" s="10" t="s">
        <v>807</v>
      </c>
      <c r="C162" s="10" t="s">
        <v>1107</v>
      </c>
      <c r="D162" s="3" t="s">
        <v>808</v>
      </c>
      <c r="E162" s="3" t="s">
        <v>809</v>
      </c>
      <c r="F162" s="3" t="s">
        <v>810</v>
      </c>
      <c r="G162" s="3" t="s">
        <v>811</v>
      </c>
      <c r="H162" s="3" t="s">
        <v>14</v>
      </c>
      <c r="I162" s="3"/>
      <c r="J162" s="3" t="s">
        <v>15</v>
      </c>
      <c r="K162" s="3" t="s">
        <v>812</v>
      </c>
      <c r="L162" s="3"/>
      <c r="M162" s="3"/>
      <c r="N162" s="3"/>
      <c r="O162" s="3">
        <v>2090</v>
      </c>
      <c r="P162" s="3"/>
      <c r="Q162" s="4">
        <v>46081</v>
      </c>
      <c r="R162" s="5">
        <v>188.7</v>
      </c>
      <c r="S162" s="3">
        <v>76</v>
      </c>
      <c r="T162" s="3"/>
      <c r="U162" s="3">
        <v>0</v>
      </c>
      <c r="V162" s="3" t="s">
        <v>8</v>
      </c>
      <c r="W162" s="5">
        <v>188.7</v>
      </c>
      <c r="X162" s="3">
        <v>0</v>
      </c>
      <c r="Y162" s="3">
        <v>0</v>
      </c>
      <c r="Z162" s="3">
        <v>0</v>
      </c>
      <c r="AA162" s="3">
        <v>0</v>
      </c>
      <c r="AB162" s="5">
        <v>188.7</v>
      </c>
    </row>
    <row r="163" spans="1:28" x14ac:dyDescent="0.25">
      <c r="A163">
        <v>156</v>
      </c>
      <c r="B163" s="10" t="s">
        <v>813</v>
      </c>
      <c r="C163" s="10" t="s">
        <v>1108</v>
      </c>
      <c r="D163" s="3" t="s">
        <v>814</v>
      </c>
      <c r="E163" s="3" t="s">
        <v>815</v>
      </c>
      <c r="F163" s="3" t="s">
        <v>816</v>
      </c>
      <c r="G163" s="3" t="s">
        <v>817</v>
      </c>
      <c r="H163" s="3" t="s">
        <v>14</v>
      </c>
      <c r="I163" s="3" t="s">
        <v>6</v>
      </c>
      <c r="J163" s="3"/>
      <c r="K163" s="3" t="s">
        <v>818</v>
      </c>
      <c r="L163" s="3"/>
      <c r="M163" s="3"/>
      <c r="N163" s="3"/>
      <c r="O163" s="3">
        <v>8305</v>
      </c>
      <c r="P163" s="3"/>
      <c r="Q163" s="4">
        <v>46080</v>
      </c>
      <c r="R163" s="5">
        <v>9359.0499999999993</v>
      </c>
      <c r="S163" s="3">
        <v>293</v>
      </c>
      <c r="T163" s="3"/>
      <c r="U163" s="3">
        <v>0</v>
      </c>
      <c r="V163" s="3" t="s">
        <v>8</v>
      </c>
      <c r="W163" s="5">
        <v>16364.48</v>
      </c>
      <c r="X163" s="5">
        <v>48581.06</v>
      </c>
      <c r="Y163" s="3">
        <v>0</v>
      </c>
      <c r="Z163" s="3">
        <v>0</v>
      </c>
      <c r="AA163" s="5">
        <v>-402.56</v>
      </c>
      <c r="AB163" s="5">
        <v>64542.98</v>
      </c>
    </row>
    <row r="164" spans="1:28" x14ac:dyDescent="0.25">
      <c r="A164">
        <v>157</v>
      </c>
      <c r="B164" s="10" t="s">
        <v>819</v>
      </c>
      <c r="C164" s="10" t="s">
        <v>1109</v>
      </c>
      <c r="D164" s="3" t="s">
        <v>820</v>
      </c>
      <c r="E164" s="3" t="s">
        <v>821</v>
      </c>
      <c r="F164" s="3" t="s">
        <v>822</v>
      </c>
      <c r="G164" s="3" t="s">
        <v>823</v>
      </c>
      <c r="H164" s="3" t="s">
        <v>14</v>
      </c>
      <c r="I164" s="3" t="s">
        <v>6</v>
      </c>
      <c r="J164" s="3" t="s">
        <v>15</v>
      </c>
      <c r="K164" s="3" t="s">
        <v>824</v>
      </c>
      <c r="L164" s="3"/>
      <c r="M164" s="3"/>
      <c r="N164" s="3"/>
      <c r="O164" s="3">
        <v>2067</v>
      </c>
      <c r="P164" s="3"/>
      <c r="Q164" s="4">
        <v>46081</v>
      </c>
      <c r="R164" s="5">
        <v>204.7</v>
      </c>
      <c r="S164" s="3">
        <v>107</v>
      </c>
      <c r="T164" s="3"/>
      <c r="U164" s="3">
        <v>0</v>
      </c>
      <c r="V164" s="3" t="s">
        <v>8</v>
      </c>
      <c r="W164" s="5">
        <v>204.7</v>
      </c>
      <c r="X164" s="3">
        <v>0</v>
      </c>
      <c r="Y164" s="3">
        <v>0</v>
      </c>
      <c r="Z164" s="3">
        <v>0</v>
      </c>
      <c r="AA164" s="3">
        <v>0</v>
      </c>
      <c r="AB164" s="5">
        <v>204.7</v>
      </c>
    </row>
    <row r="165" spans="1:28" x14ac:dyDescent="0.25">
      <c r="A165">
        <v>158</v>
      </c>
      <c r="B165" s="10" t="s">
        <v>825</v>
      </c>
      <c r="C165" s="10" t="s">
        <v>1110</v>
      </c>
      <c r="D165" s="3" t="s">
        <v>826</v>
      </c>
      <c r="E165" s="3" t="s">
        <v>827</v>
      </c>
      <c r="F165" s="3"/>
      <c r="G165" s="3" t="s">
        <v>828</v>
      </c>
      <c r="H165" s="3" t="s">
        <v>14</v>
      </c>
      <c r="I165" s="3" t="s">
        <v>6</v>
      </c>
      <c r="J165" s="3"/>
      <c r="K165" s="3" t="s">
        <v>829</v>
      </c>
      <c r="L165" s="3"/>
      <c r="M165" s="3"/>
      <c r="N165" s="3" t="s">
        <v>22</v>
      </c>
      <c r="O165" s="3">
        <v>1401</v>
      </c>
      <c r="P165" s="3"/>
      <c r="Q165" s="4">
        <v>46060</v>
      </c>
      <c r="R165" s="5">
        <v>11641.45</v>
      </c>
      <c r="S165" s="3">
        <v>56</v>
      </c>
      <c r="T165" s="3"/>
      <c r="U165" s="3">
        <v>0</v>
      </c>
      <c r="V165" s="3" t="s">
        <v>8</v>
      </c>
      <c r="W165" s="5">
        <v>5828.2</v>
      </c>
      <c r="X165" s="5">
        <v>5828.2</v>
      </c>
      <c r="Y165" s="3">
        <v>0</v>
      </c>
      <c r="Z165" s="3">
        <v>0</v>
      </c>
      <c r="AA165" s="3">
        <v>0</v>
      </c>
      <c r="AB165" s="5">
        <v>11656.4</v>
      </c>
    </row>
    <row r="166" spans="1:28" x14ac:dyDescent="0.25">
      <c r="A166">
        <v>159</v>
      </c>
      <c r="B166" s="10" t="s">
        <v>830</v>
      </c>
      <c r="C166" s="10" t="s">
        <v>1111</v>
      </c>
      <c r="D166" s="3" t="s">
        <v>831</v>
      </c>
      <c r="E166" s="3" t="s">
        <v>832</v>
      </c>
      <c r="F166" s="3" t="s">
        <v>833</v>
      </c>
      <c r="G166" s="3" t="s">
        <v>834</v>
      </c>
      <c r="H166" s="3" t="s">
        <v>14</v>
      </c>
      <c r="I166" s="3" t="s">
        <v>6</v>
      </c>
      <c r="J166" s="3" t="s">
        <v>15</v>
      </c>
      <c r="K166" s="3" t="s">
        <v>835</v>
      </c>
      <c r="L166" s="3"/>
      <c r="M166" s="3"/>
      <c r="N166" s="3"/>
      <c r="O166" s="3">
        <v>2130</v>
      </c>
      <c r="P166" s="3"/>
      <c r="Q166" s="4">
        <v>46081</v>
      </c>
      <c r="R166" s="5">
        <v>227.7</v>
      </c>
      <c r="S166" s="3">
        <v>55</v>
      </c>
      <c r="T166" s="3"/>
      <c r="U166" s="3">
        <v>0</v>
      </c>
      <c r="V166" s="3" t="s">
        <v>8</v>
      </c>
      <c r="W166" s="5">
        <v>227.7</v>
      </c>
      <c r="X166" s="3">
        <v>0</v>
      </c>
      <c r="Y166" s="3">
        <v>0</v>
      </c>
      <c r="Z166" s="3">
        <v>0</v>
      </c>
      <c r="AA166" s="3">
        <v>0</v>
      </c>
      <c r="AB166" s="5">
        <v>227.7</v>
      </c>
    </row>
    <row r="167" spans="1:28" x14ac:dyDescent="0.25">
      <c r="A167">
        <v>160</v>
      </c>
      <c r="B167" s="10" t="s">
        <v>836</v>
      </c>
      <c r="C167" s="10" t="s">
        <v>1112</v>
      </c>
      <c r="D167" s="3" t="s">
        <v>837</v>
      </c>
      <c r="E167" s="3"/>
      <c r="F167" s="3"/>
      <c r="G167" s="3"/>
      <c r="H167" s="3" t="s">
        <v>14</v>
      </c>
      <c r="I167" s="3" t="s">
        <v>6</v>
      </c>
      <c r="J167" s="3"/>
      <c r="K167" s="3" t="s">
        <v>838</v>
      </c>
      <c r="L167" s="3"/>
      <c r="M167" s="3"/>
      <c r="N167" s="3"/>
      <c r="O167" s="3">
        <v>3600</v>
      </c>
      <c r="P167" s="3"/>
      <c r="Q167" s="4">
        <v>46078</v>
      </c>
      <c r="R167" s="5">
        <v>1309.52</v>
      </c>
      <c r="S167" s="3">
        <v>204</v>
      </c>
      <c r="T167" s="3"/>
      <c r="U167" s="3">
        <v>0</v>
      </c>
      <c r="V167" s="3" t="s">
        <v>8</v>
      </c>
      <c r="W167" s="5">
        <v>7202.4</v>
      </c>
      <c r="X167" s="5">
        <v>6547.64</v>
      </c>
      <c r="Y167" s="3">
        <v>0</v>
      </c>
      <c r="Z167" s="3">
        <v>0</v>
      </c>
      <c r="AA167" s="3">
        <v>0.9</v>
      </c>
      <c r="AB167" s="5">
        <v>13750.94</v>
      </c>
    </row>
    <row r="168" spans="1:28" x14ac:dyDescent="0.25">
      <c r="A168">
        <v>161</v>
      </c>
      <c r="B168" s="10" t="s">
        <v>839</v>
      </c>
      <c r="C168" s="10"/>
      <c r="D168" s="3" t="s">
        <v>840</v>
      </c>
      <c r="E168" s="3" t="s">
        <v>841</v>
      </c>
      <c r="F168" s="3" t="s">
        <v>842</v>
      </c>
      <c r="G168" s="3" t="s">
        <v>843</v>
      </c>
      <c r="H168" s="3" t="s">
        <v>14</v>
      </c>
      <c r="I168" s="3"/>
      <c r="J168" s="3" t="s">
        <v>15</v>
      </c>
      <c r="K168" s="3" t="s">
        <v>844</v>
      </c>
      <c r="L168" s="3"/>
      <c r="M168" s="3" t="s">
        <v>69</v>
      </c>
      <c r="N168" s="3"/>
      <c r="O168" s="3">
        <v>1501</v>
      </c>
      <c r="P168" s="3"/>
      <c r="Q168" s="4">
        <v>46081</v>
      </c>
      <c r="R168" s="5">
        <v>165.8</v>
      </c>
      <c r="S168" s="3">
        <v>108</v>
      </c>
      <c r="T168" s="3"/>
      <c r="U168" s="3">
        <v>0</v>
      </c>
      <c r="V168" s="3" t="s">
        <v>8</v>
      </c>
      <c r="W168" s="5">
        <v>165.8</v>
      </c>
      <c r="X168" s="3">
        <v>0.01</v>
      </c>
      <c r="Y168" s="3">
        <v>0</v>
      </c>
      <c r="Z168" s="3">
        <v>0</v>
      </c>
      <c r="AA168" s="5">
        <v>-0.01</v>
      </c>
      <c r="AB168" s="5">
        <v>165.8</v>
      </c>
    </row>
    <row r="169" spans="1:28" x14ac:dyDescent="0.25">
      <c r="A169">
        <v>162</v>
      </c>
      <c r="B169" s="10">
        <v>1113</v>
      </c>
      <c r="C169" s="10"/>
      <c r="D169" s="3" t="s">
        <v>845</v>
      </c>
      <c r="E169" s="3" t="s">
        <v>846</v>
      </c>
      <c r="F169" s="3" t="s">
        <v>847</v>
      </c>
      <c r="G169" s="3" t="s">
        <v>848</v>
      </c>
      <c r="H169" s="3" t="s">
        <v>14</v>
      </c>
      <c r="I169" s="3" t="s">
        <v>6</v>
      </c>
      <c r="J169" s="3"/>
      <c r="K169" s="3" t="s">
        <v>849</v>
      </c>
      <c r="L169" s="3"/>
      <c r="M169" s="3"/>
      <c r="N169" s="3" t="s">
        <v>22</v>
      </c>
      <c r="O169" s="3"/>
      <c r="P169" s="3"/>
      <c r="Q169" s="4">
        <v>46077</v>
      </c>
      <c r="R169" s="5">
        <v>655.56</v>
      </c>
      <c r="S169" s="3">
        <v>96</v>
      </c>
      <c r="T169" s="3"/>
      <c r="U169" s="3">
        <v>0</v>
      </c>
      <c r="V169" s="3" t="s">
        <v>8</v>
      </c>
      <c r="W169" s="5">
        <v>165</v>
      </c>
      <c r="X169" s="3">
        <v>0</v>
      </c>
      <c r="Y169" s="3">
        <v>0</v>
      </c>
      <c r="Z169" s="3">
        <v>0</v>
      </c>
      <c r="AA169" s="3">
        <v>0</v>
      </c>
      <c r="AB169" s="5">
        <v>165</v>
      </c>
    </row>
    <row r="170" spans="1:28" x14ac:dyDescent="0.25">
      <c r="A170">
        <v>163</v>
      </c>
      <c r="B170" s="10" t="s">
        <v>850</v>
      </c>
      <c r="C170" s="10" t="s">
        <v>1113</v>
      </c>
      <c r="D170" s="3" t="s">
        <v>851</v>
      </c>
      <c r="E170" s="3" t="s">
        <v>852</v>
      </c>
      <c r="F170" s="3" t="s">
        <v>853</v>
      </c>
      <c r="G170" s="3" t="s">
        <v>854</v>
      </c>
      <c r="H170" s="3" t="s">
        <v>14</v>
      </c>
      <c r="I170" s="3" t="s">
        <v>6</v>
      </c>
      <c r="J170" s="3" t="s">
        <v>15</v>
      </c>
      <c r="K170" s="3" t="s">
        <v>855</v>
      </c>
      <c r="L170" s="3">
        <v>1900</v>
      </c>
      <c r="M170" s="3"/>
      <c r="N170" s="3" t="s">
        <v>22</v>
      </c>
      <c r="O170" s="3"/>
      <c r="P170" s="3"/>
      <c r="Q170" s="4">
        <v>46056</v>
      </c>
      <c r="R170" s="5">
        <v>23840.65</v>
      </c>
      <c r="S170" s="3">
        <v>181</v>
      </c>
      <c r="T170" s="3"/>
      <c r="U170" s="3">
        <v>0</v>
      </c>
      <c r="V170" s="3" t="s">
        <v>8</v>
      </c>
      <c r="W170" s="5">
        <v>23840.65</v>
      </c>
      <c r="X170" s="3">
        <v>0</v>
      </c>
      <c r="Y170" s="3">
        <v>0</v>
      </c>
      <c r="Z170" s="3">
        <v>0</v>
      </c>
      <c r="AA170" s="3">
        <v>0</v>
      </c>
      <c r="AB170" s="5">
        <v>23840.65</v>
      </c>
    </row>
    <row r="171" spans="1:28" x14ac:dyDescent="0.25">
      <c r="A171">
        <v>164</v>
      </c>
      <c r="B171" s="10" t="s">
        <v>856</v>
      </c>
      <c r="C171" s="10" t="s">
        <v>1114</v>
      </c>
      <c r="D171" s="3" t="s">
        <v>857</v>
      </c>
      <c r="E171" s="3" t="s">
        <v>857</v>
      </c>
      <c r="F171" s="3"/>
      <c r="G171" s="3" t="s">
        <v>858</v>
      </c>
      <c r="H171" s="3" t="s">
        <v>14</v>
      </c>
      <c r="I171" s="3" t="s">
        <v>6</v>
      </c>
      <c r="J171" s="3"/>
      <c r="K171" s="3" t="s">
        <v>859</v>
      </c>
      <c r="L171" s="3"/>
      <c r="M171" s="3"/>
      <c r="N171" s="3" t="s">
        <v>22</v>
      </c>
      <c r="O171" s="3"/>
      <c r="P171" s="3"/>
      <c r="Q171" s="3"/>
      <c r="R171" s="3">
        <v>0</v>
      </c>
      <c r="S171" s="3">
        <v>61</v>
      </c>
      <c r="T171" s="3"/>
      <c r="U171" s="3">
        <v>0</v>
      </c>
      <c r="V171" s="3" t="s">
        <v>8</v>
      </c>
      <c r="W171" s="5">
        <v>616.4</v>
      </c>
      <c r="X171" s="5">
        <v>3109.6</v>
      </c>
      <c r="Y171" s="3">
        <v>0</v>
      </c>
      <c r="Z171" s="3">
        <v>0</v>
      </c>
      <c r="AA171" s="3">
        <v>0</v>
      </c>
      <c r="AB171" s="5">
        <v>3726</v>
      </c>
    </row>
    <row r="172" spans="1:28" x14ac:dyDescent="0.25">
      <c r="A172">
        <v>165</v>
      </c>
      <c r="B172" s="10">
        <v>2273</v>
      </c>
      <c r="C172" s="10" t="s">
        <v>1115</v>
      </c>
      <c r="D172" s="3" t="s">
        <v>860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>
        <v>0</v>
      </c>
      <c r="S172" s="3">
        <v>31</v>
      </c>
      <c r="T172" s="3"/>
      <c r="U172" s="3">
        <v>0</v>
      </c>
      <c r="V172" s="3" t="s">
        <v>8</v>
      </c>
      <c r="W172" s="5">
        <v>76392.2</v>
      </c>
      <c r="X172" s="3">
        <v>0</v>
      </c>
      <c r="Y172" s="3">
        <v>0</v>
      </c>
      <c r="Z172" s="3">
        <v>0</v>
      </c>
      <c r="AA172" s="3">
        <v>0</v>
      </c>
      <c r="AB172" s="5">
        <v>76392.2</v>
      </c>
    </row>
    <row r="173" spans="1:28" x14ac:dyDescent="0.25">
      <c r="A173">
        <v>166</v>
      </c>
      <c r="B173" s="10">
        <v>2274</v>
      </c>
      <c r="C173" s="10" t="s">
        <v>1116</v>
      </c>
      <c r="D173" s="3" t="s">
        <v>861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>
        <v>0</v>
      </c>
      <c r="S173" s="3">
        <v>31</v>
      </c>
      <c r="T173" s="3"/>
      <c r="U173" s="3">
        <v>0</v>
      </c>
      <c r="V173" s="3" t="s">
        <v>8</v>
      </c>
      <c r="W173" s="5">
        <v>66458.5</v>
      </c>
      <c r="X173" s="3">
        <v>0</v>
      </c>
      <c r="Y173" s="3">
        <v>0</v>
      </c>
      <c r="Z173" s="3">
        <v>0</v>
      </c>
      <c r="AA173" s="3">
        <v>0</v>
      </c>
      <c r="AB173" s="5">
        <v>66458.5</v>
      </c>
    </row>
    <row r="174" spans="1:28" x14ac:dyDescent="0.25">
      <c r="A174">
        <v>167</v>
      </c>
      <c r="B174" s="10" t="s">
        <v>862</v>
      </c>
      <c r="C174" s="10" t="s">
        <v>1117</v>
      </c>
      <c r="D174" s="3" t="s">
        <v>863</v>
      </c>
      <c r="E174" s="3" t="s">
        <v>864</v>
      </c>
      <c r="F174" s="3"/>
      <c r="G174" s="3" t="s">
        <v>865</v>
      </c>
      <c r="H174" s="3" t="s">
        <v>14</v>
      </c>
      <c r="I174" s="3" t="s">
        <v>6</v>
      </c>
      <c r="J174" s="3"/>
      <c r="K174" s="3" t="s">
        <v>866</v>
      </c>
      <c r="L174" s="3"/>
      <c r="M174" s="3"/>
      <c r="N174" s="3" t="s">
        <v>22</v>
      </c>
      <c r="O174" s="3"/>
      <c r="P174" s="3"/>
      <c r="Q174" s="3"/>
      <c r="R174" s="3">
        <v>0</v>
      </c>
      <c r="S174" s="3">
        <v>53</v>
      </c>
      <c r="T174" s="3"/>
      <c r="U174" s="3">
        <v>0</v>
      </c>
      <c r="V174" s="3" t="s">
        <v>8</v>
      </c>
      <c r="W174" s="5">
        <v>31424.9</v>
      </c>
      <c r="X174" s="5">
        <v>85852.1</v>
      </c>
      <c r="Y174" s="3">
        <v>0</v>
      </c>
      <c r="Z174" s="3">
        <v>0</v>
      </c>
      <c r="AA174" s="3">
        <v>0</v>
      </c>
      <c r="AB174" s="5">
        <v>117277</v>
      </c>
    </row>
    <row r="175" spans="1:28" x14ac:dyDescent="0.25">
      <c r="A175">
        <v>168</v>
      </c>
      <c r="B175" s="10" t="s">
        <v>867</v>
      </c>
      <c r="C175" s="10" t="s">
        <v>1118</v>
      </c>
      <c r="D175" s="3" t="s">
        <v>868</v>
      </c>
      <c r="E175" s="3" t="s">
        <v>869</v>
      </c>
      <c r="F175" s="3" t="s">
        <v>870</v>
      </c>
      <c r="G175" s="3" t="s">
        <v>871</v>
      </c>
      <c r="H175" s="3" t="s">
        <v>14</v>
      </c>
      <c r="I175" s="3" t="s">
        <v>6</v>
      </c>
      <c r="J175" s="3" t="s">
        <v>15</v>
      </c>
      <c r="K175" s="3" t="s">
        <v>872</v>
      </c>
      <c r="L175" s="3"/>
      <c r="M175" s="3"/>
      <c r="N175" s="3" t="s">
        <v>22</v>
      </c>
      <c r="O175" s="3"/>
      <c r="P175" s="3"/>
      <c r="Q175" s="4">
        <v>46080</v>
      </c>
      <c r="R175" s="5">
        <v>69723.350000000006</v>
      </c>
      <c r="S175" s="3">
        <v>344</v>
      </c>
      <c r="T175" s="3"/>
      <c r="U175" s="3">
        <v>0</v>
      </c>
      <c r="V175" s="3" t="s">
        <v>8</v>
      </c>
      <c r="W175" s="5">
        <v>101242.55</v>
      </c>
      <c r="X175" s="3">
        <v>0</v>
      </c>
      <c r="Y175" s="3">
        <v>0</v>
      </c>
      <c r="Z175" s="3">
        <v>0</v>
      </c>
      <c r="AA175" s="3">
        <v>0</v>
      </c>
      <c r="AB175" s="5">
        <v>101242.55</v>
      </c>
    </row>
    <row r="176" spans="1:28" x14ac:dyDescent="0.25">
      <c r="A176">
        <v>169</v>
      </c>
      <c r="B176" s="10" t="s">
        <v>873</v>
      </c>
      <c r="C176" s="10" t="s">
        <v>1119</v>
      </c>
      <c r="D176" s="3" t="s">
        <v>874</v>
      </c>
      <c r="E176" s="3" t="s">
        <v>875</v>
      </c>
      <c r="F176" s="3" t="s">
        <v>876</v>
      </c>
      <c r="G176" s="3" t="s">
        <v>877</v>
      </c>
      <c r="H176" s="3" t="s">
        <v>14</v>
      </c>
      <c r="I176" s="3" t="s">
        <v>6</v>
      </c>
      <c r="J176" s="3" t="s">
        <v>15</v>
      </c>
      <c r="K176" s="3" t="s">
        <v>878</v>
      </c>
      <c r="L176" s="3"/>
      <c r="M176" s="3"/>
      <c r="N176" s="3" t="s">
        <v>22</v>
      </c>
      <c r="O176" s="3"/>
      <c r="P176" s="3"/>
      <c r="Q176" s="4">
        <v>46081</v>
      </c>
      <c r="R176" s="5">
        <v>7664.75</v>
      </c>
      <c r="S176" s="3">
        <v>117</v>
      </c>
      <c r="T176" s="3"/>
      <c r="U176" s="3">
        <v>0</v>
      </c>
      <c r="V176" s="3" t="s">
        <v>8</v>
      </c>
      <c r="W176" s="5">
        <v>7664.75</v>
      </c>
      <c r="X176" s="3">
        <v>0</v>
      </c>
      <c r="Y176" s="3">
        <v>0</v>
      </c>
      <c r="Z176" s="3">
        <v>0</v>
      </c>
      <c r="AA176" s="3">
        <v>0</v>
      </c>
      <c r="AB176" s="5">
        <v>7664.75</v>
      </c>
    </row>
    <row r="177" spans="1:28" x14ac:dyDescent="0.25">
      <c r="A177">
        <v>170</v>
      </c>
      <c r="B177" s="10" t="s">
        <v>879</v>
      </c>
      <c r="C177" s="10" t="s">
        <v>1120</v>
      </c>
      <c r="D177" s="3" t="s">
        <v>880</v>
      </c>
      <c r="E177" s="3" t="s">
        <v>880</v>
      </c>
      <c r="F177" s="3" t="s">
        <v>881</v>
      </c>
      <c r="G177" s="3" t="s">
        <v>882</v>
      </c>
      <c r="H177" s="3" t="s">
        <v>14</v>
      </c>
      <c r="I177" s="3" t="s">
        <v>6</v>
      </c>
      <c r="J177" s="3" t="s">
        <v>15</v>
      </c>
      <c r="K177" s="3" t="s">
        <v>883</v>
      </c>
      <c r="L177" s="3"/>
      <c r="M177" s="3"/>
      <c r="N177" s="3" t="s">
        <v>22</v>
      </c>
      <c r="O177" s="3"/>
      <c r="P177" s="3"/>
      <c r="Q177" s="4">
        <v>46081</v>
      </c>
      <c r="R177" s="5">
        <v>90.85</v>
      </c>
      <c r="S177" s="3">
        <v>175</v>
      </c>
      <c r="T177" s="3"/>
      <c r="U177" s="3">
        <v>0</v>
      </c>
      <c r="V177" s="3" t="s">
        <v>8</v>
      </c>
      <c r="W177" s="3">
        <v>0</v>
      </c>
      <c r="X177" s="3">
        <v>0</v>
      </c>
      <c r="Y177" s="3">
        <v>0</v>
      </c>
      <c r="Z177" s="3">
        <v>0</v>
      </c>
      <c r="AA177" s="5">
        <v>90.85</v>
      </c>
      <c r="AB177" s="5">
        <v>90.85</v>
      </c>
    </row>
    <row r="178" spans="1:28" x14ac:dyDescent="0.25">
      <c r="A178">
        <v>171</v>
      </c>
      <c r="B178" s="10" t="s">
        <v>884</v>
      </c>
      <c r="C178" s="10"/>
      <c r="D178" s="3" t="s">
        <v>885</v>
      </c>
      <c r="E178" s="3" t="s">
        <v>885</v>
      </c>
      <c r="F178" s="3" t="s">
        <v>886</v>
      </c>
      <c r="G178" s="3" t="s">
        <v>887</v>
      </c>
      <c r="H178" s="3" t="s">
        <v>14</v>
      </c>
      <c r="I178" s="3" t="s">
        <v>6</v>
      </c>
      <c r="J178" s="3" t="s">
        <v>15</v>
      </c>
      <c r="K178" s="3" t="s">
        <v>888</v>
      </c>
      <c r="L178" s="3"/>
      <c r="M178" s="3"/>
      <c r="N178" s="3" t="s">
        <v>22</v>
      </c>
      <c r="O178" s="3"/>
      <c r="P178" s="3"/>
      <c r="Q178" s="4">
        <v>46060</v>
      </c>
      <c r="R178" s="5">
        <v>589.95000000000005</v>
      </c>
      <c r="S178" s="3">
        <v>200</v>
      </c>
      <c r="T178" s="3"/>
      <c r="U178" s="3">
        <v>0</v>
      </c>
      <c r="V178" s="3" t="s">
        <v>8</v>
      </c>
      <c r="W178" s="3">
        <v>0</v>
      </c>
      <c r="X178" s="5">
        <v>589.95000000000005</v>
      </c>
      <c r="Y178" s="3">
        <v>0</v>
      </c>
      <c r="Z178" s="3">
        <v>0</v>
      </c>
      <c r="AA178" s="3">
        <v>0</v>
      </c>
      <c r="AB178" s="5">
        <v>589.95000000000005</v>
      </c>
    </row>
    <row r="179" spans="1:28" x14ac:dyDescent="0.25">
      <c r="A179">
        <v>172</v>
      </c>
      <c r="B179" s="10">
        <v>1067</v>
      </c>
      <c r="C179" s="10" t="s">
        <v>1121</v>
      </c>
      <c r="D179" s="3" t="s">
        <v>889</v>
      </c>
      <c r="E179" s="3" t="s">
        <v>890</v>
      </c>
      <c r="F179" s="6" t="s">
        <v>891</v>
      </c>
      <c r="G179" s="3" t="s">
        <v>892</v>
      </c>
      <c r="H179" s="3" t="s">
        <v>14</v>
      </c>
      <c r="I179" s="3" t="s">
        <v>6</v>
      </c>
      <c r="J179" s="3" t="s">
        <v>33</v>
      </c>
      <c r="K179" s="3" t="s">
        <v>893</v>
      </c>
      <c r="L179" s="3"/>
      <c r="M179" s="3"/>
      <c r="N179" s="3"/>
      <c r="O179" s="3">
        <v>1610</v>
      </c>
      <c r="P179" s="3"/>
      <c r="Q179" s="4">
        <v>46031</v>
      </c>
      <c r="R179" s="5">
        <v>893.55</v>
      </c>
      <c r="S179" s="3">
        <v>45</v>
      </c>
      <c r="T179" s="3"/>
      <c r="U179" s="3">
        <v>0</v>
      </c>
      <c r="V179" s="3" t="s">
        <v>8</v>
      </c>
      <c r="W179" s="5">
        <v>893.55</v>
      </c>
      <c r="X179" s="5">
        <v>893.55</v>
      </c>
      <c r="Y179" s="5">
        <v>893.55</v>
      </c>
      <c r="Z179" s="3">
        <v>0</v>
      </c>
      <c r="AA179" s="3">
        <v>0</v>
      </c>
      <c r="AB179" s="5">
        <v>2680.65</v>
      </c>
    </row>
    <row r="180" spans="1:28" x14ac:dyDescent="0.25">
      <c r="A180">
        <v>173</v>
      </c>
      <c r="B180" s="10" t="s">
        <v>894</v>
      </c>
      <c r="C180" s="10" t="s">
        <v>1122</v>
      </c>
      <c r="D180" s="3" t="s">
        <v>895</v>
      </c>
      <c r="E180" s="3" t="s">
        <v>896</v>
      </c>
      <c r="F180" s="3" t="s">
        <v>897</v>
      </c>
      <c r="G180" s="3" t="s">
        <v>898</v>
      </c>
      <c r="H180" s="3" t="s">
        <v>14</v>
      </c>
      <c r="I180" s="3" t="s">
        <v>6</v>
      </c>
      <c r="J180" s="3" t="s">
        <v>15</v>
      </c>
      <c r="K180" s="3" t="s">
        <v>899</v>
      </c>
      <c r="L180" s="3"/>
      <c r="M180" s="3"/>
      <c r="N180" s="3"/>
      <c r="O180" s="3">
        <v>1613</v>
      </c>
      <c r="P180" s="3"/>
      <c r="Q180" s="4">
        <v>46081</v>
      </c>
      <c r="R180" s="5">
        <v>1478.53</v>
      </c>
      <c r="S180" s="3">
        <v>227</v>
      </c>
      <c r="T180" s="3"/>
      <c r="U180" s="3">
        <v>0</v>
      </c>
      <c r="V180" s="3" t="s">
        <v>8</v>
      </c>
      <c r="W180" s="5">
        <v>1478.53</v>
      </c>
      <c r="X180" s="3">
        <v>0</v>
      </c>
      <c r="Y180" s="3">
        <v>0</v>
      </c>
      <c r="Z180" s="3">
        <v>0</v>
      </c>
      <c r="AA180" s="3">
        <v>0</v>
      </c>
      <c r="AB180" s="5">
        <v>1478.53</v>
      </c>
    </row>
    <row r="181" spans="1:28" x14ac:dyDescent="0.25">
      <c r="A181">
        <v>174</v>
      </c>
      <c r="B181" s="10" t="s">
        <v>900</v>
      </c>
      <c r="C181" s="10" t="s">
        <v>1123</v>
      </c>
      <c r="D181" s="3" t="s">
        <v>901</v>
      </c>
      <c r="E181" s="3"/>
      <c r="F181" s="3"/>
      <c r="G181" s="3"/>
      <c r="H181" s="3" t="s">
        <v>14</v>
      </c>
      <c r="I181" s="3"/>
      <c r="J181" s="3"/>
      <c r="K181" s="3" t="s">
        <v>902</v>
      </c>
      <c r="L181" s="3"/>
      <c r="M181" s="3"/>
      <c r="N181" s="3" t="s">
        <v>22</v>
      </c>
      <c r="O181" s="3"/>
      <c r="P181" s="3"/>
      <c r="Q181" s="3"/>
      <c r="R181" s="3">
        <v>0</v>
      </c>
      <c r="S181" s="3">
        <v>182</v>
      </c>
      <c r="T181" s="3"/>
      <c r="U181" s="3">
        <v>0</v>
      </c>
      <c r="V181" s="3" t="s">
        <v>8</v>
      </c>
      <c r="W181" s="5">
        <v>224.25</v>
      </c>
      <c r="X181" s="5">
        <v>224.25</v>
      </c>
      <c r="Y181" s="5">
        <v>224.25</v>
      </c>
      <c r="Z181" s="3">
        <v>0</v>
      </c>
      <c r="AA181" s="3">
        <v>0</v>
      </c>
      <c r="AB181" s="5">
        <v>672.75</v>
      </c>
    </row>
    <row r="182" spans="1:28" x14ac:dyDescent="0.25">
      <c r="A182">
        <v>175</v>
      </c>
      <c r="B182" s="10" t="s">
        <v>903</v>
      </c>
      <c r="C182" s="10"/>
      <c r="D182" s="3" t="s">
        <v>904</v>
      </c>
      <c r="E182" s="3" t="s">
        <v>905</v>
      </c>
      <c r="F182" s="3" t="s">
        <v>906</v>
      </c>
      <c r="G182" s="3" t="s">
        <v>907</v>
      </c>
      <c r="H182" s="3" t="s">
        <v>14</v>
      </c>
      <c r="I182" s="3" t="s">
        <v>6</v>
      </c>
      <c r="J182" s="3" t="s">
        <v>33</v>
      </c>
      <c r="K182" s="3" t="s">
        <v>908</v>
      </c>
      <c r="L182" s="3"/>
      <c r="M182" s="3"/>
      <c r="N182" s="3"/>
      <c r="O182" s="3">
        <v>2055</v>
      </c>
      <c r="P182" s="3"/>
      <c r="Q182" s="4">
        <v>46008</v>
      </c>
      <c r="R182" s="5">
        <v>115</v>
      </c>
      <c r="S182" s="3">
        <v>602</v>
      </c>
      <c r="T182" s="3"/>
      <c r="U182" s="3">
        <v>0</v>
      </c>
      <c r="V182" s="3" t="s">
        <v>8</v>
      </c>
      <c r="W182" s="5">
        <v>115</v>
      </c>
      <c r="X182" s="5">
        <v>115</v>
      </c>
      <c r="Y182" s="5">
        <v>115</v>
      </c>
      <c r="Z182" s="3">
        <v>0</v>
      </c>
      <c r="AA182" s="3">
        <v>0</v>
      </c>
      <c r="AB182" s="5">
        <v>345</v>
      </c>
    </row>
    <row r="183" spans="1:28" x14ac:dyDescent="0.25">
      <c r="A183">
        <v>176</v>
      </c>
      <c r="B183" s="10" t="s">
        <v>909</v>
      </c>
      <c r="C183" s="10" t="s">
        <v>1124</v>
      </c>
      <c r="D183" s="3" t="s">
        <v>910</v>
      </c>
      <c r="E183" s="3" t="s">
        <v>314</v>
      </c>
      <c r="F183" s="3" t="s">
        <v>911</v>
      </c>
      <c r="G183" s="3" t="s">
        <v>316</v>
      </c>
      <c r="H183" s="3" t="s">
        <v>14</v>
      </c>
      <c r="I183" s="3" t="s">
        <v>6</v>
      </c>
      <c r="J183" s="3" t="s">
        <v>33</v>
      </c>
      <c r="K183" s="3" t="s">
        <v>912</v>
      </c>
      <c r="L183" s="3"/>
      <c r="M183" s="3"/>
      <c r="N183" s="3"/>
      <c r="O183" s="3">
        <v>4000</v>
      </c>
      <c r="P183" s="3"/>
      <c r="Q183" s="4">
        <v>46081</v>
      </c>
      <c r="R183" s="5">
        <v>8547.09</v>
      </c>
      <c r="S183" s="3">
        <v>210</v>
      </c>
      <c r="T183" s="3"/>
      <c r="U183" s="3">
        <v>0</v>
      </c>
      <c r="V183" s="3" t="s">
        <v>8</v>
      </c>
      <c r="W183" s="5">
        <v>8547.09</v>
      </c>
      <c r="X183" s="3">
        <v>0</v>
      </c>
      <c r="Y183" s="3">
        <v>0</v>
      </c>
      <c r="Z183" s="3">
        <v>0</v>
      </c>
      <c r="AA183" s="3">
        <v>0</v>
      </c>
      <c r="AB183" s="5">
        <v>8547.09</v>
      </c>
    </row>
    <row r="184" spans="1:28" x14ac:dyDescent="0.25">
      <c r="A184">
        <v>177</v>
      </c>
      <c r="B184" s="10" t="s">
        <v>913</v>
      </c>
      <c r="C184" s="10" t="s">
        <v>1125</v>
      </c>
      <c r="D184" s="3" t="s">
        <v>914</v>
      </c>
      <c r="E184" s="3" t="s">
        <v>314</v>
      </c>
      <c r="F184" s="3" t="s">
        <v>915</v>
      </c>
      <c r="G184" s="3" t="s">
        <v>316</v>
      </c>
      <c r="H184" s="3" t="s">
        <v>14</v>
      </c>
      <c r="I184" s="3" t="s">
        <v>6</v>
      </c>
      <c r="J184" s="3" t="s">
        <v>33</v>
      </c>
      <c r="K184" s="3" t="s">
        <v>916</v>
      </c>
      <c r="L184" s="3"/>
      <c r="M184" s="3"/>
      <c r="N184" s="3"/>
      <c r="O184" s="3">
        <v>1451</v>
      </c>
      <c r="P184" s="3"/>
      <c r="Q184" s="4">
        <v>46081</v>
      </c>
      <c r="R184" s="5">
        <v>14970.66</v>
      </c>
      <c r="S184" s="3">
        <v>280</v>
      </c>
      <c r="T184" s="3"/>
      <c r="U184" s="3">
        <v>0</v>
      </c>
      <c r="V184" s="3" t="s">
        <v>8</v>
      </c>
      <c r="W184" s="5">
        <v>14970.65</v>
      </c>
      <c r="X184" s="3">
        <v>0</v>
      </c>
      <c r="Y184" s="3">
        <v>0</v>
      </c>
      <c r="Z184" s="3">
        <v>0</v>
      </c>
      <c r="AA184" s="3">
        <v>0</v>
      </c>
      <c r="AB184" s="5">
        <v>14970.65</v>
      </c>
    </row>
    <row r="185" spans="1:28" x14ac:dyDescent="0.25">
      <c r="A185">
        <v>178</v>
      </c>
      <c r="B185" s="10" t="s">
        <v>917</v>
      </c>
      <c r="C185" s="10" t="s">
        <v>1126</v>
      </c>
      <c r="D185" s="3" t="s">
        <v>918</v>
      </c>
      <c r="E185" s="3" t="s">
        <v>314</v>
      </c>
      <c r="F185" s="3" t="s">
        <v>919</v>
      </c>
      <c r="G185" s="3" t="s">
        <v>316</v>
      </c>
      <c r="H185" s="3" t="s">
        <v>14</v>
      </c>
      <c r="I185" s="3" t="s">
        <v>6</v>
      </c>
      <c r="J185" s="3" t="s">
        <v>33</v>
      </c>
      <c r="K185" s="3" t="s">
        <v>920</v>
      </c>
      <c r="L185" s="3"/>
      <c r="M185" s="3"/>
      <c r="N185" s="3"/>
      <c r="O185" s="3">
        <v>8466</v>
      </c>
      <c r="P185" s="3"/>
      <c r="Q185" s="4">
        <v>46081</v>
      </c>
      <c r="R185" s="5">
        <v>6746.73</v>
      </c>
      <c r="S185" s="3">
        <v>213</v>
      </c>
      <c r="T185" s="3"/>
      <c r="U185" s="3">
        <v>0</v>
      </c>
      <c r="V185" s="3" t="s">
        <v>8</v>
      </c>
      <c r="W185" s="5">
        <v>6746.73</v>
      </c>
      <c r="X185" s="3">
        <v>0</v>
      </c>
      <c r="Y185" s="3">
        <v>0</v>
      </c>
      <c r="Z185" s="3">
        <v>0</v>
      </c>
      <c r="AA185" s="3">
        <v>0</v>
      </c>
      <c r="AB185" s="5">
        <v>6746.73</v>
      </c>
    </row>
    <row r="186" spans="1:28" x14ac:dyDescent="0.25">
      <c r="A186">
        <v>179</v>
      </c>
      <c r="B186" s="10" t="s">
        <v>921</v>
      </c>
      <c r="C186" s="10" t="s">
        <v>1127</v>
      </c>
      <c r="D186" s="3" t="s">
        <v>922</v>
      </c>
      <c r="E186" s="3" t="s">
        <v>314</v>
      </c>
      <c r="F186" s="3" t="s">
        <v>923</v>
      </c>
      <c r="G186" s="3" t="s">
        <v>316</v>
      </c>
      <c r="H186" s="3" t="s">
        <v>14</v>
      </c>
      <c r="I186" s="3" t="s">
        <v>6</v>
      </c>
      <c r="J186" s="3" t="s">
        <v>33</v>
      </c>
      <c r="K186" s="3" t="s">
        <v>924</v>
      </c>
      <c r="L186" s="3"/>
      <c r="M186" s="3"/>
      <c r="N186" s="3"/>
      <c r="O186" s="3">
        <v>2570</v>
      </c>
      <c r="P186" s="3"/>
      <c r="Q186" s="4">
        <v>46081</v>
      </c>
      <c r="R186" s="5">
        <v>7011.14</v>
      </c>
      <c r="S186" s="3">
        <v>294</v>
      </c>
      <c r="T186" s="3"/>
      <c r="U186" s="3">
        <v>0</v>
      </c>
      <c r="V186" s="3" t="s">
        <v>8</v>
      </c>
      <c r="W186" s="5">
        <v>8368.25</v>
      </c>
      <c r="X186" s="3">
        <v>0</v>
      </c>
      <c r="Y186" s="3">
        <v>0</v>
      </c>
      <c r="Z186" s="3">
        <v>0</v>
      </c>
      <c r="AA186" s="5">
        <v>-7.0000000000000007E-2</v>
      </c>
      <c r="AB186" s="5">
        <v>8368.18</v>
      </c>
    </row>
    <row r="187" spans="1:28" x14ac:dyDescent="0.25">
      <c r="A187">
        <v>180</v>
      </c>
      <c r="B187" s="10" t="s">
        <v>925</v>
      </c>
      <c r="C187" s="10" t="s">
        <v>1128</v>
      </c>
      <c r="D187" s="3" t="s">
        <v>926</v>
      </c>
      <c r="E187" s="3" t="s">
        <v>314</v>
      </c>
      <c r="F187" s="3" t="s">
        <v>927</v>
      </c>
      <c r="G187" s="3" t="s">
        <v>316</v>
      </c>
      <c r="H187" s="3" t="s">
        <v>14</v>
      </c>
      <c r="I187" s="3" t="s">
        <v>6</v>
      </c>
      <c r="J187" s="3" t="s">
        <v>33</v>
      </c>
      <c r="K187" s="3" t="s">
        <v>928</v>
      </c>
      <c r="L187" s="3"/>
      <c r="M187" s="3"/>
      <c r="N187" s="3"/>
      <c r="O187" s="3">
        <v>6056</v>
      </c>
      <c r="P187" s="3"/>
      <c r="Q187" s="4">
        <v>46081</v>
      </c>
      <c r="R187" s="5">
        <v>2070.63</v>
      </c>
      <c r="S187" s="3">
        <v>61</v>
      </c>
      <c r="T187" s="3" t="s">
        <v>929</v>
      </c>
      <c r="U187" s="3">
        <v>0</v>
      </c>
      <c r="V187" s="3" t="s">
        <v>8</v>
      </c>
      <c r="W187" s="5">
        <v>2070.63</v>
      </c>
      <c r="X187" s="3">
        <v>0</v>
      </c>
      <c r="Y187" s="3">
        <v>0</v>
      </c>
      <c r="Z187" s="3">
        <v>0</v>
      </c>
      <c r="AA187" s="3">
        <v>0</v>
      </c>
      <c r="AB187" s="5">
        <v>2070.63</v>
      </c>
    </row>
    <row r="188" spans="1:28" x14ac:dyDescent="0.25">
      <c r="A188">
        <v>181</v>
      </c>
      <c r="B188" s="10" t="s">
        <v>930</v>
      </c>
      <c r="C188" s="10" t="s">
        <v>1129</v>
      </c>
      <c r="D188" s="3" t="s">
        <v>931</v>
      </c>
      <c r="E188" s="3" t="s">
        <v>314</v>
      </c>
      <c r="F188" s="3" t="s">
        <v>932</v>
      </c>
      <c r="G188" s="3" t="s">
        <v>316</v>
      </c>
      <c r="H188" s="3" t="s">
        <v>14</v>
      </c>
      <c r="I188" s="3" t="s">
        <v>6</v>
      </c>
      <c r="J188" s="3" t="s">
        <v>33</v>
      </c>
      <c r="K188" s="3" t="s">
        <v>933</v>
      </c>
      <c r="L188" s="3"/>
      <c r="M188" s="3"/>
      <c r="N188" s="3"/>
      <c r="O188" s="6" t="s">
        <v>399</v>
      </c>
      <c r="P188" s="3"/>
      <c r="Q188" s="4">
        <v>46081</v>
      </c>
      <c r="R188" s="5">
        <v>7546.12</v>
      </c>
      <c r="S188" s="3">
        <v>317</v>
      </c>
      <c r="T188" s="3"/>
      <c r="U188" s="3">
        <v>0</v>
      </c>
      <c r="V188" s="3" t="s">
        <v>8</v>
      </c>
      <c r="W188" s="5">
        <v>8563.8700000000008</v>
      </c>
      <c r="X188" s="3">
        <v>0</v>
      </c>
      <c r="Y188" s="3">
        <v>0</v>
      </c>
      <c r="Z188" s="3">
        <v>0</v>
      </c>
      <c r="AA188" s="3">
        <v>0</v>
      </c>
      <c r="AB188" s="5">
        <v>8563.8700000000008</v>
      </c>
    </row>
    <row r="189" spans="1:28" x14ac:dyDescent="0.25">
      <c r="A189">
        <v>182</v>
      </c>
      <c r="B189" s="10" t="s">
        <v>934</v>
      </c>
      <c r="C189" s="10" t="s">
        <v>1130</v>
      </c>
      <c r="D189" s="3" t="s">
        <v>935</v>
      </c>
      <c r="E189" s="3" t="s">
        <v>314</v>
      </c>
      <c r="F189" s="3" t="s">
        <v>936</v>
      </c>
      <c r="G189" s="3" t="s">
        <v>316</v>
      </c>
      <c r="H189" s="3" t="s">
        <v>14</v>
      </c>
      <c r="I189" s="3" t="s">
        <v>6</v>
      </c>
      <c r="J189" s="3" t="s">
        <v>33</v>
      </c>
      <c r="K189" s="3" t="s">
        <v>937</v>
      </c>
      <c r="L189" s="3"/>
      <c r="M189" s="3"/>
      <c r="N189" s="3"/>
      <c r="O189" s="3">
        <v>8240</v>
      </c>
      <c r="P189" s="3"/>
      <c r="Q189" s="4">
        <v>46081</v>
      </c>
      <c r="R189" s="5">
        <v>2748.44</v>
      </c>
      <c r="S189" s="3">
        <v>66</v>
      </c>
      <c r="T189" s="3"/>
      <c r="U189" s="3">
        <v>0</v>
      </c>
      <c r="V189" s="3" t="s">
        <v>8</v>
      </c>
      <c r="W189" s="5">
        <v>2748.44</v>
      </c>
      <c r="X189" s="3">
        <v>0</v>
      </c>
      <c r="Y189" s="3">
        <v>0</v>
      </c>
      <c r="Z189" s="3">
        <v>0</v>
      </c>
      <c r="AA189" s="3">
        <v>0</v>
      </c>
      <c r="AB189" s="5">
        <v>2748.44</v>
      </c>
    </row>
    <row r="190" spans="1:28" x14ac:dyDescent="0.25">
      <c r="A190">
        <v>183</v>
      </c>
      <c r="B190" s="10" t="s">
        <v>938</v>
      </c>
      <c r="C190" s="10" t="s">
        <v>1131</v>
      </c>
      <c r="D190" s="3" t="s">
        <v>939</v>
      </c>
      <c r="E190" s="3" t="s">
        <v>314</v>
      </c>
      <c r="F190" s="3" t="s">
        <v>940</v>
      </c>
      <c r="G190" s="3" t="s">
        <v>316</v>
      </c>
      <c r="H190" s="3" t="s">
        <v>14</v>
      </c>
      <c r="I190" s="3" t="s">
        <v>6</v>
      </c>
      <c r="J190" s="3" t="s">
        <v>33</v>
      </c>
      <c r="K190" s="3" t="s">
        <v>941</v>
      </c>
      <c r="L190" s="3"/>
      <c r="M190" s="3"/>
      <c r="N190" s="3"/>
      <c r="O190" s="3">
        <v>7532</v>
      </c>
      <c r="P190" s="3"/>
      <c r="Q190" s="4">
        <v>46081</v>
      </c>
      <c r="R190" s="5">
        <v>7334.45</v>
      </c>
      <c r="S190" s="3">
        <v>109</v>
      </c>
      <c r="T190" s="3"/>
      <c r="U190" s="3">
        <v>0</v>
      </c>
      <c r="V190" s="3" t="s">
        <v>8</v>
      </c>
      <c r="W190" s="5">
        <v>7334.45</v>
      </c>
      <c r="X190" s="3">
        <v>0</v>
      </c>
      <c r="Y190" s="3">
        <v>0</v>
      </c>
      <c r="Z190" s="3">
        <v>0</v>
      </c>
      <c r="AA190" s="3">
        <v>0</v>
      </c>
      <c r="AB190" s="5">
        <v>7334.45</v>
      </c>
    </row>
    <row r="191" spans="1:28" x14ac:dyDescent="0.25">
      <c r="A191">
        <v>184</v>
      </c>
      <c r="B191" s="10" t="s">
        <v>942</v>
      </c>
      <c r="C191" s="10" t="s">
        <v>1132</v>
      </c>
      <c r="D191" s="3" t="s">
        <v>943</v>
      </c>
      <c r="E191" s="3" t="s">
        <v>314</v>
      </c>
      <c r="F191" s="3" t="s">
        <v>944</v>
      </c>
      <c r="G191" s="3" t="s">
        <v>316</v>
      </c>
      <c r="H191" s="3" t="s">
        <v>14</v>
      </c>
      <c r="I191" s="3" t="s">
        <v>6</v>
      </c>
      <c r="J191" s="3" t="s">
        <v>33</v>
      </c>
      <c r="K191" s="3" t="s">
        <v>945</v>
      </c>
      <c r="L191" s="3"/>
      <c r="M191" s="3"/>
      <c r="N191" s="3"/>
      <c r="O191" s="3">
        <v>1035</v>
      </c>
      <c r="P191" s="3"/>
      <c r="Q191" s="4">
        <v>46081</v>
      </c>
      <c r="R191" s="5">
        <v>6243.43</v>
      </c>
      <c r="S191" s="3">
        <v>181</v>
      </c>
      <c r="T191" s="3"/>
      <c r="U191" s="3">
        <v>0</v>
      </c>
      <c r="V191" s="3" t="s">
        <v>8</v>
      </c>
      <c r="W191" s="5">
        <v>6243.39</v>
      </c>
      <c r="X191" s="3">
        <v>0</v>
      </c>
      <c r="Y191" s="3">
        <v>0</v>
      </c>
      <c r="Z191" s="3">
        <v>0</v>
      </c>
      <c r="AA191" s="3">
        <v>0</v>
      </c>
      <c r="AB191" s="5">
        <v>6243.39</v>
      </c>
    </row>
    <row r="192" spans="1:28" x14ac:dyDescent="0.25">
      <c r="A192">
        <v>185</v>
      </c>
      <c r="B192" s="10">
        <v>2271</v>
      </c>
      <c r="C192" s="10" t="s">
        <v>1133</v>
      </c>
      <c r="D192" s="3" t="s">
        <v>946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>
        <v>0</v>
      </c>
      <c r="S192" s="3">
        <v>31</v>
      </c>
      <c r="T192" s="3"/>
      <c r="U192" s="3">
        <v>0</v>
      </c>
      <c r="V192" s="3" t="s">
        <v>8</v>
      </c>
      <c r="W192" s="5">
        <v>26148.7</v>
      </c>
      <c r="X192" s="3">
        <v>0</v>
      </c>
      <c r="Y192" s="3">
        <v>0</v>
      </c>
      <c r="Z192" s="3">
        <v>0</v>
      </c>
      <c r="AA192" s="3">
        <v>0</v>
      </c>
      <c r="AB192" s="5">
        <v>26148.7</v>
      </c>
    </row>
    <row r="193" spans="1:28" x14ac:dyDescent="0.25">
      <c r="A193">
        <v>186</v>
      </c>
      <c r="B193" s="10">
        <v>1162</v>
      </c>
      <c r="C193" s="10" t="s">
        <v>1134</v>
      </c>
      <c r="D193" s="3" t="s">
        <v>947</v>
      </c>
      <c r="E193" s="3" t="s">
        <v>948</v>
      </c>
      <c r="F193" s="3" t="s">
        <v>949</v>
      </c>
      <c r="G193" s="3" t="s">
        <v>950</v>
      </c>
      <c r="H193" s="3" t="s">
        <v>14</v>
      </c>
      <c r="I193" s="3" t="s">
        <v>6</v>
      </c>
      <c r="J193" s="3" t="s">
        <v>33</v>
      </c>
      <c r="K193" s="3" t="s">
        <v>951</v>
      </c>
      <c r="L193" s="3"/>
      <c r="M193" s="3"/>
      <c r="N193" s="3"/>
      <c r="O193" s="3"/>
      <c r="P193" s="3"/>
      <c r="Q193" s="4">
        <v>46063</v>
      </c>
      <c r="R193" s="5">
        <v>147380.65</v>
      </c>
      <c r="S193" s="3">
        <v>460</v>
      </c>
      <c r="T193" s="3"/>
      <c r="U193" s="3">
        <v>0</v>
      </c>
      <c r="V193" s="3" t="s">
        <v>8</v>
      </c>
      <c r="W193" s="5">
        <v>187171.36</v>
      </c>
      <c r="X193" s="5">
        <v>135453.88</v>
      </c>
      <c r="Y193" s="5">
        <v>4340.17</v>
      </c>
      <c r="Z193" s="3">
        <v>0</v>
      </c>
      <c r="AA193" s="5">
        <v>-371.36</v>
      </c>
      <c r="AB193" s="5">
        <v>326594.05</v>
      </c>
    </row>
    <row r="194" spans="1:28" x14ac:dyDescent="0.25">
      <c r="A194">
        <v>187</v>
      </c>
      <c r="B194" s="10" t="s">
        <v>952</v>
      </c>
      <c r="C194" s="10" t="s">
        <v>1135</v>
      </c>
      <c r="D194" s="3" t="s">
        <v>953</v>
      </c>
      <c r="E194" s="3" t="s">
        <v>953</v>
      </c>
      <c r="F194" s="3"/>
      <c r="G194" s="3" t="s">
        <v>954</v>
      </c>
      <c r="H194" s="3" t="s">
        <v>14</v>
      </c>
      <c r="I194" s="3" t="s">
        <v>6</v>
      </c>
      <c r="J194" s="3"/>
      <c r="K194" s="3" t="s">
        <v>955</v>
      </c>
      <c r="L194" s="3"/>
      <c r="M194" s="3"/>
      <c r="N194" s="3" t="s">
        <v>22</v>
      </c>
      <c r="O194" s="3"/>
      <c r="P194" s="3"/>
      <c r="Q194" s="4">
        <v>46081</v>
      </c>
      <c r="R194" s="5">
        <v>79.349999999999994</v>
      </c>
      <c r="S194" s="3">
        <v>72</v>
      </c>
      <c r="T194" s="3"/>
      <c r="U194" s="3">
        <v>0</v>
      </c>
      <c r="V194" s="3" t="s">
        <v>8</v>
      </c>
      <c r="W194" s="5">
        <v>79.349999999999994</v>
      </c>
      <c r="X194" s="3">
        <v>0</v>
      </c>
      <c r="Y194" s="3">
        <v>0</v>
      </c>
      <c r="Z194" s="3">
        <v>0</v>
      </c>
      <c r="AA194" s="3">
        <v>0</v>
      </c>
      <c r="AB194" s="5">
        <v>79.349999999999994</v>
      </c>
    </row>
    <row r="195" spans="1:28" x14ac:dyDescent="0.25">
      <c r="A195">
        <v>188</v>
      </c>
      <c r="B195" s="10" t="s">
        <v>956</v>
      </c>
      <c r="C195" s="10" t="s">
        <v>1136</v>
      </c>
      <c r="D195" s="3" t="s">
        <v>957</v>
      </c>
      <c r="E195" s="3" t="s">
        <v>958</v>
      </c>
      <c r="F195" s="6" t="s">
        <v>959</v>
      </c>
      <c r="G195" s="3" t="s">
        <v>960</v>
      </c>
      <c r="H195" s="3" t="s">
        <v>14</v>
      </c>
      <c r="I195" s="3" t="s">
        <v>6</v>
      </c>
      <c r="J195" s="3"/>
      <c r="K195" s="3" t="s">
        <v>961</v>
      </c>
      <c r="L195" s="3"/>
      <c r="M195" s="3"/>
      <c r="N195" s="3" t="s">
        <v>22</v>
      </c>
      <c r="O195" s="3">
        <v>2191</v>
      </c>
      <c r="P195" s="3"/>
      <c r="Q195" s="4">
        <v>46081</v>
      </c>
      <c r="R195" s="5">
        <v>4400.6099999999997</v>
      </c>
      <c r="S195" s="3">
        <v>278</v>
      </c>
      <c r="T195" s="3"/>
      <c r="U195" s="3">
        <v>0</v>
      </c>
      <c r="V195" s="3" t="s">
        <v>8</v>
      </c>
      <c r="W195" s="5">
        <v>4400.6099999999997</v>
      </c>
      <c r="X195" s="5">
        <v>4400.6099999999997</v>
      </c>
      <c r="Y195" s="3">
        <v>0</v>
      </c>
      <c r="Z195" s="3">
        <v>0</v>
      </c>
      <c r="AA195" s="3">
        <v>0</v>
      </c>
      <c r="AB195" s="5">
        <v>8801.2199999999993</v>
      </c>
    </row>
    <row r="197" spans="1:28" x14ac:dyDescent="0.25">
      <c r="B197" s="11" t="s">
        <v>992</v>
      </c>
      <c r="C197" s="11"/>
    </row>
    <row r="198" spans="1:28" x14ac:dyDescent="0.25">
      <c r="B198" s="11" t="s">
        <v>993</v>
      </c>
      <c r="C198" s="11"/>
    </row>
  </sheetData>
  <mergeCells count="1">
    <mergeCell ref="B5:AB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78E4-34AD-4CD7-AD29-4183EC9E86AC}">
  <sheetPr>
    <tabColor rgb="FFFFFF00"/>
  </sheetPr>
  <dimension ref="A1:AR198"/>
  <sheetViews>
    <sheetView topLeftCell="A7" workbookViewId="0">
      <selection activeCell="A12" sqref="A12"/>
    </sheetView>
  </sheetViews>
  <sheetFormatPr defaultRowHeight="15" x14ac:dyDescent="0.25"/>
  <cols>
    <col min="2" max="2" width="15.140625" style="12" customWidth="1"/>
    <col min="3" max="3" width="12.5703125" style="12" customWidth="1"/>
    <col min="4" max="4" width="72.28515625" customWidth="1"/>
    <col min="5" max="5" width="35" hidden="1" customWidth="1"/>
    <col min="6" max="6" width="43" hidden="1" customWidth="1"/>
    <col min="7" max="7" width="46.7109375" hidden="1" customWidth="1"/>
    <col min="8" max="8" width="17.5703125" hidden="1" customWidth="1"/>
    <col min="9" max="9" width="16.28515625" hidden="1" customWidth="1"/>
    <col min="10" max="10" width="17.42578125" hidden="1" customWidth="1"/>
    <col min="11" max="11" width="84.140625" hidden="1" customWidth="1"/>
    <col min="12" max="12" width="13.5703125" hidden="1" customWidth="1"/>
    <col min="13" max="13" width="14.28515625" hidden="1" customWidth="1"/>
    <col min="14" max="15" width="11.5703125" hidden="1" customWidth="1"/>
    <col min="16" max="16" width="16.140625" hidden="1" customWidth="1"/>
    <col min="17" max="17" width="19.7109375" hidden="1" customWidth="1"/>
    <col min="18" max="18" width="14.42578125" hidden="1" customWidth="1"/>
    <col min="19" max="19" width="17.5703125" hidden="1" customWidth="1"/>
    <col min="20" max="20" width="29.140625" hidden="1" customWidth="1"/>
    <col min="21" max="21" width="13.140625" hidden="1" customWidth="1"/>
    <col min="22" max="22" width="3" hidden="1" customWidth="1"/>
    <col min="23" max="24" width="11.7109375" hidden="1" customWidth="1"/>
    <col min="25" max="25" width="11.42578125" hidden="1" customWidth="1"/>
    <col min="26" max="26" width="10.140625" hidden="1" customWidth="1"/>
    <col min="27" max="28" width="14.28515625" hidden="1" customWidth="1"/>
    <col min="29" max="29" width="8.7109375" style="13" hidden="1" customWidth="1"/>
    <col min="30" max="30" width="13.42578125" customWidth="1"/>
    <col min="31" max="31" width="3.85546875" hidden="1" customWidth="1"/>
    <col min="32" max="32" width="11.140625" customWidth="1"/>
    <col min="33" max="34" width="11.7109375" customWidth="1"/>
    <col min="35" max="35" width="11.140625" customWidth="1"/>
    <col min="37" max="37" width="10.28515625" customWidth="1"/>
  </cols>
  <sheetData>
    <row r="1" spans="1:37" x14ac:dyDescent="0.25">
      <c r="B1" s="7" t="s">
        <v>987</v>
      </c>
      <c r="C1" s="7"/>
    </row>
    <row r="2" spans="1:37" x14ac:dyDescent="0.25">
      <c r="B2" s="7" t="s">
        <v>988</v>
      </c>
      <c r="C2" s="7"/>
    </row>
    <row r="3" spans="1:37" x14ac:dyDescent="0.25">
      <c r="B3" s="8"/>
      <c r="C3" s="8"/>
    </row>
    <row r="4" spans="1:37" ht="15.75" thickBot="1" x14ac:dyDescent="0.3">
      <c r="B4" s="8"/>
      <c r="C4" s="8"/>
    </row>
    <row r="5" spans="1:37" x14ac:dyDescent="0.25">
      <c r="B5" s="75" t="s">
        <v>1145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7"/>
      <c r="AG5" s="81" t="s">
        <v>1146</v>
      </c>
      <c r="AH5" s="82"/>
      <c r="AI5" s="82"/>
      <c r="AJ5" s="82"/>
      <c r="AK5" s="83"/>
    </row>
    <row r="6" spans="1:37" ht="15.75" thickBot="1" x14ac:dyDescent="0.3">
      <c r="B6" s="78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80"/>
      <c r="AG6" s="84"/>
      <c r="AH6" s="85"/>
      <c r="AI6" s="85"/>
      <c r="AJ6" s="85"/>
      <c r="AK6" s="86"/>
    </row>
    <row r="7" spans="1:37" s="1" customFormat="1" x14ac:dyDescent="0.25">
      <c r="B7" s="29" t="s">
        <v>994</v>
      </c>
      <c r="C7" s="29" t="s">
        <v>995</v>
      </c>
      <c r="D7" s="30" t="s">
        <v>962</v>
      </c>
      <c r="E7" s="30" t="s">
        <v>963</v>
      </c>
      <c r="F7" s="30" t="s">
        <v>964</v>
      </c>
      <c r="G7" s="30" t="s">
        <v>965</v>
      </c>
      <c r="H7" s="30" t="s">
        <v>966</v>
      </c>
      <c r="I7" s="30" t="s">
        <v>967</v>
      </c>
      <c r="J7" s="30" t="s">
        <v>968</v>
      </c>
      <c r="K7" s="30" t="s">
        <v>969</v>
      </c>
      <c r="L7" s="30" t="s">
        <v>970</v>
      </c>
      <c r="M7" s="30" t="s">
        <v>971</v>
      </c>
      <c r="N7" s="30" t="s">
        <v>972</v>
      </c>
      <c r="O7" s="30" t="s">
        <v>973</v>
      </c>
      <c r="P7" s="30" t="s">
        <v>974</v>
      </c>
      <c r="Q7" s="30" t="s">
        <v>975</v>
      </c>
      <c r="R7" s="30" t="s">
        <v>976</v>
      </c>
      <c r="S7" s="30" t="s">
        <v>977</v>
      </c>
      <c r="T7" s="30" t="s">
        <v>978</v>
      </c>
      <c r="U7" s="30" t="s">
        <v>979</v>
      </c>
      <c r="V7" s="30" t="s">
        <v>980</v>
      </c>
      <c r="W7" s="30" t="s">
        <v>981</v>
      </c>
      <c r="X7" s="30" t="s">
        <v>982</v>
      </c>
      <c r="Y7" s="30" t="s">
        <v>983</v>
      </c>
      <c r="Z7" s="30" t="s">
        <v>984</v>
      </c>
      <c r="AA7" s="30" t="s">
        <v>985</v>
      </c>
      <c r="AB7" s="30" t="s">
        <v>986</v>
      </c>
      <c r="AC7" s="14"/>
      <c r="AD7" s="35" t="s">
        <v>1139</v>
      </c>
      <c r="AE7" s="35"/>
      <c r="AF7" s="35" t="s">
        <v>1138</v>
      </c>
      <c r="AG7" s="31" t="s">
        <v>981</v>
      </c>
      <c r="AH7" s="30" t="s">
        <v>982</v>
      </c>
      <c r="AI7" s="30" t="s">
        <v>983</v>
      </c>
      <c r="AJ7" s="30" t="s">
        <v>984</v>
      </c>
      <c r="AK7" s="30" t="s">
        <v>985</v>
      </c>
    </row>
    <row r="8" spans="1:37" x14ac:dyDescent="0.25">
      <c r="A8">
        <v>1</v>
      </c>
      <c r="B8" s="10" t="s">
        <v>0</v>
      </c>
      <c r="C8" s="10"/>
      <c r="D8" s="3" t="s">
        <v>1</v>
      </c>
      <c r="E8" s="3" t="s">
        <v>2</v>
      </c>
      <c r="F8" s="3" t="s">
        <v>3</v>
      </c>
      <c r="G8" s="3" t="s">
        <v>4</v>
      </c>
      <c r="H8" s="3" t="s">
        <v>5</v>
      </c>
      <c r="I8" s="3" t="s">
        <v>6</v>
      </c>
      <c r="J8" s="3"/>
      <c r="K8" s="3" t="s">
        <v>7</v>
      </c>
      <c r="L8" s="3"/>
      <c r="M8" s="3"/>
      <c r="N8" s="3"/>
      <c r="O8" s="3">
        <v>1609</v>
      </c>
      <c r="P8" s="3"/>
      <c r="Q8" s="4">
        <v>45472</v>
      </c>
      <c r="R8" s="5">
        <v>113.85</v>
      </c>
      <c r="S8" s="3">
        <v>2500</v>
      </c>
      <c r="T8" s="3"/>
      <c r="U8" s="3">
        <v>0</v>
      </c>
      <c r="V8" s="3" t="s">
        <v>8</v>
      </c>
      <c r="W8" s="3">
        <v>0</v>
      </c>
      <c r="X8" s="3">
        <v>0</v>
      </c>
      <c r="Y8" s="3">
        <v>0</v>
      </c>
      <c r="Z8" s="3">
        <v>0</v>
      </c>
      <c r="AA8" s="5">
        <v>0</v>
      </c>
      <c r="AB8" s="5">
        <v>0</v>
      </c>
      <c r="AD8" s="25"/>
      <c r="AE8" s="25"/>
      <c r="AF8" s="25"/>
      <c r="AG8" s="32"/>
      <c r="AH8" s="18"/>
      <c r="AI8" s="3"/>
      <c r="AJ8" s="3"/>
      <c r="AK8" s="5"/>
    </row>
    <row r="9" spans="1:37" x14ac:dyDescent="0.25">
      <c r="A9">
        <v>2</v>
      </c>
      <c r="B9" s="10" t="s">
        <v>9</v>
      </c>
      <c r="C9" s="10" t="s">
        <v>997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6</v>
      </c>
      <c r="J9" s="3" t="s">
        <v>15</v>
      </c>
      <c r="K9" s="3" t="s">
        <v>16</v>
      </c>
      <c r="L9" s="3"/>
      <c r="M9" s="3"/>
      <c r="N9" s="3"/>
      <c r="O9" s="3">
        <v>1411</v>
      </c>
      <c r="P9" s="3"/>
      <c r="Q9" s="4">
        <v>46081</v>
      </c>
      <c r="R9" s="5">
        <v>836.65</v>
      </c>
      <c r="S9" s="3">
        <v>148</v>
      </c>
      <c r="T9" s="3"/>
      <c r="U9" s="3">
        <v>0</v>
      </c>
      <c r="V9" s="3" t="s">
        <v>8</v>
      </c>
      <c r="W9" s="5">
        <v>836.65</v>
      </c>
      <c r="X9" s="3">
        <v>0</v>
      </c>
      <c r="Y9" s="3">
        <v>0</v>
      </c>
      <c r="Z9" s="3">
        <v>0</v>
      </c>
      <c r="AA9" s="3">
        <v>0</v>
      </c>
      <c r="AB9" s="5">
        <v>836.65</v>
      </c>
      <c r="AC9"/>
      <c r="AD9" s="25"/>
      <c r="AE9" s="25"/>
      <c r="AF9" s="25"/>
      <c r="AG9" s="32"/>
      <c r="AH9" s="18"/>
      <c r="AI9" s="3"/>
      <c r="AJ9" s="3"/>
      <c r="AK9" s="3"/>
    </row>
    <row r="10" spans="1:37" x14ac:dyDescent="0.25">
      <c r="A10">
        <v>3</v>
      </c>
      <c r="B10" s="10" t="s">
        <v>17</v>
      </c>
      <c r="C10" s="10"/>
      <c r="D10" s="3" t="s">
        <v>18</v>
      </c>
      <c r="E10" s="3" t="s">
        <v>19</v>
      </c>
      <c r="F10" s="3"/>
      <c r="G10" s="3" t="s">
        <v>20</v>
      </c>
      <c r="H10" s="3" t="s">
        <v>14</v>
      </c>
      <c r="I10" s="3" t="s">
        <v>6</v>
      </c>
      <c r="J10" s="3"/>
      <c r="K10" s="3" t="s">
        <v>21</v>
      </c>
      <c r="L10" s="3"/>
      <c r="M10" s="3"/>
      <c r="N10" s="3" t="s">
        <v>22</v>
      </c>
      <c r="O10" s="3"/>
      <c r="P10" s="3"/>
      <c r="Q10" s="3"/>
      <c r="R10" s="3">
        <v>0</v>
      </c>
      <c r="S10" s="3">
        <v>50</v>
      </c>
      <c r="T10" s="3"/>
      <c r="U10" s="3">
        <v>0</v>
      </c>
      <c r="V10" s="3" t="s">
        <v>8</v>
      </c>
      <c r="W10" s="5">
        <v>7631.26</v>
      </c>
      <c r="X10" s="3">
        <v>0</v>
      </c>
      <c r="Y10" s="3">
        <v>0</v>
      </c>
      <c r="Z10" s="3">
        <v>0</v>
      </c>
      <c r="AA10" s="3">
        <v>0</v>
      </c>
      <c r="AB10" s="5">
        <v>7631.26</v>
      </c>
      <c r="AC10"/>
      <c r="AD10" s="25"/>
      <c r="AE10" s="25"/>
      <c r="AF10" s="25"/>
      <c r="AG10" s="32"/>
      <c r="AH10" s="18"/>
      <c r="AI10" s="3"/>
      <c r="AJ10" s="3"/>
      <c r="AK10" s="3"/>
    </row>
    <row r="11" spans="1:37" x14ac:dyDescent="0.25">
      <c r="A11">
        <v>4</v>
      </c>
      <c r="B11" s="10">
        <v>1132</v>
      </c>
      <c r="C11" s="10" t="s">
        <v>996</v>
      </c>
      <c r="D11" s="3" t="s">
        <v>23</v>
      </c>
      <c r="E11" s="3" t="s">
        <v>23</v>
      </c>
      <c r="F11" s="3" t="s">
        <v>24</v>
      </c>
      <c r="G11" s="3" t="s">
        <v>25</v>
      </c>
      <c r="H11" s="3" t="s">
        <v>14</v>
      </c>
      <c r="I11" s="3" t="s">
        <v>6</v>
      </c>
      <c r="J11" s="3" t="s">
        <v>15</v>
      </c>
      <c r="K11" s="3" t="s">
        <v>26</v>
      </c>
      <c r="L11" s="3"/>
      <c r="M11" s="3"/>
      <c r="N11" s="3" t="s">
        <v>22</v>
      </c>
      <c r="O11" s="6" t="s">
        <v>27</v>
      </c>
      <c r="P11" s="3"/>
      <c r="Q11" s="4">
        <v>46081</v>
      </c>
      <c r="R11" s="5">
        <v>129.11000000000001</v>
      </c>
      <c r="S11" s="3">
        <v>39</v>
      </c>
      <c r="T11" s="3"/>
      <c r="U11" s="3">
        <v>0</v>
      </c>
      <c r="V11" s="3" t="s">
        <v>8</v>
      </c>
      <c r="W11" s="5">
        <v>545.41</v>
      </c>
      <c r="X11" s="3">
        <v>0</v>
      </c>
      <c r="Y11" s="3">
        <v>0</v>
      </c>
      <c r="Z11" s="3">
        <v>0</v>
      </c>
      <c r="AA11" s="3">
        <v>0</v>
      </c>
      <c r="AB11" s="5">
        <v>545.41</v>
      </c>
      <c r="AC11"/>
      <c r="AD11" s="25"/>
      <c r="AE11" s="25"/>
      <c r="AF11" s="25"/>
      <c r="AG11" s="32"/>
      <c r="AH11" s="18"/>
      <c r="AI11" s="3"/>
      <c r="AJ11" s="3"/>
      <c r="AK11" s="3"/>
    </row>
    <row r="12" spans="1:37" x14ac:dyDescent="0.25">
      <c r="A12">
        <v>5</v>
      </c>
      <c r="B12" s="10" t="s">
        <v>28</v>
      </c>
      <c r="C12" s="10" t="s">
        <v>998</v>
      </c>
      <c r="D12" s="3" t="s">
        <v>29</v>
      </c>
      <c r="E12" s="3" t="s">
        <v>30</v>
      </c>
      <c r="F12" s="3" t="s">
        <v>31</v>
      </c>
      <c r="G12" s="3" t="s">
        <v>32</v>
      </c>
      <c r="H12" s="3" t="s">
        <v>14</v>
      </c>
      <c r="I12" s="3" t="s">
        <v>6</v>
      </c>
      <c r="J12" s="3" t="s">
        <v>33</v>
      </c>
      <c r="K12" s="3" t="s">
        <v>34</v>
      </c>
      <c r="L12" s="3"/>
      <c r="M12" s="3"/>
      <c r="N12" s="3"/>
      <c r="O12" s="3">
        <v>2042</v>
      </c>
      <c r="P12" s="3"/>
      <c r="Q12" s="4">
        <v>46078</v>
      </c>
      <c r="R12" s="5">
        <v>11807.2</v>
      </c>
      <c r="S12" s="3">
        <v>153</v>
      </c>
      <c r="T12" s="3"/>
      <c r="U12" s="3">
        <v>0</v>
      </c>
      <c r="V12" s="3" t="s">
        <v>8</v>
      </c>
      <c r="W12" s="5">
        <v>11807.1</v>
      </c>
      <c r="X12" s="3">
        <v>0</v>
      </c>
      <c r="Y12" s="3">
        <v>0</v>
      </c>
      <c r="Z12" s="3">
        <v>0</v>
      </c>
      <c r="AA12" s="3">
        <v>0</v>
      </c>
      <c r="AB12" s="5">
        <v>11807.1</v>
      </c>
      <c r="AC12"/>
      <c r="AD12" s="25" t="s">
        <v>1163</v>
      </c>
      <c r="AE12" s="25" t="s">
        <v>1173</v>
      </c>
      <c r="AF12" s="26">
        <v>11807.1</v>
      </c>
      <c r="AG12" s="33">
        <f>AF12</f>
        <v>11807.1</v>
      </c>
      <c r="AH12" s="18"/>
      <c r="AI12" s="3"/>
      <c r="AJ12" s="3"/>
      <c r="AK12" s="3"/>
    </row>
    <row r="13" spans="1:37" x14ac:dyDescent="0.25">
      <c r="A13">
        <v>6</v>
      </c>
      <c r="B13" s="10">
        <v>1084</v>
      </c>
      <c r="C13" s="10" t="s">
        <v>999</v>
      </c>
      <c r="D13" s="3" t="s">
        <v>35</v>
      </c>
      <c r="E13" s="3" t="s">
        <v>36</v>
      </c>
      <c r="F13" s="3" t="s">
        <v>37</v>
      </c>
      <c r="G13" s="3" t="s">
        <v>38</v>
      </c>
      <c r="H13" s="3" t="s">
        <v>14</v>
      </c>
      <c r="I13" s="3" t="s">
        <v>6</v>
      </c>
      <c r="J13" s="3" t="s">
        <v>15</v>
      </c>
      <c r="K13" s="3" t="s">
        <v>39</v>
      </c>
      <c r="L13" s="3"/>
      <c r="M13" s="3"/>
      <c r="N13" s="3" t="s">
        <v>22</v>
      </c>
      <c r="O13" s="3"/>
      <c r="P13" s="3"/>
      <c r="Q13" s="4">
        <v>46081</v>
      </c>
      <c r="R13" s="5">
        <v>641.70000000000005</v>
      </c>
      <c r="S13" s="3">
        <v>41</v>
      </c>
      <c r="T13" s="3"/>
      <c r="U13" s="3">
        <v>0</v>
      </c>
      <c r="V13" s="3" t="s">
        <v>8</v>
      </c>
      <c r="W13" s="5">
        <v>641.70000000000005</v>
      </c>
      <c r="X13" s="3">
        <v>0</v>
      </c>
      <c r="Y13" s="3">
        <v>0</v>
      </c>
      <c r="Z13" s="3">
        <v>0</v>
      </c>
      <c r="AA13" s="3">
        <v>0</v>
      </c>
      <c r="AB13" s="5">
        <v>641.70000000000005</v>
      </c>
      <c r="AC13"/>
      <c r="AD13" s="25" t="s">
        <v>1201</v>
      </c>
      <c r="AE13" s="25" t="s">
        <v>35</v>
      </c>
      <c r="AF13" s="26">
        <v>641.70000000000005</v>
      </c>
      <c r="AG13" s="33">
        <f>AF13</f>
        <v>641.70000000000005</v>
      </c>
      <c r="AH13" s="18"/>
      <c r="AI13" s="3"/>
      <c r="AJ13" s="3"/>
      <c r="AK13" s="3"/>
    </row>
    <row r="14" spans="1:37" x14ac:dyDescent="0.25">
      <c r="A14">
        <v>7</v>
      </c>
      <c r="B14" s="10" t="s">
        <v>40</v>
      </c>
      <c r="C14" s="10" t="s">
        <v>1000</v>
      </c>
      <c r="D14" s="3" t="s">
        <v>41</v>
      </c>
      <c r="E14" s="3" t="s">
        <v>41</v>
      </c>
      <c r="F14" s="3" t="s">
        <v>42</v>
      </c>
      <c r="G14" s="3" t="s">
        <v>43</v>
      </c>
      <c r="H14" s="3" t="s">
        <v>14</v>
      </c>
      <c r="I14" s="3" t="s">
        <v>6</v>
      </c>
      <c r="J14" s="3"/>
      <c r="K14" s="3" t="s">
        <v>44</v>
      </c>
      <c r="L14" s="3"/>
      <c r="M14" s="3"/>
      <c r="N14" s="3" t="s">
        <v>22</v>
      </c>
      <c r="O14" s="3"/>
      <c r="P14" s="3"/>
      <c r="Q14" s="4">
        <v>46081</v>
      </c>
      <c r="R14" s="5">
        <v>255.51</v>
      </c>
      <c r="S14" s="3">
        <v>126</v>
      </c>
      <c r="T14" s="3"/>
      <c r="U14" s="3">
        <v>0</v>
      </c>
      <c r="V14" s="3" t="s">
        <v>8</v>
      </c>
      <c r="W14" s="5">
        <v>255.51</v>
      </c>
      <c r="X14" s="3">
        <v>0</v>
      </c>
      <c r="Y14" s="3">
        <v>0</v>
      </c>
      <c r="Z14" s="3">
        <v>0</v>
      </c>
      <c r="AA14" s="3">
        <v>0</v>
      </c>
      <c r="AB14" s="5">
        <v>255.51</v>
      </c>
      <c r="AC14"/>
      <c r="AD14" s="25"/>
      <c r="AE14" s="25"/>
      <c r="AF14" s="25"/>
      <c r="AG14" s="32"/>
      <c r="AH14" s="18"/>
      <c r="AI14" s="3"/>
      <c r="AJ14" s="3"/>
      <c r="AK14" s="3"/>
    </row>
    <row r="15" spans="1:37" x14ac:dyDescent="0.25">
      <c r="A15">
        <v>8</v>
      </c>
      <c r="B15" s="10" t="s">
        <v>45</v>
      </c>
      <c r="C15" s="10" t="s">
        <v>1001</v>
      </c>
      <c r="D15" s="3" t="s">
        <v>46</v>
      </c>
      <c r="E15" s="3" t="s">
        <v>47</v>
      </c>
      <c r="F15" s="3" t="s">
        <v>48</v>
      </c>
      <c r="G15" s="3" t="s">
        <v>49</v>
      </c>
      <c r="H15" s="3" t="s">
        <v>14</v>
      </c>
      <c r="I15" s="3" t="s">
        <v>6</v>
      </c>
      <c r="J15" s="3" t="s">
        <v>15</v>
      </c>
      <c r="K15" s="3" t="s">
        <v>50</v>
      </c>
      <c r="L15" s="3"/>
      <c r="M15" s="3"/>
      <c r="N15" s="3"/>
      <c r="O15" s="3">
        <v>1459</v>
      </c>
      <c r="P15" s="3"/>
      <c r="Q15" s="4">
        <v>46081</v>
      </c>
      <c r="R15" s="5">
        <v>321.32</v>
      </c>
      <c r="S15" s="3">
        <v>40</v>
      </c>
      <c r="T15" s="3"/>
      <c r="U15" s="3">
        <v>0</v>
      </c>
      <c r="V15" s="3" t="s">
        <v>8</v>
      </c>
      <c r="W15" s="5">
        <v>321.32</v>
      </c>
      <c r="X15" s="3">
        <v>0</v>
      </c>
      <c r="Y15" s="3">
        <v>0</v>
      </c>
      <c r="Z15" s="3">
        <v>0</v>
      </c>
      <c r="AA15" s="3">
        <v>0</v>
      </c>
      <c r="AB15" s="5">
        <v>321.32</v>
      </c>
      <c r="AC15"/>
      <c r="AD15" s="25" t="s">
        <v>1201</v>
      </c>
      <c r="AE15" s="25" t="s">
        <v>1244</v>
      </c>
      <c r="AF15" s="26">
        <v>321.32</v>
      </c>
      <c r="AG15" s="33">
        <f>AF15</f>
        <v>321.32</v>
      </c>
      <c r="AH15" s="18"/>
      <c r="AI15" s="3"/>
      <c r="AJ15" s="3"/>
      <c r="AK15" s="3"/>
    </row>
    <row r="16" spans="1:37" x14ac:dyDescent="0.25">
      <c r="A16">
        <v>9</v>
      </c>
      <c r="B16" s="10" t="s">
        <v>51</v>
      </c>
      <c r="C16" s="10" t="s">
        <v>1002</v>
      </c>
      <c r="D16" s="3" t="s">
        <v>52</v>
      </c>
      <c r="E16" s="3" t="s">
        <v>53</v>
      </c>
      <c r="F16" s="3" t="s">
        <v>54</v>
      </c>
      <c r="G16" s="3" t="s">
        <v>55</v>
      </c>
      <c r="H16" s="3" t="s">
        <v>14</v>
      </c>
      <c r="I16" s="3" t="s">
        <v>6</v>
      </c>
      <c r="J16" s="3" t="s">
        <v>15</v>
      </c>
      <c r="K16" s="3" t="s">
        <v>56</v>
      </c>
      <c r="L16" s="3"/>
      <c r="M16" s="3"/>
      <c r="N16" s="3"/>
      <c r="O16" s="3">
        <v>1620</v>
      </c>
      <c r="P16" s="3"/>
      <c r="Q16" s="4">
        <v>46067</v>
      </c>
      <c r="R16" s="5">
        <v>11962.51</v>
      </c>
      <c r="S16" s="3">
        <v>203</v>
      </c>
      <c r="T16" s="3"/>
      <c r="U16" s="3">
        <v>0</v>
      </c>
      <c r="V16" s="3" t="s">
        <v>8</v>
      </c>
      <c r="W16" s="5">
        <v>11962.51</v>
      </c>
      <c r="X16" s="5">
        <v>11962.51</v>
      </c>
      <c r="Y16" s="3">
        <v>0</v>
      </c>
      <c r="Z16" s="3">
        <v>0</v>
      </c>
      <c r="AA16" s="3">
        <v>0</v>
      </c>
      <c r="AB16" s="5">
        <v>23925.02</v>
      </c>
      <c r="AC16"/>
      <c r="AD16" s="25" t="s">
        <v>1164</v>
      </c>
      <c r="AE16" s="25" t="s">
        <v>1174</v>
      </c>
      <c r="AF16" s="26">
        <v>11962.51</v>
      </c>
      <c r="AG16" s="32"/>
      <c r="AH16" s="19">
        <f>AF16</f>
        <v>11962.51</v>
      </c>
      <c r="AI16" s="3"/>
      <c r="AJ16" s="3"/>
      <c r="AK16" s="3"/>
    </row>
    <row r="17" spans="1:37" x14ac:dyDescent="0.25">
      <c r="A17">
        <v>10</v>
      </c>
      <c r="B17" s="10" t="s">
        <v>57</v>
      </c>
      <c r="C17" s="10" t="s">
        <v>1003</v>
      </c>
      <c r="D17" s="3" t="s">
        <v>58</v>
      </c>
      <c r="E17" s="3" t="s">
        <v>59</v>
      </c>
      <c r="F17" s="3" t="s">
        <v>60</v>
      </c>
      <c r="G17" s="3" t="s">
        <v>61</v>
      </c>
      <c r="H17" s="3" t="s">
        <v>14</v>
      </c>
      <c r="I17" s="3" t="s">
        <v>6</v>
      </c>
      <c r="J17" s="3"/>
      <c r="K17" s="3" t="s">
        <v>62</v>
      </c>
      <c r="L17" s="3"/>
      <c r="M17" s="3"/>
      <c r="N17" s="3"/>
      <c r="O17" s="3">
        <v>1457</v>
      </c>
      <c r="P17" s="3"/>
      <c r="Q17" s="4">
        <v>46071</v>
      </c>
      <c r="R17" s="5">
        <v>40250</v>
      </c>
      <c r="S17" s="3">
        <v>253</v>
      </c>
      <c r="T17" s="3" t="s">
        <v>63</v>
      </c>
      <c r="U17" s="3">
        <v>0</v>
      </c>
      <c r="V17" s="3" t="s">
        <v>8</v>
      </c>
      <c r="W17" s="5">
        <v>73466.600000000006</v>
      </c>
      <c r="X17" s="5">
        <v>73466.600000000006</v>
      </c>
      <c r="Y17" s="3">
        <v>0</v>
      </c>
      <c r="Z17" s="3">
        <v>0</v>
      </c>
      <c r="AA17" s="3">
        <v>0</v>
      </c>
      <c r="AB17" s="5">
        <v>146933.20000000001</v>
      </c>
      <c r="AC17"/>
      <c r="AD17" s="25" t="s">
        <v>1147</v>
      </c>
      <c r="AE17" s="25" t="s">
        <v>57</v>
      </c>
      <c r="AF17" s="26">
        <v>73466.600000000006</v>
      </c>
      <c r="AG17" s="32"/>
      <c r="AH17" s="19">
        <f>AF17</f>
        <v>73466.600000000006</v>
      </c>
      <c r="AI17" s="3"/>
      <c r="AJ17" s="3"/>
      <c r="AK17" s="3"/>
    </row>
    <row r="18" spans="1:37" x14ac:dyDescent="0.25">
      <c r="A18">
        <v>11</v>
      </c>
      <c r="B18" s="10" t="s">
        <v>64</v>
      </c>
      <c r="C18" s="10" t="s">
        <v>1004</v>
      </c>
      <c r="D18" s="3" t="s">
        <v>65</v>
      </c>
      <c r="E18" s="3" t="s">
        <v>66</v>
      </c>
      <c r="F18" s="3"/>
      <c r="G18" s="3" t="s">
        <v>67</v>
      </c>
      <c r="H18" s="3" t="s">
        <v>14</v>
      </c>
      <c r="I18" s="3" t="s">
        <v>6</v>
      </c>
      <c r="J18" s="3"/>
      <c r="K18" s="3" t="s">
        <v>68</v>
      </c>
      <c r="L18" s="3"/>
      <c r="M18" s="3" t="s">
        <v>69</v>
      </c>
      <c r="N18" s="3" t="s">
        <v>22</v>
      </c>
      <c r="O18" s="3"/>
      <c r="P18" s="3"/>
      <c r="Q18" s="4">
        <v>46081</v>
      </c>
      <c r="R18" s="5">
        <v>284.67</v>
      </c>
      <c r="S18" s="3">
        <v>41</v>
      </c>
      <c r="T18" s="3"/>
      <c r="U18" s="3">
        <v>0</v>
      </c>
      <c r="V18" s="3" t="s">
        <v>8</v>
      </c>
      <c r="W18" s="5">
        <v>284.67</v>
      </c>
      <c r="X18" s="3">
        <v>0</v>
      </c>
      <c r="Y18" s="3">
        <v>0</v>
      </c>
      <c r="Z18" s="3">
        <v>0</v>
      </c>
      <c r="AA18" s="3">
        <v>0</v>
      </c>
      <c r="AB18" s="5">
        <v>284.67</v>
      </c>
      <c r="AC18"/>
      <c r="AD18" s="25"/>
      <c r="AE18" s="25"/>
      <c r="AF18" s="25"/>
      <c r="AG18" s="32"/>
      <c r="AH18" s="18"/>
      <c r="AI18" s="3"/>
      <c r="AJ18" s="3"/>
      <c r="AK18" s="3"/>
    </row>
    <row r="19" spans="1:37" x14ac:dyDescent="0.25">
      <c r="A19">
        <v>12</v>
      </c>
      <c r="B19" s="10" t="s">
        <v>70</v>
      </c>
      <c r="C19" s="10" t="s">
        <v>30</v>
      </c>
      <c r="D19" s="3" t="s">
        <v>71</v>
      </c>
      <c r="E19" s="3" t="s">
        <v>72</v>
      </c>
      <c r="F19" s="3" t="s">
        <v>73</v>
      </c>
      <c r="G19" s="3" t="s">
        <v>74</v>
      </c>
      <c r="H19" s="3" t="s">
        <v>14</v>
      </c>
      <c r="I19" s="3" t="s">
        <v>6</v>
      </c>
      <c r="J19" s="3" t="s">
        <v>15</v>
      </c>
      <c r="K19" s="3" t="s">
        <v>75</v>
      </c>
      <c r="L19" s="3" t="s">
        <v>76</v>
      </c>
      <c r="M19" s="3" t="s">
        <v>69</v>
      </c>
      <c r="N19" s="3" t="s">
        <v>22</v>
      </c>
      <c r="O19" s="3">
        <v>2094</v>
      </c>
      <c r="P19" s="3"/>
      <c r="Q19" s="4">
        <v>46079</v>
      </c>
      <c r="R19" s="5">
        <v>147.16999999999999</v>
      </c>
      <c r="S19" s="3">
        <v>39</v>
      </c>
      <c r="T19" s="3"/>
      <c r="U19" s="3">
        <v>0</v>
      </c>
      <c r="V19" s="3" t="s">
        <v>8</v>
      </c>
      <c r="W19" s="5">
        <v>147.16999999999999</v>
      </c>
      <c r="X19" s="3">
        <v>0</v>
      </c>
      <c r="Y19" s="3">
        <v>0</v>
      </c>
      <c r="Z19" s="3">
        <v>0</v>
      </c>
      <c r="AA19" s="3">
        <v>0</v>
      </c>
      <c r="AB19" s="5">
        <v>147.16999999999999</v>
      </c>
      <c r="AC19"/>
      <c r="AD19" s="25"/>
      <c r="AE19" s="25"/>
      <c r="AF19" s="25"/>
      <c r="AG19" s="32"/>
      <c r="AH19" s="18"/>
      <c r="AI19" s="3"/>
      <c r="AJ19" s="3"/>
      <c r="AK19" s="3"/>
    </row>
    <row r="20" spans="1:37" x14ac:dyDescent="0.25">
      <c r="A20">
        <v>13</v>
      </c>
      <c r="B20" s="10" t="s">
        <v>77</v>
      </c>
      <c r="C20" s="10" t="s">
        <v>1005</v>
      </c>
      <c r="D20" s="3" t="s">
        <v>78</v>
      </c>
      <c r="E20" s="3" t="s">
        <v>79</v>
      </c>
      <c r="F20" s="3" t="s">
        <v>80</v>
      </c>
      <c r="G20" s="3" t="s">
        <v>81</v>
      </c>
      <c r="H20" s="3" t="s">
        <v>82</v>
      </c>
      <c r="I20" s="3" t="s">
        <v>6</v>
      </c>
      <c r="J20" s="3" t="s">
        <v>15</v>
      </c>
      <c r="K20" s="3" t="s">
        <v>83</v>
      </c>
      <c r="L20" s="3"/>
      <c r="M20" s="3"/>
      <c r="N20" s="3"/>
      <c r="O20" s="3">
        <v>2066</v>
      </c>
      <c r="P20" s="3"/>
      <c r="Q20" s="4">
        <v>45169</v>
      </c>
      <c r="R20" s="5">
        <v>342.26</v>
      </c>
      <c r="S20" s="3">
        <v>217</v>
      </c>
      <c r="T20" s="3"/>
      <c r="U20" s="3">
        <v>0</v>
      </c>
      <c r="V20" s="3" t="s">
        <v>8</v>
      </c>
      <c r="W20" s="3">
        <v>0</v>
      </c>
      <c r="X20" s="3">
        <v>0</v>
      </c>
      <c r="Y20" s="3">
        <v>0</v>
      </c>
      <c r="Z20" s="3">
        <v>0</v>
      </c>
      <c r="AA20" s="5">
        <v>0</v>
      </c>
      <c r="AB20" s="5">
        <v>0</v>
      </c>
      <c r="AC20"/>
      <c r="AD20" s="25"/>
      <c r="AE20" s="25"/>
      <c r="AF20" s="25"/>
      <c r="AG20" s="32"/>
      <c r="AH20" s="18"/>
      <c r="AI20" s="3"/>
      <c r="AJ20" s="3"/>
      <c r="AK20" s="5"/>
    </row>
    <row r="21" spans="1:37" x14ac:dyDescent="0.25">
      <c r="A21">
        <v>14</v>
      </c>
      <c r="B21" s="10" t="s">
        <v>84</v>
      </c>
      <c r="C21" s="10" t="s">
        <v>1006</v>
      </c>
      <c r="D21" s="3" t="s">
        <v>85</v>
      </c>
      <c r="E21" s="3" t="s">
        <v>86</v>
      </c>
      <c r="F21" s="3"/>
      <c r="G21" s="3" t="s">
        <v>87</v>
      </c>
      <c r="H21" s="3" t="s">
        <v>14</v>
      </c>
      <c r="I21" s="3" t="s">
        <v>6</v>
      </c>
      <c r="J21" s="3" t="s">
        <v>15</v>
      </c>
      <c r="K21" s="3" t="s">
        <v>88</v>
      </c>
      <c r="L21" s="3"/>
      <c r="M21" s="3"/>
      <c r="N21" s="3"/>
      <c r="O21" s="3">
        <v>2041</v>
      </c>
      <c r="P21" s="3"/>
      <c r="Q21" s="4">
        <v>46081</v>
      </c>
      <c r="R21" s="5">
        <v>204.7</v>
      </c>
      <c r="S21" s="3">
        <v>102</v>
      </c>
      <c r="T21" s="3"/>
      <c r="U21" s="3">
        <v>0</v>
      </c>
      <c r="V21" s="3" t="s">
        <v>8</v>
      </c>
      <c r="W21" s="5">
        <v>204.69</v>
      </c>
      <c r="X21" s="3">
        <v>0</v>
      </c>
      <c r="Y21" s="3">
        <v>0</v>
      </c>
      <c r="Z21" s="3">
        <v>0</v>
      </c>
      <c r="AA21" s="3">
        <v>0.01</v>
      </c>
      <c r="AB21" s="5">
        <v>204.7</v>
      </c>
      <c r="AC21"/>
      <c r="AD21" s="25"/>
      <c r="AE21" s="25"/>
      <c r="AF21" s="25"/>
      <c r="AG21" s="32"/>
      <c r="AH21" s="18"/>
      <c r="AI21" s="3"/>
      <c r="AJ21" s="3"/>
      <c r="AK21" s="3"/>
    </row>
    <row r="22" spans="1:37" x14ac:dyDescent="0.25">
      <c r="A22">
        <v>15</v>
      </c>
      <c r="B22" s="10"/>
      <c r="C22" s="10"/>
      <c r="D22" s="3" t="str">
        <f>[1]nedredc!$B$35</f>
        <v>AUMA SOUTH AFRICA (PTY)LTD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4"/>
      <c r="R22" s="5"/>
      <c r="S22" s="3"/>
      <c r="T22" s="3"/>
      <c r="U22" s="3"/>
      <c r="V22" s="3"/>
      <c r="W22" s="5"/>
      <c r="X22" s="3"/>
      <c r="Y22" s="3"/>
      <c r="Z22" s="3"/>
      <c r="AA22" s="3"/>
      <c r="AB22" s="5"/>
      <c r="AC22"/>
      <c r="AD22" s="25" t="s">
        <v>1167</v>
      </c>
      <c r="AE22" s="25" t="s">
        <v>1186</v>
      </c>
      <c r="AF22" s="26">
        <v>26226.81</v>
      </c>
      <c r="AG22" s="33">
        <f>AF22</f>
        <v>26226.81</v>
      </c>
      <c r="AH22" s="18"/>
      <c r="AI22" s="3"/>
      <c r="AJ22" s="3"/>
      <c r="AK22" s="3"/>
    </row>
    <row r="23" spans="1:37" x14ac:dyDescent="0.25">
      <c r="A23">
        <v>16</v>
      </c>
      <c r="B23" s="10" t="s">
        <v>89</v>
      </c>
      <c r="C23" s="10" t="s">
        <v>1007</v>
      </c>
      <c r="D23" s="3" t="s">
        <v>90</v>
      </c>
      <c r="E23" s="3" t="s">
        <v>91</v>
      </c>
      <c r="F23" s="3" t="s">
        <v>92</v>
      </c>
      <c r="G23" s="3" t="s">
        <v>93</v>
      </c>
      <c r="H23" s="3" t="s">
        <v>14</v>
      </c>
      <c r="I23" s="3" t="s">
        <v>6</v>
      </c>
      <c r="J23" s="3" t="s">
        <v>15</v>
      </c>
      <c r="K23" s="3" t="s">
        <v>94</v>
      </c>
      <c r="L23" s="3"/>
      <c r="M23" s="3"/>
      <c r="N23" s="3"/>
      <c r="O23" s="3"/>
      <c r="P23" s="3"/>
      <c r="Q23" s="4">
        <v>46069</v>
      </c>
      <c r="R23" s="5">
        <v>189890.58</v>
      </c>
      <c r="S23" s="3">
        <v>139</v>
      </c>
      <c r="T23" s="3"/>
      <c r="U23" s="3">
        <v>0</v>
      </c>
      <c r="V23" s="3" t="s">
        <v>8</v>
      </c>
      <c r="W23" s="5">
        <v>132914.71</v>
      </c>
      <c r="X23" s="5">
        <v>237641.76</v>
      </c>
      <c r="Y23" s="3">
        <v>0</v>
      </c>
      <c r="Z23" s="3">
        <v>0</v>
      </c>
      <c r="AA23" s="3">
        <v>0</v>
      </c>
      <c r="AB23" s="5">
        <v>370556.47</v>
      </c>
      <c r="AC23"/>
      <c r="AD23" s="25" t="s">
        <v>1156</v>
      </c>
      <c r="AE23" s="25" t="s">
        <v>1190</v>
      </c>
      <c r="AF23" s="26">
        <v>37641.760000000002</v>
      </c>
      <c r="AG23" s="33">
        <f>AF24</f>
        <v>200000</v>
      </c>
      <c r="AH23" s="19">
        <f>AF23</f>
        <v>37641.760000000002</v>
      </c>
      <c r="AI23" s="3"/>
      <c r="AJ23" s="3"/>
      <c r="AK23" s="3"/>
    </row>
    <row r="24" spans="1:37" x14ac:dyDescent="0.25">
      <c r="A24">
        <v>17</v>
      </c>
      <c r="B24" s="10"/>
      <c r="C24" s="10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4"/>
      <c r="R24" s="5"/>
      <c r="S24" s="3"/>
      <c r="T24" s="3"/>
      <c r="U24" s="3"/>
      <c r="V24" s="3"/>
      <c r="W24" s="5"/>
      <c r="X24" s="5"/>
      <c r="Y24" s="3"/>
      <c r="Z24" s="3"/>
      <c r="AA24" s="3"/>
      <c r="AB24" s="5"/>
      <c r="AC24"/>
      <c r="AD24" s="25" t="s">
        <v>1156</v>
      </c>
      <c r="AE24" s="25" t="s">
        <v>1190</v>
      </c>
      <c r="AF24" s="26">
        <v>200000</v>
      </c>
      <c r="AG24" s="32"/>
      <c r="AH24" s="19"/>
      <c r="AI24" s="3"/>
      <c r="AJ24" s="3"/>
      <c r="AK24" s="3"/>
    </row>
    <row r="25" spans="1:37" x14ac:dyDescent="0.25">
      <c r="A25">
        <v>18</v>
      </c>
      <c r="B25" s="10" t="s">
        <v>95</v>
      </c>
      <c r="C25" s="10" t="s">
        <v>30</v>
      </c>
      <c r="D25" s="3" t="s">
        <v>96</v>
      </c>
      <c r="E25" s="3" t="s">
        <v>97</v>
      </c>
      <c r="F25" s="3" t="s">
        <v>92</v>
      </c>
      <c r="G25" s="3" t="s">
        <v>93</v>
      </c>
      <c r="H25" s="3" t="s">
        <v>14</v>
      </c>
      <c r="I25" s="3" t="s">
        <v>6</v>
      </c>
      <c r="J25" s="3"/>
      <c r="K25" s="3" t="s">
        <v>94</v>
      </c>
      <c r="L25" s="3"/>
      <c r="M25" s="3"/>
      <c r="N25" s="3" t="s">
        <v>22</v>
      </c>
      <c r="O25" s="3"/>
      <c r="P25" s="3"/>
      <c r="Q25" s="4">
        <v>46081</v>
      </c>
      <c r="R25" s="5">
        <v>1122.4000000000001</v>
      </c>
      <c r="S25" s="3">
        <v>116</v>
      </c>
      <c r="T25" s="3"/>
      <c r="U25" s="3">
        <v>0</v>
      </c>
      <c r="V25" s="3" t="s">
        <v>8</v>
      </c>
      <c r="W25" s="5">
        <v>1122.4000000000001</v>
      </c>
      <c r="X25" s="3">
        <v>0</v>
      </c>
      <c r="Y25" s="3">
        <v>0</v>
      </c>
      <c r="Z25" s="3">
        <v>0</v>
      </c>
      <c r="AA25" s="3">
        <v>0</v>
      </c>
      <c r="AB25" s="5">
        <v>1122.4000000000001</v>
      </c>
      <c r="AC25"/>
      <c r="AD25" s="25"/>
      <c r="AE25" s="25"/>
      <c r="AF25" s="25"/>
      <c r="AG25" s="32"/>
      <c r="AH25" s="18"/>
      <c r="AI25" s="3"/>
      <c r="AJ25" s="3"/>
      <c r="AK25" s="3"/>
    </row>
    <row r="26" spans="1:37" x14ac:dyDescent="0.25">
      <c r="A26">
        <v>19</v>
      </c>
      <c r="B26" s="10" t="s">
        <v>98</v>
      </c>
      <c r="C26" s="10" t="s">
        <v>1008</v>
      </c>
      <c r="D26" s="3" t="s">
        <v>99</v>
      </c>
      <c r="E26" s="3" t="s">
        <v>100</v>
      </c>
      <c r="F26" s="3" t="s">
        <v>101</v>
      </c>
      <c r="G26" s="3" t="s">
        <v>102</v>
      </c>
      <c r="H26" s="3" t="s">
        <v>14</v>
      </c>
      <c r="I26" s="3" t="s">
        <v>6</v>
      </c>
      <c r="J26" s="3" t="s">
        <v>15</v>
      </c>
      <c r="K26" s="3" t="s">
        <v>103</v>
      </c>
      <c r="L26" s="3"/>
      <c r="M26" s="3"/>
      <c r="N26" s="3" t="s">
        <v>22</v>
      </c>
      <c r="O26" s="3"/>
      <c r="P26" s="3"/>
      <c r="Q26" s="4">
        <v>46081</v>
      </c>
      <c r="R26" s="5">
        <v>2390.2600000000002</v>
      </c>
      <c r="S26" s="3">
        <v>226</v>
      </c>
      <c r="T26" s="3"/>
      <c r="U26" s="3">
        <v>0</v>
      </c>
      <c r="V26" s="3" t="s">
        <v>8</v>
      </c>
      <c r="W26" s="5">
        <v>2390.2600000000002</v>
      </c>
      <c r="X26" s="3">
        <v>0</v>
      </c>
      <c r="Y26" s="3">
        <v>0</v>
      </c>
      <c r="Z26" s="3">
        <v>0</v>
      </c>
      <c r="AA26" s="3">
        <v>0</v>
      </c>
      <c r="AB26" s="5">
        <v>2390.2600000000002</v>
      </c>
      <c r="AC26"/>
      <c r="AD26" s="25" t="s">
        <v>1201</v>
      </c>
      <c r="AE26" s="25" t="s">
        <v>1257</v>
      </c>
      <c r="AF26" s="26">
        <v>2390.2600000000002</v>
      </c>
      <c r="AG26" s="33">
        <f>AF26</f>
        <v>2390.2600000000002</v>
      </c>
      <c r="AH26" s="18"/>
      <c r="AI26" s="3"/>
      <c r="AJ26" s="3"/>
      <c r="AK26" s="3"/>
    </row>
    <row r="27" spans="1:37" x14ac:dyDescent="0.25">
      <c r="A27">
        <v>20</v>
      </c>
      <c r="B27" s="10" t="s">
        <v>104</v>
      </c>
      <c r="C27" s="10" t="s">
        <v>1009</v>
      </c>
      <c r="D27" s="3" t="s">
        <v>105</v>
      </c>
      <c r="E27" s="3" t="s">
        <v>106</v>
      </c>
      <c r="F27" s="3" t="s">
        <v>107</v>
      </c>
      <c r="G27" s="3" t="s">
        <v>108</v>
      </c>
      <c r="H27" s="3" t="s">
        <v>14</v>
      </c>
      <c r="I27" s="3" t="s">
        <v>6</v>
      </c>
      <c r="J27" s="3" t="s">
        <v>15</v>
      </c>
      <c r="K27" s="3" t="s">
        <v>109</v>
      </c>
      <c r="L27" s="3"/>
      <c r="M27" s="3"/>
      <c r="N27" s="3" t="s">
        <v>22</v>
      </c>
      <c r="O27" s="3"/>
      <c r="P27" s="3"/>
      <c r="Q27" s="4">
        <v>46081</v>
      </c>
      <c r="R27" s="5">
        <v>1940.51</v>
      </c>
      <c r="S27" s="3">
        <v>67</v>
      </c>
      <c r="T27" s="3"/>
      <c r="U27" s="3">
        <v>0</v>
      </c>
      <c r="V27" s="3" t="s">
        <v>8</v>
      </c>
      <c r="W27" s="5">
        <v>1940.51</v>
      </c>
      <c r="X27" s="3">
        <v>0</v>
      </c>
      <c r="Y27" s="3">
        <v>0</v>
      </c>
      <c r="Z27" s="3">
        <v>0</v>
      </c>
      <c r="AA27" s="3">
        <v>0</v>
      </c>
      <c r="AB27" s="5">
        <v>1940.51</v>
      </c>
      <c r="AC27"/>
      <c r="AD27" s="25" t="s">
        <v>1201</v>
      </c>
      <c r="AE27" s="25" t="s">
        <v>1255</v>
      </c>
      <c r="AF27" s="26">
        <v>1940.51</v>
      </c>
      <c r="AG27" s="33">
        <f>AF27</f>
        <v>1940.51</v>
      </c>
      <c r="AH27" s="18"/>
      <c r="AI27" s="3"/>
      <c r="AJ27" s="3"/>
      <c r="AK27" s="3"/>
    </row>
    <row r="28" spans="1:37" x14ac:dyDescent="0.25">
      <c r="A28">
        <v>21</v>
      </c>
      <c r="B28" s="10" t="s">
        <v>110</v>
      </c>
      <c r="C28" s="10"/>
      <c r="D28" s="3" t="s">
        <v>111</v>
      </c>
      <c r="E28" s="3" t="s">
        <v>111</v>
      </c>
      <c r="F28" s="3"/>
      <c r="G28" s="3" t="s">
        <v>112</v>
      </c>
      <c r="H28" s="3" t="s">
        <v>14</v>
      </c>
      <c r="I28" s="3" t="s">
        <v>6</v>
      </c>
      <c r="J28" s="3"/>
      <c r="K28" s="3" t="s">
        <v>113</v>
      </c>
      <c r="L28" s="3"/>
      <c r="M28" s="3"/>
      <c r="N28" s="3" t="s">
        <v>22</v>
      </c>
      <c r="O28" s="3"/>
      <c r="P28" s="3"/>
      <c r="Q28" s="4">
        <v>46079</v>
      </c>
      <c r="R28" s="5">
        <v>79.349999999999994</v>
      </c>
      <c r="S28" s="3">
        <v>64</v>
      </c>
      <c r="T28" s="3"/>
      <c r="U28" s="3">
        <v>0</v>
      </c>
      <c r="V28" s="3" t="s">
        <v>8</v>
      </c>
      <c r="W28" s="5">
        <v>79.349999999999994</v>
      </c>
      <c r="X28" s="3">
        <v>0</v>
      </c>
      <c r="Y28" s="3">
        <v>0</v>
      </c>
      <c r="Z28" s="3">
        <v>0</v>
      </c>
      <c r="AA28" s="3">
        <v>0</v>
      </c>
      <c r="AB28" s="5">
        <v>79.349999999999994</v>
      </c>
      <c r="AC28"/>
      <c r="AD28" s="25"/>
      <c r="AE28" s="25"/>
      <c r="AF28" s="25"/>
      <c r="AG28" s="32"/>
      <c r="AH28" s="18"/>
      <c r="AI28" s="3"/>
      <c r="AJ28" s="3"/>
      <c r="AK28" s="3"/>
    </row>
    <row r="29" spans="1:37" x14ac:dyDescent="0.25">
      <c r="A29">
        <v>22</v>
      </c>
      <c r="B29" s="10" t="s">
        <v>114</v>
      </c>
      <c r="C29" s="10"/>
      <c r="D29" s="3" t="s">
        <v>115</v>
      </c>
      <c r="E29" s="3" t="s">
        <v>115</v>
      </c>
      <c r="F29" s="6" t="s">
        <v>116</v>
      </c>
      <c r="G29" s="3" t="s">
        <v>117</v>
      </c>
      <c r="H29" s="3" t="s">
        <v>14</v>
      </c>
      <c r="I29" s="3" t="s">
        <v>6</v>
      </c>
      <c r="J29" s="3" t="s">
        <v>15</v>
      </c>
      <c r="K29" s="3" t="s">
        <v>118</v>
      </c>
      <c r="L29" s="3"/>
      <c r="M29" s="3"/>
      <c r="N29" s="3"/>
      <c r="O29" s="3"/>
      <c r="P29" s="3"/>
      <c r="Q29" s="4">
        <v>46081</v>
      </c>
      <c r="R29" s="5">
        <v>734.3</v>
      </c>
      <c r="S29" s="3">
        <v>73</v>
      </c>
      <c r="T29" s="3"/>
      <c r="U29" s="3">
        <v>0</v>
      </c>
      <c r="V29" s="3" t="s">
        <v>8</v>
      </c>
      <c r="W29" s="5">
        <v>734.3</v>
      </c>
      <c r="X29" s="3">
        <v>0</v>
      </c>
      <c r="Y29" s="3">
        <v>0</v>
      </c>
      <c r="Z29" s="3">
        <v>0</v>
      </c>
      <c r="AA29" s="3">
        <v>0</v>
      </c>
      <c r="AB29" s="5">
        <v>734.3</v>
      </c>
      <c r="AC29"/>
      <c r="AD29" s="25" t="s">
        <v>1201</v>
      </c>
      <c r="AE29" s="25" t="s">
        <v>115</v>
      </c>
      <c r="AF29" s="26">
        <v>734.3</v>
      </c>
      <c r="AG29" s="33">
        <f>AF29</f>
        <v>734.3</v>
      </c>
      <c r="AH29" s="18"/>
      <c r="AI29" s="3"/>
      <c r="AJ29" s="3"/>
      <c r="AK29" s="3"/>
    </row>
    <row r="30" spans="1:37" x14ac:dyDescent="0.25">
      <c r="A30">
        <v>23</v>
      </c>
      <c r="B30" s="10" t="s">
        <v>119</v>
      </c>
      <c r="C30" s="10" t="s">
        <v>1010</v>
      </c>
      <c r="D30" s="3" t="s">
        <v>120</v>
      </c>
      <c r="E30" s="3" t="s">
        <v>120</v>
      </c>
      <c r="F30" s="3"/>
      <c r="G30" s="3" t="s">
        <v>121</v>
      </c>
      <c r="H30" s="3" t="s">
        <v>14</v>
      </c>
      <c r="I30" s="3" t="s">
        <v>6</v>
      </c>
      <c r="J30" s="3" t="s">
        <v>15</v>
      </c>
      <c r="K30" s="3" t="s">
        <v>122</v>
      </c>
      <c r="L30" s="3"/>
      <c r="M30" s="3"/>
      <c r="N30" s="3" t="s">
        <v>22</v>
      </c>
      <c r="O30" s="3"/>
      <c r="P30" s="3"/>
      <c r="Q30" s="4">
        <v>46079</v>
      </c>
      <c r="R30" s="5">
        <v>79.349999999999994</v>
      </c>
      <c r="S30" s="3">
        <v>46</v>
      </c>
      <c r="T30" s="3"/>
      <c r="U30" s="3">
        <v>0</v>
      </c>
      <c r="V30" s="3" t="s">
        <v>8</v>
      </c>
      <c r="W30" s="3">
        <v>0</v>
      </c>
      <c r="X30" s="3">
        <v>0</v>
      </c>
      <c r="Y30" s="3">
        <v>0</v>
      </c>
      <c r="Z30" s="3">
        <v>0</v>
      </c>
      <c r="AA30" s="5">
        <v>79.349999999999994</v>
      </c>
      <c r="AB30" s="5">
        <v>79.349999999999994</v>
      </c>
      <c r="AC30"/>
      <c r="AD30" s="25"/>
      <c r="AE30" s="25"/>
      <c r="AF30" s="25"/>
      <c r="AG30" s="32"/>
      <c r="AH30" s="18"/>
      <c r="AI30" s="3"/>
      <c r="AJ30" s="3"/>
      <c r="AK30" s="5"/>
    </row>
    <row r="31" spans="1:37" x14ac:dyDescent="0.25">
      <c r="A31">
        <v>24</v>
      </c>
      <c r="B31" s="10" t="s">
        <v>123</v>
      </c>
      <c r="C31" s="10" t="s">
        <v>1011</v>
      </c>
      <c r="D31" s="3" t="s">
        <v>124</v>
      </c>
      <c r="E31" s="3" t="s">
        <v>125</v>
      </c>
      <c r="F31" s="3" t="s">
        <v>126</v>
      </c>
      <c r="G31" s="3" t="s">
        <v>127</v>
      </c>
      <c r="H31" s="3" t="s">
        <v>14</v>
      </c>
      <c r="I31" s="3" t="s">
        <v>6</v>
      </c>
      <c r="J31" s="3" t="s">
        <v>15</v>
      </c>
      <c r="K31" s="3" t="s">
        <v>128</v>
      </c>
      <c r="L31" s="3"/>
      <c r="M31" s="3"/>
      <c r="N31" s="3"/>
      <c r="O31" s="3">
        <v>1715</v>
      </c>
      <c r="P31" s="3"/>
      <c r="Q31" s="4">
        <v>46081</v>
      </c>
      <c r="R31" s="5">
        <v>1949.08</v>
      </c>
      <c r="S31" s="3">
        <v>122</v>
      </c>
      <c r="T31" s="3"/>
      <c r="U31" s="3">
        <v>0</v>
      </c>
      <c r="V31" s="3" t="s">
        <v>8</v>
      </c>
      <c r="W31" s="5">
        <v>1949.08</v>
      </c>
      <c r="X31" s="3">
        <v>0</v>
      </c>
      <c r="Y31" s="3">
        <v>0</v>
      </c>
      <c r="Z31" s="3">
        <v>0</v>
      </c>
      <c r="AA31" s="3">
        <v>0</v>
      </c>
      <c r="AB31" s="5">
        <v>1949.08</v>
      </c>
      <c r="AC31"/>
      <c r="AD31" s="25" t="s">
        <v>1201</v>
      </c>
      <c r="AE31" s="25" t="s">
        <v>1256</v>
      </c>
      <c r="AF31" s="26">
        <v>1949.08</v>
      </c>
      <c r="AG31" s="33">
        <f>AF31</f>
        <v>1949.08</v>
      </c>
      <c r="AH31" s="18"/>
      <c r="AI31" s="3"/>
      <c r="AJ31" s="3"/>
      <c r="AK31" s="3"/>
    </row>
    <row r="32" spans="1:37" x14ac:dyDescent="0.25">
      <c r="A32">
        <v>25</v>
      </c>
      <c r="B32" s="10" t="s">
        <v>129</v>
      </c>
      <c r="C32" s="10"/>
      <c r="D32" s="3" t="s">
        <v>130</v>
      </c>
      <c r="E32" s="3" t="s">
        <v>130</v>
      </c>
      <c r="F32" s="3" t="s">
        <v>131</v>
      </c>
      <c r="G32" s="3" t="s">
        <v>132</v>
      </c>
      <c r="H32" s="3" t="s">
        <v>14</v>
      </c>
      <c r="I32" s="3" t="s">
        <v>6</v>
      </c>
      <c r="J32" s="3" t="s">
        <v>15</v>
      </c>
      <c r="K32" s="3" t="s">
        <v>133</v>
      </c>
      <c r="L32" s="3"/>
      <c r="M32" s="3"/>
      <c r="N32" s="3" t="s">
        <v>22</v>
      </c>
      <c r="O32" s="3"/>
      <c r="P32" s="3"/>
      <c r="Q32" s="4">
        <v>46081</v>
      </c>
      <c r="R32" s="5">
        <v>153.53</v>
      </c>
      <c r="S32" s="3">
        <v>57</v>
      </c>
      <c r="T32" s="3"/>
      <c r="U32" s="3">
        <v>0</v>
      </c>
      <c r="V32" s="3" t="s">
        <v>8</v>
      </c>
      <c r="W32" s="5">
        <v>153.53</v>
      </c>
      <c r="X32" s="3">
        <v>0</v>
      </c>
      <c r="Y32" s="3">
        <v>0</v>
      </c>
      <c r="Z32" s="3">
        <v>0</v>
      </c>
      <c r="AA32" s="3">
        <v>0</v>
      </c>
      <c r="AB32" s="5">
        <v>153.53</v>
      </c>
      <c r="AC32"/>
      <c r="AD32" s="25"/>
      <c r="AE32" s="25"/>
      <c r="AF32" s="25"/>
      <c r="AG32" s="32"/>
      <c r="AH32" s="18"/>
      <c r="AI32" s="3"/>
      <c r="AJ32" s="3"/>
      <c r="AK32" s="3"/>
    </row>
    <row r="33" spans="1:37" x14ac:dyDescent="0.25">
      <c r="A33">
        <v>26</v>
      </c>
      <c r="B33" s="10">
        <v>1126</v>
      </c>
      <c r="C33" s="10" t="s">
        <v>1012</v>
      </c>
      <c r="D33" s="3" t="s">
        <v>134</v>
      </c>
      <c r="E33" s="3" t="s">
        <v>135</v>
      </c>
      <c r="F33" s="3" t="s">
        <v>136</v>
      </c>
      <c r="G33" s="3" t="s">
        <v>137</v>
      </c>
      <c r="H33" s="3" t="s">
        <v>14</v>
      </c>
      <c r="I33" s="3" t="s">
        <v>6</v>
      </c>
      <c r="J33" s="3" t="s">
        <v>15</v>
      </c>
      <c r="K33" s="3" t="s">
        <v>138</v>
      </c>
      <c r="L33" s="3" t="s">
        <v>76</v>
      </c>
      <c r="M33" s="3" t="s">
        <v>69</v>
      </c>
      <c r="N33" s="3" t="s">
        <v>22</v>
      </c>
      <c r="O33" s="3">
        <v>1401</v>
      </c>
      <c r="P33" s="3"/>
      <c r="Q33" s="4">
        <v>46081</v>
      </c>
      <c r="R33" s="5">
        <v>354.66</v>
      </c>
      <c r="S33" s="3">
        <v>67</v>
      </c>
      <c r="T33" s="3"/>
      <c r="U33" s="3">
        <v>0</v>
      </c>
      <c r="V33" s="3" t="s">
        <v>8</v>
      </c>
      <c r="W33" s="5">
        <v>354.66</v>
      </c>
      <c r="X33" s="3">
        <v>0</v>
      </c>
      <c r="Y33" s="3">
        <v>0</v>
      </c>
      <c r="Z33" s="3">
        <v>0</v>
      </c>
      <c r="AA33" s="3">
        <v>0</v>
      </c>
      <c r="AB33" s="5">
        <v>354.66</v>
      </c>
      <c r="AC33"/>
      <c r="AD33" s="25" t="s">
        <v>1201</v>
      </c>
      <c r="AE33" s="25" t="s">
        <v>1246</v>
      </c>
      <c r="AF33" s="26">
        <v>354.66</v>
      </c>
      <c r="AG33" s="33">
        <f>AF33</f>
        <v>354.66</v>
      </c>
      <c r="AH33" s="18"/>
      <c r="AI33" s="3"/>
      <c r="AJ33" s="3"/>
      <c r="AK33" s="3"/>
    </row>
    <row r="34" spans="1:37" x14ac:dyDescent="0.25">
      <c r="A34">
        <v>27</v>
      </c>
      <c r="B34" s="10" t="s">
        <v>139</v>
      </c>
      <c r="C34" s="10" t="s">
        <v>1013</v>
      </c>
      <c r="D34" s="3" t="s">
        <v>140</v>
      </c>
      <c r="E34" s="3" t="s">
        <v>140</v>
      </c>
      <c r="F34" s="3" t="s">
        <v>141</v>
      </c>
      <c r="G34" s="3" t="s">
        <v>142</v>
      </c>
      <c r="H34" s="3" t="s">
        <v>14</v>
      </c>
      <c r="I34" s="3" t="s">
        <v>6</v>
      </c>
      <c r="J34" s="3" t="s">
        <v>15</v>
      </c>
      <c r="K34" s="3" t="s">
        <v>143</v>
      </c>
      <c r="L34" s="3"/>
      <c r="M34" s="3"/>
      <c r="N34" s="3" t="s">
        <v>22</v>
      </c>
      <c r="O34" s="3"/>
      <c r="P34" s="3"/>
      <c r="Q34" s="4">
        <v>46010</v>
      </c>
      <c r="R34" s="5">
        <v>2000</v>
      </c>
      <c r="S34" s="3">
        <v>84</v>
      </c>
      <c r="T34" s="3"/>
      <c r="U34" s="3">
        <v>0</v>
      </c>
      <c r="V34" s="3" t="s">
        <v>8</v>
      </c>
      <c r="W34" s="5">
        <v>655.49</v>
      </c>
      <c r="X34" s="5">
        <v>655.49</v>
      </c>
      <c r="Y34" s="5">
        <v>640.51</v>
      </c>
      <c r="Z34" s="3">
        <v>0</v>
      </c>
      <c r="AA34" s="3">
        <v>0</v>
      </c>
      <c r="AB34" s="5">
        <v>1951.49</v>
      </c>
      <c r="AC34"/>
      <c r="AD34" s="25"/>
      <c r="AE34" s="25"/>
      <c r="AF34" s="25"/>
      <c r="AG34" s="32"/>
      <c r="AH34" s="19"/>
      <c r="AI34" s="5"/>
      <c r="AJ34" s="3"/>
      <c r="AK34" s="3"/>
    </row>
    <row r="35" spans="1:37" x14ac:dyDescent="0.25">
      <c r="A35">
        <v>28</v>
      </c>
      <c r="B35" s="10" t="s">
        <v>144</v>
      </c>
      <c r="C35" s="10" t="s">
        <v>1014</v>
      </c>
      <c r="D35" s="3" t="s">
        <v>145</v>
      </c>
      <c r="E35" s="3" t="s">
        <v>145</v>
      </c>
      <c r="F35" s="3" t="s">
        <v>146</v>
      </c>
      <c r="G35" s="3" t="s">
        <v>147</v>
      </c>
      <c r="H35" s="3" t="s">
        <v>14</v>
      </c>
      <c r="I35" s="3" t="s">
        <v>6</v>
      </c>
      <c r="J35" s="3" t="s">
        <v>15</v>
      </c>
      <c r="K35" s="3" t="s">
        <v>148</v>
      </c>
      <c r="L35" s="3"/>
      <c r="M35" s="3"/>
      <c r="N35" s="3" t="s">
        <v>22</v>
      </c>
      <c r="O35" s="3"/>
      <c r="P35" s="3"/>
      <c r="Q35" s="4">
        <v>45772</v>
      </c>
      <c r="R35" s="3">
        <v>0</v>
      </c>
      <c r="S35" s="3">
        <v>60</v>
      </c>
      <c r="T35" s="3"/>
      <c r="U35" s="3">
        <v>0</v>
      </c>
      <c r="V35" s="3" t="s">
        <v>8</v>
      </c>
      <c r="W35" s="5">
        <v>967.52</v>
      </c>
      <c r="X35" s="5">
        <v>857.11</v>
      </c>
      <c r="Y35" s="3">
        <v>0</v>
      </c>
      <c r="Z35" s="3">
        <v>0</v>
      </c>
      <c r="AA35" s="5">
        <v>0</v>
      </c>
      <c r="AB35" s="5">
        <f>SUM(W35:AA35)</f>
        <v>1824.63</v>
      </c>
      <c r="AC35"/>
      <c r="AD35" s="25"/>
      <c r="AE35" s="25"/>
      <c r="AF35" s="25">
        <v>857.11</v>
      </c>
      <c r="AG35" s="32"/>
      <c r="AH35" s="19">
        <f>AF35</f>
        <v>857.11</v>
      </c>
      <c r="AI35" s="3"/>
      <c r="AJ35" s="3"/>
      <c r="AK35" s="5"/>
    </row>
    <row r="36" spans="1:37" x14ac:dyDescent="0.25">
      <c r="A36">
        <v>29</v>
      </c>
      <c r="B36" s="10" t="s">
        <v>149</v>
      </c>
      <c r="C36" s="10" t="s">
        <v>1015</v>
      </c>
      <c r="D36" s="3" t="s">
        <v>150</v>
      </c>
      <c r="E36" s="3" t="s">
        <v>151</v>
      </c>
      <c r="F36" s="3"/>
      <c r="G36" s="3" t="s">
        <v>152</v>
      </c>
      <c r="H36" s="3" t="s">
        <v>14</v>
      </c>
      <c r="I36" s="3" t="s">
        <v>6</v>
      </c>
      <c r="J36" s="3"/>
      <c r="K36" s="3" t="s">
        <v>153</v>
      </c>
      <c r="L36" s="3"/>
      <c r="M36" s="3"/>
      <c r="N36" s="3" t="s">
        <v>22</v>
      </c>
      <c r="O36" s="3"/>
      <c r="P36" s="3"/>
      <c r="Q36" s="4">
        <v>46060</v>
      </c>
      <c r="R36" s="5">
        <v>13511</v>
      </c>
      <c r="S36" s="3">
        <v>79</v>
      </c>
      <c r="T36" s="3"/>
      <c r="U36" s="3">
        <v>0</v>
      </c>
      <c r="V36" s="3" t="s">
        <v>8</v>
      </c>
      <c r="W36" s="5">
        <v>13511</v>
      </c>
      <c r="X36" s="5">
        <v>13511</v>
      </c>
      <c r="Y36" s="3">
        <v>0</v>
      </c>
      <c r="Z36" s="3">
        <v>0</v>
      </c>
      <c r="AA36" s="3">
        <v>0</v>
      </c>
      <c r="AB36" s="5">
        <v>27022</v>
      </c>
      <c r="AC36"/>
      <c r="AD36" s="25" t="s">
        <v>1151</v>
      </c>
      <c r="AE36" s="25" t="s">
        <v>150</v>
      </c>
      <c r="AF36" s="26">
        <v>13511</v>
      </c>
      <c r="AG36" s="32"/>
      <c r="AH36" s="19">
        <f>AF36</f>
        <v>13511</v>
      </c>
      <c r="AI36" s="3"/>
      <c r="AJ36" s="3"/>
      <c r="AK36" s="3"/>
    </row>
    <row r="37" spans="1:37" x14ac:dyDescent="0.25">
      <c r="A37">
        <v>30</v>
      </c>
      <c r="B37" s="10" t="s">
        <v>154</v>
      </c>
      <c r="C37" s="10" t="s">
        <v>1016</v>
      </c>
      <c r="D37" s="3" t="s">
        <v>155</v>
      </c>
      <c r="E37" s="3" t="s">
        <v>156</v>
      </c>
      <c r="F37" s="3" t="s">
        <v>157</v>
      </c>
      <c r="G37" s="3" t="s">
        <v>158</v>
      </c>
      <c r="H37" s="3" t="s">
        <v>14</v>
      </c>
      <c r="I37" s="3" t="s">
        <v>6</v>
      </c>
      <c r="J37" s="3"/>
      <c r="K37" s="3" t="s">
        <v>159</v>
      </c>
      <c r="L37" s="3"/>
      <c r="M37" s="3"/>
      <c r="N37" s="3" t="s">
        <v>22</v>
      </c>
      <c r="O37" s="3"/>
      <c r="P37" s="3"/>
      <c r="Q37" s="4">
        <v>46058</v>
      </c>
      <c r="R37" s="5">
        <v>6877</v>
      </c>
      <c r="S37" s="3">
        <v>89</v>
      </c>
      <c r="T37" s="3"/>
      <c r="U37" s="3">
        <v>0</v>
      </c>
      <c r="V37" s="3" t="s">
        <v>8</v>
      </c>
      <c r="W37" s="5">
        <v>10597.25</v>
      </c>
      <c r="X37" s="3">
        <v>0</v>
      </c>
      <c r="Y37" s="3">
        <v>0</v>
      </c>
      <c r="Z37" s="3">
        <v>0</v>
      </c>
      <c r="AA37" s="3">
        <v>0</v>
      </c>
      <c r="AB37" s="5">
        <v>10597.25</v>
      </c>
      <c r="AC37"/>
      <c r="AD37" s="25" t="s">
        <v>1154</v>
      </c>
      <c r="AE37" s="25" t="s">
        <v>154</v>
      </c>
      <c r="AF37" s="26">
        <v>3438.5</v>
      </c>
      <c r="AG37" s="33">
        <f>AF37</f>
        <v>3438.5</v>
      </c>
      <c r="AH37" s="18"/>
      <c r="AI37" s="3"/>
      <c r="AJ37" s="3"/>
      <c r="AK37" s="3"/>
    </row>
    <row r="38" spans="1:37" x14ac:dyDescent="0.25">
      <c r="A38">
        <v>31</v>
      </c>
      <c r="B38" s="10" t="s">
        <v>160</v>
      </c>
      <c r="C38" s="10" t="s">
        <v>1017</v>
      </c>
      <c r="D38" s="3" t="s">
        <v>161</v>
      </c>
      <c r="E38" s="3" t="s">
        <v>161</v>
      </c>
      <c r="F38" s="3"/>
      <c r="G38" s="3" t="s">
        <v>162</v>
      </c>
      <c r="H38" s="3" t="s">
        <v>14</v>
      </c>
      <c r="I38" s="3" t="s">
        <v>6</v>
      </c>
      <c r="J38" s="3"/>
      <c r="K38" s="3" t="s">
        <v>163</v>
      </c>
      <c r="L38" s="3"/>
      <c r="M38" s="3"/>
      <c r="N38" s="3"/>
      <c r="O38" s="3"/>
      <c r="P38" s="3"/>
      <c r="Q38" s="4">
        <v>46081</v>
      </c>
      <c r="R38" s="5">
        <v>79.349999999999994</v>
      </c>
      <c r="S38" s="3">
        <v>28</v>
      </c>
      <c r="T38" s="3"/>
      <c r="U38" s="3">
        <v>0</v>
      </c>
      <c r="V38" s="3" t="s">
        <v>8</v>
      </c>
      <c r="W38" s="5">
        <v>1442.1</v>
      </c>
      <c r="X38" s="3">
        <v>0</v>
      </c>
      <c r="Y38" s="3">
        <v>0</v>
      </c>
      <c r="Z38" s="3">
        <v>0</v>
      </c>
      <c r="AA38" s="3">
        <v>0</v>
      </c>
      <c r="AB38" s="5">
        <v>1442.1</v>
      </c>
      <c r="AC38"/>
      <c r="AD38" s="25" t="s">
        <v>1201</v>
      </c>
      <c r="AE38" s="25" t="s">
        <v>1251</v>
      </c>
      <c r="AF38" s="26">
        <v>1442.1</v>
      </c>
      <c r="AG38" s="33">
        <f>AF38</f>
        <v>1442.1</v>
      </c>
      <c r="AH38" s="18"/>
      <c r="AI38" s="3"/>
      <c r="AJ38" s="3"/>
      <c r="AK38" s="3"/>
    </row>
    <row r="39" spans="1:37" x14ac:dyDescent="0.25">
      <c r="A39">
        <v>32</v>
      </c>
      <c r="B39" s="10">
        <v>1128</v>
      </c>
      <c r="C39" s="10"/>
      <c r="D39" s="3" t="s">
        <v>164</v>
      </c>
      <c r="E39" s="3" t="s">
        <v>165</v>
      </c>
      <c r="F39" s="3" t="s">
        <v>166</v>
      </c>
      <c r="G39" s="3" t="s">
        <v>167</v>
      </c>
      <c r="H39" s="3" t="s">
        <v>14</v>
      </c>
      <c r="I39" s="3" t="s">
        <v>168</v>
      </c>
      <c r="J39" s="3" t="s">
        <v>33</v>
      </c>
      <c r="K39" s="3" t="s">
        <v>169</v>
      </c>
      <c r="L39" s="3" t="s">
        <v>170</v>
      </c>
      <c r="M39" s="3"/>
      <c r="N39" s="3"/>
      <c r="O39" s="3"/>
      <c r="P39" s="3"/>
      <c r="Q39" s="4">
        <v>45933</v>
      </c>
      <c r="R39" s="5">
        <v>57221.7</v>
      </c>
      <c r="S39" s="3">
        <v>259</v>
      </c>
      <c r="T39" s="3"/>
      <c r="U39" s="3">
        <v>0</v>
      </c>
      <c r="V39" s="3" t="s">
        <v>8</v>
      </c>
      <c r="W39" s="3">
        <v>0</v>
      </c>
      <c r="X39" s="3">
        <v>0</v>
      </c>
      <c r="Y39" s="3">
        <v>0</v>
      </c>
      <c r="Z39" s="3">
        <v>0</v>
      </c>
      <c r="AA39" s="5">
        <v>87149.85</v>
      </c>
      <c r="AB39" s="5">
        <v>87149.85</v>
      </c>
      <c r="AC39"/>
      <c r="AD39" s="25"/>
      <c r="AE39" s="25"/>
      <c r="AF39" s="25"/>
      <c r="AG39" s="32"/>
      <c r="AH39" s="18"/>
      <c r="AI39" s="3"/>
      <c r="AJ39" s="3"/>
      <c r="AK39" s="5"/>
    </row>
    <row r="40" spans="1:37" x14ac:dyDescent="0.25">
      <c r="A40">
        <v>33</v>
      </c>
      <c r="B40" s="10" t="s">
        <v>171</v>
      </c>
      <c r="C40" s="10" t="s">
        <v>1018</v>
      </c>
      <c r="D40" s="3" t="s">
        <v>172</v>
      </c>
      <c r="E40" s="3" t="s">
        <v>173</v>
      </c>
      <c r="F40" s="3" t="s">
        <v>174</v>
      </c>
      <c r="G40" s="3" t="s">
        <v>175</v>
      </c>
      <c r="H40" s="3" t="s">
        <v>14</v>
      </c>
      <c r="I40" s="3" t="s">
        <v>6</v>
      </c>
      <c r="J40" s="3" t="s">
        <v>15</v>
      </c>
      <c r="K40" s="3" t="s">
        <v>176</v>
      </c>
      <c r="L40" s="3"/>
      <c r="M40" s="3"/>
      <c r="N40" s="3"/>
      <c r="O40" s="3">
        <v>2059</v>
      </c>
      <c r="P40" s="3"/>
      <c r="Q40" s="4">
        <v>46081</v>
      </c>
      <c r="R40" s="5">
        <v>2005.36</v>
      </c>
      <c r="S40" s="3">
        <v>90</v>
      </c>
      <c r="T40" s="3"/>
      <c r="U40" s="3">
        <v>0</v>
      </c>
      <c r="V40" s="3" t="s">
        <v>8</v>
      </c>
      <c r="W40" s="5">
        <v>2005.36</v>
      </c>
      <c r="X40" s="3">
        <v>0</v>
      </c>
      <c r="Y40" s="3">
        <v>0</v>
      </c>
      <c r="Z40" s="3">
        <v>0</v>
      </c>
      <c r="AA40" s="3">
        <v>0</v>
      </c>
      <c r="AB40" s="5">
        <v>2005.36</v>
      </c>
      <c r="AC40"/>
      <c r="AD40" s="25" t="s">
        <v>1201</v>
      </c>
      <c r="AE40" s="25" t="s">
        <v>172</v>
      </c>
      <c r="AF40" s="26">
        <v>2005.36</v>
      </c>
      <c r="AG40" s="33">
        <f>AF40</f>
        <v>2005.36</v>
      </c>
      <c r="AH40" s="18"/>
      <c r="AI40" s="3"/>
      <c r="AJ40" s="3"/>
      <c r="AK40" s="3"/>
    </row>
    <row r="41" spans="1:37" x14ac:dyDescent="0.25">
      <c r="A41">
        <v>34</v>
      </c>
      <c r="B41" s="10" t="s">
        <v>177</v>
      </c>
      <c r="C41" s="10" t="s">
        <v>1019</v>
      </c>
      <c r="D41" s="3" t="s">
        <v>178</v>
      </c>
      <c r="E41" s="3" t="s">
        <v>179</v>
      </c>
      <c r="F41" s="3" t="s">
        <v>180</v>
      </c>
      <c r="G41" s="3" t="s">
        <v>181</v>
      </c>
      <c r="H41" s="3" t="s">
        <v>14</v>
      </c>
      <c r="I41" s="3" t="s">
        <v>6</v>
      </c>
      <c r="J41" s="3" t="s">
        <v>15</v>
      </c>
      <c r="K41" s="3" t="s">
        <v>182</v>
      </c>
      <c r="L41" s="3"/>
      <c r="M41" s="3"/>
      <c r="N41" s="3"/>
      <c r="O41" s="3">
        <v>2051</v>
      </c>
      <c r="P41" s="3"/>
      <c r="Q41" s="4">
        <v>46081</v>
      </c>
      <c r="R41" s="5">
        <v>6204.14</v>
      </c>
      <c r="S41" s="3">
        <v>140</v>
      </c>
      <c r="T41" s="3"/>
      <c r="U41" s="3">
        <v>0</v>
      </c>
      <c r="V41" s="3" t="s">
        <v>8</v>
      </c>
      <c r="W41" s="5">
        <v>6204.14</v>
      </c>
      <c r="X41" s="3">
        <v>0</v>
      </c>
      <c r="Y41" s="3">
        <v>0.01</v>
      </c>
      <c r="Z41" s="3">
        <v>0</v>
      </c>
      <c r="AA41" s="5">
        <v>-0.01</v>
      </c>
      <c r="AB41" s="5">
        <v>6204.14</v>
      </c>
      <c r="AC41"/>
      <c r="AD41" s="25"/>
      <c r="AE41" s="25"/>
      <c r="AF41" s="25"/>
      <c r="AG41" s="32"/>
      <c r="AH41" s="18"/>
      <c r="AI41" s="3"/>
      <c r="AJ41" s="3"/>
      <c r="AK41" s="5"/>
    </row>
    <row r="42" spans="1:37" x14ac:dyDescent="0.25">
      <c r="A42">
        <v>35</v>
      </c>
      <c r="B42" s="10">
        <v>1148</v>
      </c>
      <c r="C42" s="10"/>
      <c r="D42" s="3" t="s">
        <v>183</v>
      </c>
      <c r="E42" s="3" t="s">
        <v>183</v>
      </c>
      <c r="F42" s="3"/>
      <c r="G42" s="3" t="s">
        <v>184</v>
      </c>
      <c r="H42" s="3" t="s">
        <v>14</v>
      </c>
      <c r="I42" s="3" t="s">
        <v>6</v>
      </c>
      <c r="J42" s="3"/>
      <c r="K42" s="3" t="s">
        <v>185</v>
      </c>
      <c r="L42" s="3"/>
      <c r="M42" s="3"/>
      <c r="N42" s="3" t="s">
        <v>22</v>
      </c>
      <c r="O42" s="3"/>
      <c r="P42" s="3"/>
      <c r="Q42" s="4">
        <v>45971</v>
      </c>
      <c r="R42" s="5">
        <v>1984.74</v>
      </c>
      <c r="S42" s="3">
        <v>43</v>
      </c>
      <c r="T42" s="3"/>
      <c r="U42" s="3">
        <v>0</v>
      </c>
      <c r="V42" s="3" t="s">
        <v>8</v>
      </c>
      <c r="W42" s="5">
        <v>661.18</v>
      </c>
      <c r="X42" s="5">
        <v>660.38</v>
      </c>
      <c r="Y42" s="3">
        <v>0</v>
      </c>
      <c r="Z42" s="3">
        <v>0</v>
      </c>
      <c r="AA42" s="3">
        <v>0</v>
      </c>
      <c r="AB42" s="5">
        <v>1321.56</v>
      </c>
      <c r="AC42"/>
      <c r="AD42" s="25"/>
      <c r="AE42" s="25"/>
      <c r="AF42" s="25"/>
      <c r="AG42" s="32"/>
      <c r="AH42" s="19"/>
      <c r="AI42" s="3"/>
      <c r="AJ42" s="3"/>
      <c r="AK42" s="3"/>
    </row>
    <row r="43" spans="1:37" x14ac:dyDescent="0.25">
      <c r="A43">
        <v>36</v>
      </c>
      <c r="B43" s="10" t="s">
        <v>186</v>
      </c>
      <c r="C43" s="10"/>
      <c r="D43" s="3" t="s">
        <v>187</v>
      </c>
      <c r="E43" s="3" t="s">
        <v>188</v>
      </c>
      <c r="F43" s="3" t="s">
        <v>189</v>
      </c>
      <c r="G43" s="3" t="s">
        <v>190</v>
      </c>
      <c r="H43" s="3" t="s">
        <v>14</v>
      </c>
      <c r="I43" s="3" t="s">
        <v>6</v>
      </c>
      <c r="J43" s="3"/>
      <c r="K43" s="3" t="s">
        <v>191</v>
      </c>
      <c r="L43" s="3"/>
      <c r="M43" s="3"/>
      <c r="N43" s="3" t="s">
        <v>22</v>
      </c>
      <c r="O43" s="3"/>
      <c r="P43" s="3"/>
      <c r="Q43" s="4">
        <v>46055</v>
      </c>
      <c r="R43" s="5">
        <v>30925.8</v>
      </c>
      <c r="S43" s="3">
        <v>28</v>
      </c>
      <c r="T43" s="3"/>
      <c r="U43" s="3">
        <v>0</v>
      </c>
      <c r="V43" s="3" t="s">
        <v>8</v>
      </c>
      <c r="W43" s="5">
        <v>1017.75</v>
      </c>
      <c r="X43" s="5">
        <v>1293.75</v>
      </c>
      <c r="Y43" s="3">
        <v>0</v>
      </c>
      <c r="Z43" s="3">
        <v>0</v>
      </c>
      <c r="AA43" s="3">
        <v>0</v>
      </c>
      <c r="AB43" s="5">
        <v>2311.5</v>
      </c>
      <c r="AC43"/>
      <c r="AD43" s="25" t="s">
        <v>1147</v>
      </c>
      <c r="AE43" s="25" t="s">
        <v>1160</v>
      </c>
      <c r="AF43" s="26">
        <v>1293.75</v>
      </c>
      <c r="AG43" s="32"/>
      <c r="AH43" s="19">
        <f>AF43</f>
        <v>1293.75</v>
      </c>
      <c r="AI43" s="3"/>
      <c r="AJ43" s="3"/>
      <c r="AK43" s="3"/>
    </row>
    <row r="44" spans="1:37" x14ac:dyDescent="0.25">
      <c r="A44">
        <v>37</v>
      </c>
      <c r="B44" s="10" t="s">
        <v>192</v>
      </c>
      <c r="C44" s="10" t="s">
        <v>1020</v>
      </c>
      <c r="D44" s="3" t="s">
        <v>193</v>
      </c>
      <c r="E44" s="3" t="s">
        <v>194</v>
      </c>
      <c r="F44" s="3"/>
      <c r="G44" s="3" t="s">
        <v>195</v>
      </c>
      <c r="H44" s="3" t="s">
        <v>14</v>
      </c>
      <c r="I44" s="3" t="s">
        <v>6</v>
      </c>
      <c r="J44" s="3"/>
      <c r="K44" s="3" t="s">
        <v>196</v>
      </c>
      <c r="L44" s="3"/>
      <c r="M44" s="3"/>
      <c r="N44" s="3" t="s">
        <v>22</v>
      </c>
      <c r="O44" s="3"/>
      <c r="P44" s="3"/>
      <c r="Q44" s="4">
        <v>46081</v>
      </c>
      <c r="R44" s="5">
        <v>6944.85</v>
      </c>
      <c r="S44" s="3">
        <v>293</v>
      </c>
      <c r="T44" s="3"/>
      <c r="U44" s="3">
        <v>0</v>
      </c>
      <c r="V44" s="3" t="s">
        <v>8</v>
      </c>
      <c r="W44" s="5">
        <v>6944.85</v>
      </c>
      <c r="X44" s="3">
        <v>0</v>
      </c>
      <c r="Y44" s="3">
        <v>0</v>
      </c>
      <c r="Z44" s="3">
        <v>0</v>
      </c>
      <c r="AA44" s="3">
        <v>0</v>
      </c>
      <c r="AB44" s="5">
        <v>6944.85</v>
      </c>
      <c r="AC44"/>
      <c r="AD44" s="25" t="s">
        <v>1201</v>
      </c>
      <c r="AE44" s="25" t="s">
        <v>193</v>
      </c>
      <c r="AF44" s="26">
        <v>6944.85</v>
      </c>
      <c r="AG44" s="33">
        <f>AF44</f>
        <v>6944.85</v>
      </c>
      <c r="AH44" s="18"/>
      <c r="AI44" s="3"/>
      <c r="AJ44" s="3"/>
      <c r="AK44" s="3"/>
    </row>
    <row r="45" spans="1:37" x14ac:dyDescent="0.25">
      <c r="A45">
        <v>38</v>
      </c>
      <c r="B45" s="10" t="s">
        <v>197</v>
      </c>
      <c r="C45" s="10" t="s">
        <v>1021</v>
      </c>
      <c r="D45" s="3" t="s">
        <v>198</v>
      </c>
      <c r="E45" s="3" t="s">
        <v>199</v>
      </c>
      <c r="F45" s="6" t="s">
        <v>200</v>
      </c>
      <c r="G45" s="3" t="s">
        <v>201</v>
      </c>
      <c r="H45" s="3" t="s">
        <v>14</v>
      </c>
      <c r="I45" s="3" t="s">
        <v>6</v>
      </c>
      <c r="J45" s="3" t="s">
        <v>33</v>
      </c>
      <c r="K45" s="3" t="s">
        <v>202</v>
      </c>
      <c r="L45" s="3"/>
      <c r="M45" s="3"/>
      <c r="N45" s="3" t="s">
        <v>22</v>
      </c>
      <c r="O45" s="3"/>
      <c r="P45" s="3"/>
      <c r="Q45" s="4">
        <v>46081</v>
      </c>
      <c r="R45" s="5">
        <v>635.95000000000005</v>
      </c>
      <c r="S45" s="3">
        <v>48</v>
      </c>
      <c r="T45" s="3"/>
      <c r="U45" s="3">
        <v>0</v>
      </c>
      <c r="V45" s="3" t="s">
        <v>8</v>
      </c>
      <c r="W45" s="5">
        <v>635.95000000000005</v>
      </c>
      <c r="X45" s="3">
        <v>0</v>
      </c>
      <c r="Y45" s="3">
        <v>0</v>
      </c>
      <c r="Z45" s="3">
        <v>0</v>
      </c>
      <c r="AA45" s="3">
        <v>0</v>
      </c>
      <c r="AB45" s="5">
        <v>635.95000000000005</v>
      </c>
      <c r="AC45"/>
      <c r="AD45" s="25"/>
      <c r="AE45" s="25"/>
      <c r="AF45" s="25"/>
      <c r="AG45" s="32"/>
      <c r="AH45" s="18"/>
      <c r="AI45" s="3"/>
      <c r="AJ45" s="3"/>
      <c r="AK45" s="3"/>
    </row>
    <row r="46" spans="1:37" x14ac:dyDescent="0.25">
      <c r="A46">
        <v>39</v>
      </c>
      <c r="B46" s="10" t="s">
        <v>203</v>
      </c>
      <c r="C46" s="10" t="s">
        <v>1022</v>
      </c>
      <c r="D46" s="3" t="s">
        <v>204</v>
      </c>
      <c r="E46" s="3" t="s">
        <v>30</v>
      </c>
      <c r="F46" s="3" t="s">
        <v>205</v>
      </c>
      <c r="G46" s="3" t="s">
        <v>206</v>
      </c>
      <c r="H46" s="3" t="s">
        <v>14</v>
      </c>
      <c r="I46" s="3" t="s">
        <v>6</v>
      </c>
      <c r="J46" s="3" t="s">
        <v>33</v>
      </c>
      <c r="K46" s="3" t="s">
        <v>207</v>
      </c>
      <c r="L46" s="3"/>
      <c r="M46" s="3"/>
      <c r="N46" s="3" t="s">
        <v>22</v>
      </c>
      <c r="O46" s="3"/>
      <c r="P46" s="3"/>
      <c r="Q46" s="4">
        <v>46080</v>
      </c>
      <c r="R46" s="5">
        <v>207361.1</v>
      </c>
      <c r="S46" s="3">
        <v>1653</v>
      </c>
      <c r="T46" s="3"/>
      <c r="U46" s="3">
        <v>0</v>
      </c>
      <c r="V46" s="3" t="s">
        <v>8</v>
      </c>
      <c r="W46" s="5">
        <v>66835.7</v>
      </c>
      <c r="X46" s="3">
        <v>213871.25</v>
      </c>
      <c r="Y46" s="3">
        <v>155649.04999999999</v>
      </c>
      <c r="Z46" s="46">
        <v>0</v>
      </c>
      <c r="AA46" s="3">
        <v>0</v>
      </c>
      <c r="AB46" s="5">
        <f>SUM(W46:AA46)</f>
        <v>436356</v>
      </c>
      <c r="AC46"/>
      <c r="AD46" s="25" t="s">
        <v>1201</v>
      </c>
      <c r="AE46" s="25" t="s">
        <v>1269</v>
      </c>
      <c r="AF46" s="26">
        <v>211548.25</v>
      </c>
      <c r="AG46" s="32"/>
      <c r="AH46" s="19">
        <f>AF46-AJ46</f>
        <v>55899.200000000012</v>
      </c>
      <c r="AI46" s="3"/>
      <c r="AJ46" s="3">
        <f>Y46</f>
        <v>155649.04999999999</v>
      </c>
      <c r="AK46" s="3"/>
    </row>
    <row r="47" spans="1:37" x14ac:dyDescent="0.25">
      <c r="A47">
        <v>40</v>
      </c>
      <c r="B47" s="10" t="s">
        <v>208</v>
      </c>
      <c r="C47" s="10" t="s">
        <v>1023</v>
      </c>
      <c r="D47" s="3" t="s">
        <v>209</v>
      </c>
      <c r="E47" s="3" t="s">
        <v>210</v>
      </c>
      <c r="F47" s="3" t="s">
        <v>211</v>
      </c>
      <c r="G47" s="3" t="s">
        <v>212</v>
      </c>
      <c r="H47" s="3" t="s">
        <v>14</v>
      </c>
      <c r="I47" s="3" t="s">
        <v>6</v>
      </c>
      <c r="J47" s="3" t="s">
        <v>33</v>
      </c>
      <c r="K47" s="3" t="s">
        <v>213</v>
      </c>
      <c r="L47" s="3"/>
      <c r="M47" s="3"/>
      <c r="N47" s="3"/>
      <c r="O47" s="3">
        <v>7551</v>
      </c>
      <c r="P47" s="3"/>
      <c r="Q47" s="4">
        <v>46062</v>
      </c>
      <c r="R47" s="5">
        <v>99830.79</v>
      </c>
      <c r="S47" s="3">
        <v>176</v>
      </c>
      <c r="T47" s="3"/>
      <c r="U47" s="3">
        <v>0</v>
      </c>
      <c r="V47" s="3" t="s">
        <v>8</v>
      </c>
      <c r="W47" s="5">
        <v>151835.09</v>
      </c>
      <c r="X47" s="5">
        <v>134623.64000000001</v>
      </c>
      <c r="Y47" s="3">
        <v>0</v>
      </c>
      <c r="Z47" s="5">
        <v>4.5</v>
      </c>
      <c r="AA47" s="5">
        <v>1214.4000000000001</v>
      </c>
      <c r="AB47" s="5">
        <v>287677.63</v>
      </c>
      <c r="AC47"/>
      <c r="AD47" s="25" t="s">
        <v>1183</v>
      </c>
      <c r="AE47" s="25" t="s">
        <v>1194</v>
      </c>
      <c r="AF47" s="26">
        <v>134623.64000000001</v>
      </c>
      <c r="AG47" s="32"/>
      <c r="AH47" s="19">
        <f>AF47</f>
        <v>134623.64000000001</v>
      </c>
      <c r="AI47" s="3"/>
      <c r="AJ47" s="5"/>
      <c r="AK47" s="5"/>
    </row>
    <row r="48" spans="1:37" x14ac:dyDescent="0.25">
      <c r="A48">
        <v>41</v>
      </c>
      <c r="B48" s="10" t="s">
        <v>214</v>
      </c>
      <c r="C48" s="10" t="s">
        <v>1024</v>
      </c>
      <c r="D48" s="3" t="s">
        <v>215</v>
      </c>
      <c r="E48" s="3" t="s">
        <v>215</v>
      </c>
      <c r="F48" s="3"/>
      <c r="G48" s="3" t="s">
        <v>216</v>
      </c>
      <c r="H48" s="3" t="s">
        <v>14</v>
      </c>
      <c r="I48" s="3" t="s">
        <v>6</v>
      </c>
      <c r="J48" s="3" t="s">
        <v>15</v>
      </c>
      <c r="K48" s="3" t="s">
        <v>217</v>
      </c>
      <c r="L48" s="3"/>
      <c r="M48" s="3"/>
      <c r="N48" s="3" t="s">
        <v>22</v>
      </c>
      <c r="O48" s="3"/>
      <c r="P48" s="3"/>
      <c r="Q48" s="4">
        <v>46081</v>
      </c>
      <c r="R48" s="5">
        <v>1069.79</v>
      </c>
      <c r="S48" s="3">
        <v>52</v>
      </c>
      <c r="T48" s="3"/>
      <c r="U48" s="3">
        <v>0</v>
      </c>
      <c r="V48" s="3" t="s">
        <v>8</v>
      </c>
      <c r="W48" s="5">
        <v>1069.79</v>
      </c>
      <c r="X48" s="3">
        <v>0</v>
      </c>
      <c r="Y48" s="3">
        <v>0</v>
      </c>
      <c r="Z48" s="3">
        <v>0</v>
      </c>
      <c r="AA48" s="3">
        <v>0</v>
      </c>
      <c r="AB48" s="5">
        <v>1069.79</v>
      </c>
      <c r="AC48"/>
      <c r="AD48" s="25" t="s">
        <v>1201</v>
      </c>
      <c r="AE48" s="25" t="s">
        <v>215</v>
      </c>
      <c r="AF48" s="26">
        <v>1069.79</v>
      </c>
      <c r="AG48" s="33">
        <f>AF48</f>
        <v>1069.79</v>
      </c>
      <c r="AH48" s="18"/>
      <c r="AI48" s="3"/>
      <c r="AJ48" s="3"/>
      <c r="AK48" s="3"/>
    </row>
    <row r="49" spans="1:37" x14ac:dyDescent="0.25">
      <c r="A49">
        <v>42</v>
      </c>
      <c r="B49" s="10" t="s">
        <v>218</v>
      </c>
      <c r="C49" s="10" t="s">
        <v>1025</v>
      </c>
      <c r="D49" s="3" t="s">
        <v>219</v>
      </c>
      <c r="E49" s="3" t="s">
        <v>220</v>
      </c>
      <c r="F49" s="3"/>
      <c r="G49" s="3" t="s">
        <v>221</v>
      </c>
      <c r="H49" s="3" t="s">
        <v>14</v>
      </c>
      <c r="I49" s="3" t="s">
        <v>6</v>
      </c>
      <c r="J49" s="3" t="s">
        <v>33</v>
      </c>
      <c r="K49" s="3" t="s">
        <v>222</v>
      </c>
      <c r="L49" s="3"/>
      <c r="M49" s="3"/>
      <c r="N49" s="3" t="s">
        <v>22</v>
      </c>
      <c r="O49" s="3" t="s">
        <v>223</v>
      </c>
      <c r="P49" s="3"/>
      <c r="Q49" s="4">
        <v>46073</v>
      </c>
      <c r="R49" s="5">
        <v>47606.7</v>
      </c>
      <c r="S49" s="3">
        <v>275</v>
      </c>
      <c r="T49" s="3"/>
      <c r="U49" s="3">
        <v>0</v>
      </c>
      <c r="V49" s="3" t="s">
        <v>8</v>
      </c>
      <c r="W49" s="5">
        <v>65518.91</v>
      </c>
      <c r="X49" s="3">
        <v>0.09</v>
      </c>
      <c r="Y49" s="3">
        <v>0</v>
      </c>
      <c r="Z49" s="3">
        <v>0</v>
      </c>
      <c r="AA49" s="3">
        <v>0</v>
      </c>
      <c r="AB49" s="5">
        <v>65519</v>
      </c>
      <c r="AC49"/>
      <c r="AD49" s="25" t="s">
        <v>1191</v>
      </c>
      <c r="AE49" s="25" t="s">
        <v>1192</v>
      </c>
      <c r="AF49" s="26">
        <v>65519</v>
      </c>
      <c r="AG49" s="33">
        <f>AF49</f>
        <v>65519</v>
      </c>
      <c r="AH49" s="18"/>
      <c r="AI49" s="3"/>
      <c r="AJ49" s="3"/>
      <c r="AK49" s="3"/>
    </row>
    <row r="50" spans="1:37" x14ac:dyDescent="0.25">
      <c r="A50">
        <v>43</v>
      </c>
      <c r="B50" s="10">
        <v>2272</v>
      </c>
      <c r="C50" s="10" t="s">
        <v>1027</v>
      </c>
      <c r="D50" s="3" t="s">
        <v>224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>
        <v>0</v>
      </c>
      <c r="S50" s="3">
        <v>31</v>
      </c>
      <c r="T50" s="3"/>
      <c r="U50" s="3">
        <v>0</v>
      </c>
      <c r="V50" s="3" t="s">
        <v>8</v>
      </c>
      <c r="W50" s="5">
        <v>8484.7000000000007</v>
      </c>
      <c r="X50" s="3">
        <v>0</v>
      </c>
      <c r="Y50" s="3">
        <v>0</v>
      </c>
      <c r="Z50" s="3">
        <v>0</v>
      </c>
      <c r="AA50" s="3">
        <v>0</v>
      </c>
      <c r="AB50" s="5">
        <v>8484.7000000000007</v>
      </c>
      <c r="AC50"/>
      <c r="AD50" s="25"/>
      <c r="AE50" s="25"/>
      <c r="AF50" s="25"/>
      <c r="AG50" s="32"/>
      <c r="AH50" s="18"/>
      <c r="AI50" s="3"/>
      <c r="AJ50" s="3"/>
      <c r="AK50" s="3"/>
    </row>
    <row r="51" spans="1:37" x14ac:dyDescent="0.25">
      <c r="A51">
        <v>44</v>
      </c>
      <c r="B51" s="10" t="s">
        <v>225</v>
      </c>
      <c r="C51" s="10" t="s">
        <v>1026</v>
      </c>
      <c r="D51" s="3" t="s">
        <v>226</v>
      </c>
      <c r="E51" s="3" t="s">
        <v>227</v>
      </c>
      <c r="F51" s="3" t="s">
        <v>228</v>
      </c>
      <c r="G51" s="3" t="s">
        <v>229</v>
      </c>
      <c r="H51" s="3" t="s">
        <v>14</v>
      </c>
      <c r="I51" s="3" t="s">
        <v>6</v>
      </c>
      <c r="J51" s="3" t="s">
        <v>15</v>
      </c>
      <c r="K51" s="3" t="s">
        <v>230</v>
      </c>
      <c r="L51" s="3"/>
      <c r="M51" s="3"/>
      <c r="N51" s="3"/>
      <c r="O51" s="3">
        <v>1685</v>
      </c>
      <c r="P51" s="3"/>
      <c r="Q51" s="4">
        <v>46081</v>
      </c>
      <c r="R51" s="5">
        <v>1303.28</v>
      </c>
      <c r="S51" s="3">
        <v>206</v>
      </c>
      <c r="T51" s="3"/>
      <c r="U51" s="3">
        <v>0</v>
      </c>
      <c r="V51" s="3" t="s">
        <v>8</v>
      </c>
      <c r="W51" s="5">
        <v>1303.3699999999999</v>
      </c>
      <c r="X51" s="3">
        <v>0</v>
      </c>
      <c r="Y51" s="3">
        <v>0</v>
      </c>
      <c r="Z51" s="3">
        <v>0</v>
      </c>
      <c r="AA51" s="3">
        <v>0</v>
      </c>
      <c r="AB51" s="5">
        <f>SUM(W51:AA51)</f>
        <v>1303.3699999999999</v>
      </c>
      <c r="AC51"/>
      <c r="AD51" s="25" t="s">
        <v>1201</v>
      </c>
      <c r="AE51" s="25" t="s">
        <v>1250</v>
      </c>
      <c r="AF51" s="26">
        <v>1303.3699999999999</v>
      </c>
      <c r="AG51" s="33">
        <f>AF51</f>
        <v>1303.3699999999999</v>
      </c>
      <c r="AH51" s="18"/>
      <c r="AI51" s="3"/>
      <c r="AJ51" s="3"/>
      <c r="AK51" s="3"/>
    </row>
    <row r="52" spans="1:37" x14ac:dyDescent="0.25">
      <c r="A52">
        <v>45</v>
      </c>
      <c r="B52" s="10" t="s">
        <v>231</v>
      </c>
      <c r="C52" s="10"/>
      <c r="D52" s="3" t="s">
        <v>232</v>
      </c>
      <c r="E52" s="3" t="s">
        <v>233</v>
      </c>
      <c r="F52" s="3" t="s">
        <v>234</v>
      </c>
      <c r="G52" s="3" t="s">
        <v>235</v>
      </c>
      <c r="H52" s="3" t="s">
        <v>236</v>
      </c>
      <c r="I52" s="3" t="s">
        <v>6</v>
      </c>
      <c r="J52" s="3"/>
      <c r="K52" s="3" t="s">
        <v>237</v>
      </c>
      <c r="L52" s="3"/>
      <c r="M52" s="3"/>
      <c r="N52" s="3"/>
      <c r="O52" s="3"/>
      <c r="P52" s="3"/>
      <c r="Q52" s="3"/>
      <c r="R52" s="3">
        <v>0</v>
      </c>
      <c r="S52" s="3">
        <v>2901</v>
      </c>
      <c r="T52" s="3"/>
      <c r="U52" s="3">
        <v>0</v>
      </c>
      <c r="V52" s="3" t="s">
        <v>8</v>
      </c>
      <c r="W52" s="3">
        <v>0</v>
      </c>
      <c r="X52" s="3">
        <v>0</v>
      </c>
      <c r="Y52" s="3">
        <v>0</v>
      </c>
      <c r="Z52" s="3">
        <v>0</v>
      </c>
      <c r="AA52" s="5">
        <v>78856.67</v>
      </c>
      <c r="AB52" s="5">
        <v>78856.67</v>
      </c>
      <c r="AC52"/>
      <c r="AD52" s="25"/>
      <c r="AE52" s="25"/>
      <c r="AF52" s="25"/>
      <c r="AG52" s="32"/>
      <c r="AH52" s="18"/>
      <c r="AI52" s="3"/>
      <c r="AJ52" s="3"/>
      <c r="AK52" s="5"/>
    </row>
    <row r="53" spans="1:37" x14ac:dyDescent="0.25">
      <c r="A53">
        <v>46</v>
      </c>
      <c r="B53" s="10" t="s">
        <v>238</v>
      </c>
      <c r="C53" s="10" t="s">
        <v>1028</v>
      </c>
      <c r="D53" s="3" t="s">
        <v>239</v>
      </c>
      <c r="E53" s="3" t="s">
        <v>240</v>
      </c>
      <c r="F53" s="3" t="s">
        <v>241</v>
      </c>
      <c r="G53" s="3" t="s">
        <v>242</v>
      </c>
      <c r="H53" s="3" t="s">
        <v>14</v>
      </c>
      <c r="I53" s="3" t="s">
        <v>6</v>
      </c>
      <c r="J53" s="3" t="s">
        <v>15</v>
      </c>
      <c r="K53" s="3" t="s">
        <v>243</v>
      </c>
      <c r="L53" s="3"/>
      <c r="M53" s="3"/>
      <c r="N53" s="3"/>
      <c r="O53" s="3">
        <v>1600</v>
      </c>
      <c r="P53" s="3"/>
      <c r="Q53" s="4">
        <v>46081</v>
      </c>
      <c r="R53" s="5">
        <v>1300.3699999999999</v>
      </c>
      <c r="S53" s="3">
        <v>62</v>
      </c>
      <c r="T53" s="3"/>
      <c r="U53" s="3">
        <v>0</v>
      </c>
      <c r="V53" s="3" t="s">
        <v>8</v>
      </c>
      <c r="W53" s="5">
        <v>1300.3699999999999</v>
      </c>
      <c r="X53" s="3">
        <v>0</v>
      </c>
      <c r="Y53" s="3">
        <v>0</v>
      </c>
      <c r="Z53" s="3">
        <v>0</v>
      </c>
      <c r="AA53" s="3">
        <v>0</v>
      </c>
      <c r="AB53" s="5">
        <v>1300.3699999999999</v>
      </c>
      <c r="AC53"/>
      <c r="AD53" s="25" t="s">
        <v>1201</v>
      </c>
      <c r="AE53" s="25" t="s">
        <v>1249</v>
      </c>
      <c r="AF53" s="26">
        <v>1300.3699999999999</v>
      </c>
      <c r="AG53" s="33">
        <f>AF53</f>
        <v>1300.3699999999999</v>
      </c>
      <c r="AH53" s="18"/>
      <c r="AI53" s="3"/>
      <c r="AJ53" s="3"/>
      <c r="AK53" s="3"/>
    </row>
    <row r="54" spans="1:37" x14ac:dyDescent="0.25">
      <c r="A54">
        <v>47</v>
      </c>
      <c r="B54" s="10" t="s">
        <v>244</v>
      </c>
      <c r="C54" s="10"/>
      <c r="D54" s="3" t="s">
        <v>245</v>
      </c>
      <c r="E54" s="3" t="s">
        <v>246</v>
      </c>
      <c r="F54" s="3" t="s">
        <v>247</v>
      </c>
      <c r="G54" s="3" t="s">
        <v>248</v>
      </c>
      <c r="H54" s="3" t="s">
        <v>249</v>
      </c>
      <c r="I54" s="3" t="s">
        <v>6</v>
      </c>
      <c r="J54" s="3" t="s">
        <v>15</v>
      </c>
      <c r="K54" s="3" t="s">
        <v>250</v>
      </c>
      <c r="L54" s="3"/>
      <c r="M54" s="3"/>
      <c r="N54" s="3"/>
      <c r="O54" s="3">
        <v>2310</v>
      </c>
      <c r="P54" s="3"/>
      <c r="Q54" s="4">
        <v>43645</v>
      </c>
      <c r="R54" s="5">
        <v>8618.0400000000009</v>
      </c>
      <c r="S54" s="3">
        <v>282</v>
      </c>
      <c r="T54" s="3"/>
      <c r="U54" s="3">
        <v>0</v>
      </c>
      <c r="V54" s="3" t="s">
        <v>8</v>
      </c>
      <c r="W54" s="3">
        <v>0</v>
      </c>
      <c r="X54" s="3">
        <v>0</v>
      </c>
      <c r="Y54" s="3">
        <v>0</v>
      </c>
      <c r="Z54" s="3">
        <v>0</v>
      </c>
      <c r="AA54" s="3">
        <v>0.01</v>
      </c>
      <c r="AB54" s="3">
        <v>0.01</v>
      </c>
      <c r="AC54"/>
      <c r="AD54" s="25"/>
      <c r="AE54" s="25"/>
      <c r="AF54" s="25"/>
      <c r="AG54" s="32"/>
      <c r="AH54" s="18"/>
      <c r="AI54" s="3"/>
      <c r="AJ54" s="3"/>
      <c r="AK54" s="3"/>
    </row>
    <row r="55" spans="1:37" x14ac:dyDescent="0.25">
      <c r="A55">
        <v>48</v>
      </c>
      <c r="B55" s="10" t="s">
        <v>251</v>
      </c>
      <c r="C55" s="10" t="s">
        <v>1137</v>
      </c>
      <c r="D55" s="3" t="s">
        <v>252</v>
      </c>
      <c r="E55" s="3" t="s">
        <v>253</v>
      </c>
      <c r="F55" s="3" t="s">
        <v>254</v>
      </c>
      <c r="G55" s="3" t="s">
        <v>201</v>
      </c>
      <c r="H55" s="3" t="s">
        <v>14</v>
      </c>
      <c r="I55" s="3" t="s">
        <v>6</v>
      </c>
      <c r="J55" s="3" t="s">
        <v>33</v>
      </c>
      <c r="K55" s="3" t="s">
        <v>255</v>
      </c>
      <c r="L55" s="3"/>
      <c r="M55" s="3"/>
      <c r="N55" s="3"/>
      <c r="O55" s="3">
        <v>2037</v>
      </c>
      <c r="P55" s="3"/>
      <c r="Q55" s="4">
        <v>46080</v>
      </c>
      <c r="R55" s="5">
        <v>2255.15</v>
      </c>
      <c r="S55" s="3">
        <v>226</v>
      </c>
      <c r="T55" s="3"/>
      <c r="U55" s="3">
        <v>0</v>
      </c>
      <c r="V55" s="3" t="s">
        <v>8</v>
      </c>
      <c r="W55" s="5">
        <v>1785.95</v>
      </c>
      <c r="X55" s="3">
        <v>0</v>
      </c>
      <c r="Y55" s="3">
        <v>0</v>
      </c>
      <c r="Z55" s="3">
        <v>0</v>
      </c>
      <c r="AA55" s="3">
        <v>0</v>
      </c>
      <c r="AB55" s="5">
        <v>1785.95</v>
      </c>
      <c r="AC55"/>
      <c r="AD55" s="25"/>
      <c r="AE55" s="25"/>
      <c r="AF55" s="26"/>
      <c r="AG55" s="32"/>
      <c r="AH55" s="18"/>
      <c r="AI55" s="3"/>
      <c r="AJ55" s="3"/>
      <c r="AK55" s="3"/>
    </row>
    <row r="56" spans="1:37" x14ac:dyDescent="0.25">
      <c r="A56">
        <v>49</v>
      </c>
      <c r="B56" s="10" t="s">
        <v>256</v>
      </c>
      <c r="C56" s="10" t="s">
        <v>1029</v>
      </c>
      <c r="D56" s="3" t="s">
        <v>257</v>
      </c>
      <c r="E56" s="3" t="s">
        <v>258</v>
      </c>
      <c r="F56" s="3" t="s">
        <v>259</v>
      </c>
      <c r="G56" s="3" t="s">
        <v>260</v>
      </c>
      <c r="H56" s="3" t="s">
        <v>14</v>
      </c>
      <c r="I56" s="3" t="s">
        <v>6</v>
      </c>
      <c r="J56" s="3"/>
      <c r="K56" s="3" t="s">
        <v>261</v>
      </c>
      <c r="L56" s="3"/>
      <c r="M56" s="3"/>
      <c r="N56" s="3"/>
      <c r="O56" s="3">
        <v>1630</v>
      </c>
      <c r="P56" s="3"/>
      <c r="Q56" s="4">
        <v>46064</v>
      </c>
      <c r="R56" s="5">
        <v>1320.2</v>
      </c>
      <c r="S56" s="3">
        <v>818</v>
      </c>
      <c r="T56" s="3"/>
      <c r="U56" s="3">
        <v>0</v>
      </c>
      <c r="V56" s="3" t="s">
        <v>8</v>
      </c>
      <c r="W56" s="5">
        <v>182005.46</v>
      </c>
      <c r="X56" s="5">
        <v>168267.56</v>
      </c>
      <c r="Y56" s="3">
        <v>0</v>
      </c>
      <c r="Z56" s="3">
        <v>0</v>
      </c>
      <c r="AA56" s="3">
        <v>0</v>
      </c>
      <c r="AB56" s="5">
        <v>350273.02</v>
      </c>
      <c r="AC56"/>
      <c r="AD56" s="25" t="s">
        <v>1154</v>
      </c>
      <c r="AE56" s="25" t="s">
        <v>1195</v>
      </c>
      <c r="AF56" s="26">
        <v>168267.56</v>
      </c>
      <c r="AH56" s="26">
        <f>AF56</f>
        <v>168267.56</v>
      </c>
      <c r="AI56" s="3"/>
      <c r="AJ56" s="3"/>
      <c r="AK56" s="3"/>
    </row>
    <row r="57" spans="1:37" x14ac:dyDescent="0.25">
      <c r="A57">
        <v>50</v>
      </c>
      <c r="B57" s="10" t="s">
        <v>262</v>
      </c>
      <c r="C57" s="10" t="s">
        <v>1030</v>
      </c>
      <c r="D57" s="3" t="s">
        <v>263</v>
      </c>
      <c r="E57" s="3" t="s">
        <v>264</v>
      </c>
      <c r="F57" s="3" t="s">
        <v>265</v>
      </c>
      <c r="G57" s="3" t="s">
        <v>266</v>
      </c>
      <c r="H57" s="3" t="s">
        <v>14</v>
      </c>
      <c r="I57" s="3" t="s">
        <v>6</v>
      </c>
      <c r="J57" s="3" t="s">
        <v>15</v>
      </c>
      <c r="K57" s="3" t="s">
        <v>267</v>
      </c>
      <c r="L57" s="3"/>
      <c r="M57" s="3"/>
      <c r="N57" s="3" t="s">
        <v>22</v>
      </c>
      <c r="O57" s="3"/>
      <c r="P57" s="3"/>
      <c r="Q57" s="4">
        <v>46081</v>
      </c>
      <c r="R57" s="5">
        <v>10832.23</v>
      </c>
      <c r="S57" s="3">
        <v>202</v>
      </c>
      <c r="T57" s="3"/>
      <c r="U57" s="3">
        <v>0</v>
      </c>
      <c r="V57" s="3" t="s">
        <v>8</v>
      </c>
      <c r="W57" s="5">
        <v>10832.23</v>
      </c>
      <c r="X57" s="3">
        <v>0</v>
      </c>
      <c r="Y57" s="3">
        <v>0</v>
      </c>
      <c r="Z57" s="3">
        <v>0</v>
      </c>
      <c r="AA57" s="3">
        <v>0</v>
      </c>
      <c r="AB57" s="5">
        <v>10832.23</v>
      </c>
      <c r="AC57"/>
      <c r="AD57" s="25" t="s">
        <v>1201</v>
      </c>
      <c r="AE57" s="25" t="s">
        <v>263</v>
      </c>
      <c r="AF57" s="26">
        <v>10832.23</v>
      </c>
      <c r="AG57" s="33">
        <f>AF57</f>
        <v>10832.23</v>
      </c>
      <c r="AH57" s="18"/>
      <c r="AI57" s="3"/>
      <c r="AJ57" s="3"/>
      <c r="AK57" s="3"/>
    </row>
    <row r="58" spans="1:37" x14ac:dyDescent="0.25">
      <c r="A58">
        <v>51</v>
      </c>
      <c r="B58" s="10" t="s">
        <v>268</v>
      </c>
      <c r="C58" s="10"/>
      <c r="D58" s="3" t="s">
        <v>269</v>
      </c>
      <c r="E58" s="3" t="s">
        <v>270</v>
      </c>
      <c r="F58" s="3" t="s">
        <v>271</v>
      </c>
      <c r="G58" s="3" t="s">
        <v>272</v>
      </c>
      <c r="H58" s="3" t="s">
        <v>14</v>
      </c>
      <c r="I58" s="3" t="s">
        <v>6</v>
      </c>
      <c r="J58" s="3"/>
      <c r="K58" s="3" t="s">
        <v>273</v>
      </c>
      <c r="L58" s="3"/>
      <c r="M58" s="3" t="s">
        <v>69</v>
      </c>
      <c r="N58" s="3" t="s">
        <v>22</v>
      </c>
      <c r="O58" s="3"/>
      <c r="P58" s="3"/>
      <c r="Q58" s="4">
        <v>46053</v>
      </c>
      <c r="R58" s="5">
        <v>484.15</v>
      </c>
      <c r="S58" s="3">
        <v>62</v>
      </c>
      <c r="T58" s="3"/>
      <c r="U58" s="3">
        <v>0</v>
      </c>
      <c r="V58" s="3" t="s">
        <v>8</v>
      </c>
      <c r="W58" s="3">
        <v>0</v>
      </c>
      <c r="X58" s="5">
        <v>-279.45</v>
      </c>
      <c r="Y58" s="3">
        <v>0</v>
      </c>
      <c r="Z58" s="3">
        <v>0</v>
      </c>
      <c r="AA58" s="3">
        <v>0</v>
      </c>
      <c r="AB58" s="5">
        <v>-279.45</v>
      </c>
      <c r="AC58"/>
      <c r="AD58" s="25"/>
      <c r="AE58" s="25"/>
      <c r="AF58" s="25"/>
      <c r="AG58" s="32"/>
      <c r="AH58" s="19"/>
      <c r="AI58" s="3"/>
      <c r="AJ58" s="3"/>
      <c r="AK58" s="3"/>
    </row>
    <row r="59" spans="1:37" x14ac:dyDescent="0.25">
      <c r="A59">
        <v>52</v>
      </c>
      <c r="B59" s="10" t="s">
        <v>274</v>
      </c>
      <c r="C59" s="10" t="s">
        <v>1031</v>
      </c>
      <c r="D59" s="3" t="s">
        <v>275</v>
      </c>
      <c r="E59" s="3" t="s">
        <v>276</v>
      </c>
      <c r="F59" s="3" t="s">
        <v>277</v>
      </c>
      <c r="G59" s="3" t="s">
        <v>278</v>
      </c>
      <c r="H59" s="3" t="s">
        <v>14</v>
      </c>
      <c r="I59" s="3" t="s">
        <v>6</v>
      </c>
      <c r="J59" s="3" t="s">
        <v>15</v>
      </c>
      <c r="K59" s="3" t="s">
        <v>279</v>
      </c>
      <c r="L59" s="3" t="s">
        <v>76</v>
      </c>
      <c r="M59" s="3" t="s">
        <v>69</v>
      </c>
      <c r="N59" s="3" t="s">
        <v>22</v>
      </c>
      <c r="O59" s="3">
        <v>2123</v>
      </c>
      <c r="P59" s="3"/>
      <c r="Q59" s="4">
        <v>46081</v>
      </c>
      <c r="R59" s="5">
        <v>126.17</v>
      </c>
      <c r="S59" s="3">
        <v>108</v>
      </c>
      <c r="T59" s="3"/>
      <c r="U59" s="3">
        <v>0</v>
      </c>
      <c r="V59" s="3" t="s">
        <v>8</v>
      </c>
      <c r="W59" s="5">
        <v>126.17</v>
      </c>
      <c r="X59" s="3">
        <v>0</v>
      </c>
      <c r="Y59" s="3">
        <v>0</v>
      </c>
      <c r="Z59" s="3">
        <v>0</v>
      </c>
      <c r="AA59" s="3">
        <v>0</v>
      </c>
      <c r="AB59" s="5">
        <v>126.17</v>
      </c>
      <c r="AC59"/>
      <c r="AD59" s="25"/>
      <c r="AE59" s="25"/>
      <c r="AF59" s="25"/>
      <c r="AG59" s="32"/>
      <c r="AH59" s="18"/>
      <c r="AI59" s="3"/>
      <c r="AJ59" s="3"/>
      <c r="AK59" s="3"/>
    </row>
    <row r="60" spans="1:37" x14ac:dyDescent="0.25">
      <c r="A60">
        <v>53</v>
      </c>
      <c r="B60" s="10" t="s">
        <v>280</v>
      </c>
      <c r="C60" s="10" t="s">
        <v>1032</v>
      </c>
      <c r="D60" s="3" t="s">
        <v>281</v>
      </c>
      <c r="E60" s="3" t="s">
        <v>282</v>
      </c>
      <c r="F60" s="3" t="s">
        <v>283</v>
      </c>
      <c r="G60" s="3" t="s">
        <v>284</v>
      </c>
      <c r="H60" s="3" t="s">
        <v>14</v>
      </c>
      <c r="I60" s="3" t="s">
        <v>6</v>
      </c>
      <c r="J60" s="3" t="s">
        <v>15</v>
      </c>
      <c r="K60" s="3" t="s">
        <v>285</v>
      </c>
      <c r="L60" s="3"/>
      <c r="M60" s="3"/>
      <c r="N60" s="3"/>
      <c r="O60" s="3">
        <v>2192</v>
      </c>
      <c r="P60" s="3"/>
      <c r="Q60" s="4">
        <v>46081</v>
      </c>
      <c r="R60" s="5">
        <v>358.11</v>
      </c>
      <c r="S60" s="3">
        <v>108</v>
      </c>
      <c r="T60" s="3"/>
      <c r="U60" s="3">
        <v>0</v>
      </c>
      <c r="V60" s="3" t="s">
        <v>8</v>
      </c>
      <c r="W60" s="5">
        <v>358.11</v>
      </c>
      <c r="X60" s="3">
        <v>0</v>
      </c>
      <c r="Y60" s="3">
        <v>0</v>
      </c>
      <c r="Z60" s="3">
        <v>0</v>
      </c>
      <c r="AA60" s="3">
        <v>0</v>
      </c>
      <c r="AB60" s="5">
        <v>358.11</v>
      </c>
      <c r="AC60"/>
      <c r="AD60" s="25" t="s">
        <v>1201</v>
      </c>
      <c r="AE60" s="25" t="s">
        <v>281</v>
      </c>
      <c r="AF60" s="26">
        <v>358.11</v>
      </c>
      <c r="AG60" s="33">
        <f>W60</f>
        <v>358.11</v>
      </c>
      <c r="AH60" s="18"/>
      <c r="AI60" s="3"/>
      <c r="AJ60" s="3"/>
      <c r="AK60" s="3"/>
    </row>
    <row r="61" spans="1:37" x14ac:dyDescent="0.25">
      <c r="A61">
        <v>54</v>
      </c>
      <c r="B61" s="10" t="s">
        <v>286</v>
      </c>
      <c r="C61" s="10" t="s">
        <v>1034</v>
      </c>
      <c r="D61" s="3" t="s">
        <v>287</v>
      </c>
      <c r="E61" s="3" t="s">
        <v>288</v>
      </c>
      <c r="F61" s="3" t="s">
        <v>289</v>
      </c>
      <c r="G61" s="3" t="s">
        <v>290</v>
      </c>
      <c r="H61" s="3" t="s">
        <v>14</v>
      </c>
      <c r="I61" s="3" t="s">
        <v>6</v>
      </c>
      <c r="J61" s="3" t="s">
        <v>15</v>
      </c>
      <c r="K61" s="3" t="s">
        <v>291</v>
      </c>
      <c r="L61" s="3"/>
      <c r="M61" s="3"/>
      <c r="N61" s="3"/>
      <c r="O61" s="3">
        <v>1504</v>
      </c>
      <c r="P61" s="3"/>
      <c r="Q61" s="4">
        <v>46081</v>
      </c>
      <c r="R61" s="5">
        <v>70687.3</v>
      </c>
      <c r="S61" s="3">
        <v>429</v>
      </c>
      <c r="T61" s="3" t="s">
        <v>292</v>
      </c>
      <c r="U61" s="3">
        <v>0</v>
      </c>
      <c r="V61" s="3" t="s">
        <v>8</v>
      </c>
      <c r="W61" s="5">
        <v>1610</v>
      </c>
      <c r="X61" s="3">
        <v>0</v>
      </c>
      <c r="Y61" s="3">
        <v>0</v>
      </c>
      <c r="Z61" s="3">
        <v>0</v>
      </c>
      <c r="AA61" s="3">
        <v>0</v>
      </c>
      <c r="AB61" s="5">
        <v>1610</v>
      </c>
      <c r="AC61"/>
      <c r="AD61" s="25" t="s">
        <v>1154</v>
      </c>
      <c r="AE61" s="25" t="s">
        <v>1159</v>
      </c>
      <c r="AF61" s="26">
        <v>1207.5</v>
      </c>
      <c r="AG61" s="32"/>
      <c r="AH61" s="19">
        <f>AF61</f>
        <v>1207.5</v>
      </c>
      <c r="AI61" s="3"/>
      <c r="AJ61" s="3"/>
      <c r="AK61" s="3"/>
    </row>
    <row r="62" spans="1:37" x14ac:dyDescent="0.25">
      <c r="A62">
        <v>55</v>
      </c>
      <c r="B62" s="10" t="s">
        <v>293</v>
      </c>
      <c r="C62" s="10" t="s">
        <v>1033</v>
      </c>
      <c r="D62" s="3" t="s">
        <v>294</v>
      </c>
      <c r="E62" s="3" t="s">
        <v>295</v>
      </c>
      <c r="F62" s="6" t="s">
        <v>296</v>
      </c>
      <c r="G62" s="3" t="s">
        <v>297</v>
      </c>
      <c r="H62" s="3" t="s">
        <v>14</v>
      </c>
      <c r="I62" s="3" t="s">
        <v>6</v>
      </c>
      <c r="J62" s="3" t="s">
        <v>15</v>
      </c>
      <c r="K62" s="3" t="s">
        <v>298</v>
      </c>
      <c r="L62" s="3"/>
      <c r="M62" s="3"/>
      <c r="N62" s="3" t="s">
        <v>22</v>
      </c>
      <c r="O62" s="3"/>
      <c r="P62" s="3"/>
      <c r="Q62" s="4">
        <v>46052</v>
      </c>
      <c r="R62" s="5">
        <v>2012.5</v>
      </c>
      <c r="S62" s="3">
        <v>32</v>
      </c>
      <c r="T62" s="3"/>
      <c r="U62" s="3">
        <v>0</v>
      </c>
      <c r="V62" s="3" t="s">
        <v>8</v>
      </c>
      <c r="W62" s="5">
        <v>2012.5</v>
      </c>
      <c r="X62" s="3">
        <v>0</v>
      </c>
      <c r="Y62" s="3">
        <v>0</v>
      </c>
      <c r="Z62" s="3">
        <v>0</v>
      </c>
      <c r="AA62" s="3">
        <v>0</v>
      </c>
      <c r="AB62" s="5">
        <v>2012.5</v>
      </c>
      <c r="AC62"/>
      <c r="AD62" s="25"/>
      <c r="AE62" s="25"/>
      <c r="AF62" s="25"/>
      <c r="AG62" s="32"/>
      <c r="AH62" s="18"/>
      <c r="AI62" s="3"/>
      <c r="AJ62" s="3"/>
      <c r="AK62" s="3"/>
    </row>
    <row r="63" spans="1:37" x14ac:dyDescent="0.25">
      <c r="A63">
        <v>56</v>
      </c>
      <c r="B63" s="10" t="s">
        <v>299</v>
      </c>
      <c r="C63" s="10" t="s">
        <v>1035</v>
      </c>
      <c r="D63" s="3" t="s">
        <v>300</v>
      </c>
      <c r="E63" s="3" t="s">
        <v>301</v>
      </c>
      <c r="F63" s="3" t="s">
        <v>302</v>
      </c>
      <c r="G63" s="3" t="s">
        <v>303</v>
      </c>
      <c r="H63" s="3" t="s">
        <v>14</v>
      </c>
      <c r="I63" s="3" t="s">
        <v>6</v>
      </c>
      <c r="J63" s="3" t="s">
        <v>15</v>
      </c>
      <c r="K63" s="3" t="s">
        <v>304</v>
      </c>
      <c r="L63" s="3"/>
      <c r="M63" s="3"/>
      <c r="N63" s="3"/>
      <c r="O63" s="6" t="s">
        <v>305</v>
      </c>
      <c r="P63" s="3"/>
      <c r="Q63" s="4">
        <v>46081</v>
      </c>
      <c r="R63" s="5">
        <v>230.15</v>
      </c>
      <c r="S63" s="3">
        <v>40</v>
      </c>
      <c r="T63" s="3"/>
      <c r="U63" s="3">
        <v>0</v>
      </c>
      <c r="V63" s="3" t="s">
        <v>8</v>
      </c>
      <c r="W63" s="5">
        <v>230.35</v>
      </c>
      <c r="X63" s="3">
        <v>0</v>
      </c>
      <c r="Y63" s="3">
        <v>0</v>
      </c>
      <c r="Z63" s="3">
        <v>0</v>
      </c>
      <c r="AA63" s="3">
        <v>0</v>
      </c>
      <c r="AB63" s="5">
        <v>230.35</v>
      </c>
      <c r="AC63"/>
      <c r="AD63" s="25"/>
      <c r="AE63" s="25"/>
      <c r="AF63" s="25"/>
      <c r="AG63" s="32"/>
      <c r="AH63" s="18"/>
      <c r="AI63" s="3"/>
      <c r="AJ63" s="3"/>
      <c r="AK63" s="3"/>
    </row>
    <row r="64" spans="1:37" x14ac:dyDescent="0.25">
      <c r="A64">
        <v>57</v>
      </c>
      <c r="B64" s="10" t="s">
        <v>306</v>
      </c>
      <c r="C64" s="10" t="s">
        <v>1036</v>
      </c>
      <c r="D64" s="3" t="s">
        <v>307</v>
      </c>
      <c r="E64" s="3" t="s">
        <v>308</v>
      </c>
      <c r="F64" s="3" t="s">
        <v>309</v>
      </c>
      <c r="G64" s="3" t="s">
        <v>310</v>
      </c>
      <c r="H64" s="3" t="s">
        <v>14</v>
      </c>
      <c r="I64" s="3" t="s">
        <v>6</v>
      </c>
      <c r="J64" s="3"/>
      <c r="K64" s="3" t="s">
        <v>311</v>
      </c>
      <c r="L64" s="3"/>
      <c r="M64" s="3"/>
      <c r="N64" s="3" t="s">
        <v>22</v>
      </c>
      <c r="O64" s="3"/>
      <c r="P64" s="3"/>
      <c r="Q64" s="4">
        <v>46081</v>
      </c>
      <c r="R64" s="5">
        <v>94.48</v>
      </c>
      <c r="S64" s="3">
        <v>43</v>
      </c>
      <c r="T64" s="3"/>
      <c r="U64" s="3">
        <v>0</v>
      </c>
      <c r="V64" s="3" t="s">
        <v>8</v>
      </c>
      <c r="W64" s="5">
        <v>94.48</v>
      </c>
      <c r="X64" s="3">
        <v>0</v>
      </c>
      <c r="Y64" s="3">
        <v>0</v>
      </c>
      <c r="Z64" s="3">
        <v>0</v>
      </c>
      <c r="AA64" s="3">
        <v>0</v>
      </c>
      <c r="AB64" s="5">
        <v>94.48</v>
      </c>
      <c r="AC64"/>
      <c r="AD64" s="25"/>
      <c r="AE64" s="25"/>
      <c r="AF64" s="25"/>
      <c r="AG64" s="32"/>
      <c r="AH64" s="18"/>
      <c r="AI64" s="3"/>
      <c r="AJ64" s="3"/>
      <c r="AK64" s="3"/>
    </row>
    <row r="65" spans="1:37" x14ac:dyDescent="0.25">
      <c r="A65">
        <v>58</v>
      </c>
      <c r="B65" s="10" t="s">
        <v>312</v>
      </c>
      <c r="C65" s="10" t="s">
        <v>1037</v>
      </c>
      <c r="D65" s="3" t="s">
        <v>313</v>
      </c>
      <c r="E65" s="3" t="s">
        <v>314</v>
      </c>
      <c r="F65" s="3" t="s">
        <v>315</v>
      </c>
      <c r="G65" s="3" t="s">
        <v>316</v>
      </c>
      <c r="H65" s="3" t="s">
        <v>14</v>
      </c>
      <c r="I65" s="3" t="s">
        <v>6</v>
      </c>
      <c r="J65" s="3"/>
      <c r="K65" s="3" t="s">
        <v>317</v>
      </c>
      <c r="L65" s="3"/>
      <c r="M65" s="3"/>
      <c r="N65" s="3"/>
      <c r="O65" s="3">
        <v>1540</v>
      </c>
      <c r="P65" s="3"/>
      <c r="Q65" s="4">
        <v>46081</v>
      </c>
      <c r="R65" s="5">
        <v>2493.9699999999998</v>
      </c>
      <c r="S65" s="3">
        <v>128</v>
      </c>
      <c r="T65" s="3" t="s">
        <v>318</v>
      </c>
      <c r="U65" s="3">
        <v>0</v>
      </c>
      <c r="V65" s="3" t="s">
        <v>8</v>
      </c>
      <c r="W65" s="5">
        <v>2493.9699999999998</v>
      </c>
      <c r="X65" s="3">
        <v>0</v>
      </c>
      <c r="Y65" s="3">
        <v>0</v>
      </c>
      <c r="Z65" s="3">
        <v>0</v>
      </c>
      <c r="AA65" s="3">
        <v>0</v>
      </c>
      <c r="AB65" s="5">
        <v>2493.9699999999998</v>
      </c>
      <c r="AC65"/>
      <c r="AD65" s="25"/>
      <c r="AE65" s="25"/>
      <c r="AF65" s="25"/>
      <c r="AG65" s="32"/>
      <c r="AH65" s="18"/>
      <c r="AI65" s="3"/>
      <c r="AJ65" s="3"/>
      <c r="AK65" s="3"/>
    </row>
    <row r="66" spans="1:37" x14ac:dyDescent="0.25">
      <c r="A66">
        <v>59</v>
      </c>
      <c r="B66" s="10">
        <v>1091</v>
      </c>
      <c r="C66" s="10"/>
      <c r="D66" s="3" t="s">
        <v>319</v>
      </c>
      <c r="E66" s="3" t="s">
        <v>319</v>
      </c>
      <c r="F66" s="3" t="s">
        <v>320</v>
      </c>
      <c r="G66" s="3" t="s">
        <v>321</v>
      </c>
      <c r="H66" s="3" t="s">
        <v>14</v>
      </c>
      <c r="I66" s="3" t="s">
        <v>6</v>
      </c>
      <c r="J66" s="3"/>
      <c r="K66" s="3" t="s">
        <v>322</v>
      </c>
      <c r="L66" s="3"/>
      <c r="M66" s="3"/>
      <c r="N66" s="3" t="s">
        <v>22</v>
      </c>
      <c r="O66" s="3"/>
      <c r="P66" s="3"/>
      <c r="Q66" s="4">
        <v>46081</v>
      </c>
      <c r="R66" s="5">
        <v>126.72</v>
      </c>
      <c r="S66" s="3">
        <v>42</v>
      </c>
      <c r="T66" s="3"/>
      <c r="U66" s="3">
        <v>0</v>
      </c>
      <c r="V66" s="3" t="s">
        <v>8</v>
      </c>
      <c r="W66" s="5">
        <v>126.72</v>
      </c>
      <c r="X66" s="3">
        <v>0</v>
      </c>
      <c r="Y66" s="3">
        <v>0</v>
      </c>
      <c r="Z66" s="3">
        <v>0</v>
      </c>
      <c r="AA66" s="3">
        <v>0</v>
      </c>
      <c r="AB66" s="5">
        <v>126.72</v>
      </c>
      <c r="AC66"/>
      <c r="AD66" s="25"/>
      <c r="AE66" s="25"/>
      <c r="AF66" s="25"/>
      <c r="AG66" s="32"/>
      <c r="AH66" s="18"/>
      <c r="AI66" s="3"/>
      <c r="AJ66" s="3"/>
      <c r="AK66" s="3"/>
    </row>
    <row r="67" spans="1:37" x14ac:dyDescent="0.25">
      <c r="A67">
        <v>60</v>
      </c>
      <c r="B67" s="10" t="s">
        <v>323</v>
      </c>
      <c r="C67" s="10"/>
      <c r="D67" s="3" t="s">
        <v>324</v>
      </c>
      <c r="E67" s="3" t="s">
        <v>325</v>
      </c>
      <c r="F67" s="3" t="s">
        <v>326</v>
      </c>
      <c r="G67" s="3" t="s">
        <v>327</v>
      </c>
      <c r="H67" s="3" t="s">
        <v>328</v>
      </c>
      <c r="I67" s="3" t="s">
        <v>6</v>
      </c>
      <c r="J67" s="3" t="s">
        <v>33</v>
      </c>
      <c r="K67" s="3" t="s">
        <v>329</v>
      </c>
      <c r="L67" s="3"/>
      <c r="M67" s="3"/>
      <c r="N67" s="3"/>
      <c r="O67" s="3">
        <v>8300</v>
      </c>
      <c r="P67" s="3"/>
      <c r="Q67" s="4">
        <v>43364</v>
      </c>
      <c r="R67" s="5">
        <v>40097.620000000003</v>
      </c>
      <c r="S67" s="3">
        <v>1635</v>
      </c>
      <c r="T67" s="3"/>
      <c r="U67" s="3">
        <v>0</v>
      </c>
      <c r="V67" s="3" t="s">
        <v>8</v>
      </c>
      <c r="W67" s="3">
        <v>0</v>
      </c>
      <c r="X67" s="3">
        <v>0</v>
      </c>
      <c r="Y67" s="3">
        <v>0</v>
      </c>
      <c r="Z67" s="3">
        <v>0</v>
      </c>
      <c r="AA67" s="3">
        <v>0.02</v>
      </c>
      <c r="AB67" s="3">
        <v>0.02</v>
      </c>
      <c r="AC67"/>
      <c r="AD67" s="25"/>
      <c r="AE67" s="25"/>
      <c r="AF67" s="25"/>
      <c r="AG67" s="32"/>
      <c r="AH67" s="18"/>
      <c r="AI67" s="3"/>
      <c r="AJ67" s="3"/>
      <c r="AK67" s="3"/>
    </row>
    <row r="68" spans="1:37" x14ac:dyDescent="0.25">
      <c r="A68">
        <v>61</v>
      </c>
      <c r="B68" s="10" t="s">
        <v>330</v>
      </c>
      <c r="C68" s="10" t="s">
        <v>1038</v>
      </c>
      <c r="D68" s="3" t="s">
        <v>331</v>
      </c>
      <c r="E68" s="3" t="s">
        <v>332</v>
      </c>
      <c r="F68" s="3" t="s">
        <v>333</v>
      </c>
      <c r="G68" s="3" t="s">
        <v>334</v>
      </c>
      <c r="H68" s="3" t="s">
        <v>14</v>
      </c>
      <c r="I68" s="3" t="s">
        <v>6</v>
      </c>
      <c r="J68" s="3" t="s">
        <v>15</v>
      </c>
      <c r="K68" s="3" t="s">
        <v>335</v>
      </c>
      <c r="L68" s="3"/>
      <c r="M68" s="3"/>
      <c r="N68" s="3"/>
      <c r="O68" s="3">
        <v>2041</v>
      </c>
      <c r="P68" s="3"/>
      <c r="Q68" s="4">
        <v>46081</v>
      </c>
      <c r="R68" s="5">
        <v>139.1</v>
      </c>
      <c r="S68" s="3">
        <v>148</v>
      </c>
      <c r="T68" s="3"/>
      <c r="U68" s="3">
        <v>0</v>
      </c>
      <c r="V68" s="3" t="s">
        <v>8</v>
      </c>
      <c r="W68" s="5">
        <v>139.1</v>
      </c>
      <c r="X68" s="3">
        <v>0</v>
      </c>
      <c r="Y68" s="3">
        <v>0</v>
      </c>
      <c r="Z68" s="3">
        <v>0</v>
      </c>
      <c r="AA68" s="3">
        <v>0</v>
      </c>
      <c r="AB68" s="5">
        <v>139.1</v>
      </c>
      <c r="AC68"/>
      <c r="AD68" s="25"/>
      <c r="AE68" s="25"/>
      <c r="AF68" s="25"/>
      <c r="AG68" s="32"/>
      <c r="AH68" s="18"/>
      <c r="AI68" s="3"/>
      <c r="AJ68" s="3"/>
      <c r="AK68" s="3"/>
    </row>
    <row r="69" spans="1:37" x14ac:dyDescent="0.25">
      <c r="A69">
        <v>62</v>
      </c>
      <c r="B69" s="10" t="s">
        <v>336</v>
      </c>
      <c r="C69" s="10" t="s">
        <v>1039</v>
      </c>
      <c r="D69" s="3" t="s">
        <v>337</v>
      </c>
      <c r="E69" s="3" t="s">
        <v>338</v>
      </c>
      <c r="F69" s="3" t="s">
        <v>339</v>
      </c>
      <c r="G69" s="3"/>
      <c r="H69" s="3" t="s">
        <v>14</v>
      </c>
      <c r="I69" s="3" t="s">
        <v>6</v>
      </c>
      <c r="J69" s="3" t="s">
        <v>33</v>
      </c>
      <c r="K69" s="3" t="s">
        <v>340</v>
      </c>
      <c r="L69" s="3"/>
      <c r="M69" s="3"/>
      <c r="N69" s="3"/>
      <c r="O69" s="3">
        <v>1508</v>
      </c>
      <c r="P69" s="3"/>
      <c r="Q69" s="4">
        <v>46059</v>
      </c>
      <c r="R69" s="5">
        <v>411032.32000000001</v>
      </c>
      <c r="S69" s="3">
        <v>547</v>
      </c>
      <c r="T69" s="3"/>
      <c r="U69" s="3">
        <v>0</v>
      </c>
      <c r="V69" s="3" t="s">
        <v>8</v>
      </c>
      <c r="W69" s="5">
        <v>414083.61</v>
      </c>
      <c r="X69" s="3">
        <v>0</v>
      </c>
      <c r="Y69" s="3">
        <v>0</v>
      </c>
      <c r="Z69" s="3">
        <v>0.02</v>
      </c>
      <c r="AA69" s="5">
        <v>19676.48</v>
      </c>
      <c r="AB69" s="5">
        <v>433760.11</v>
      </c>
      <c r="AC69"/>
      <c r="AD69" s="25" t="s">
        <v>1167</v>
      </c>
      <c r="AE69" s="25" t="s">
        <v>1196</v>
      </c>
      <c r="AF69" s="26">
        <v>210027.61</v>
      </c>
      <c r="AG69" s="33">
        <f>AF69</f>
        <v>210027.61</v>
      </c>
      <c r="AH69" s="18"/>
      <c r="AI69" s="3"/>
      <c r="AJ69" s="3"/>
      <c r="AK69" s="5"/>
    </row>
    <row r="70" spans="1:37" x14ac:dyDescent="0.25">
      <c r="A70">
        <v>63</v>
      </c>
      <c r="B70" s="10" t="s">
        <v>341</v>
      </c>
      <c r="C70" s="10" t="s">
        <v>1040</v>
      </c>
      <c r="D70" s="3" t="s">
        <v>342</v>
      </c>
      <c r="E70" s="3" t="s">
        <v>343</v>
      </c>
      <c r="F70" s="6" t="s">
        <v>344</v>
      </c>
      <c r="G70" s="3" t="s">
        <v>345</v>
      </c>
      <c r="H70" s="3" t="s">
        <v>14</v>
      </c>
      <c r="I70" s="3" t="s">
        <v>6</v>
      </c>
      <c r="J70" s="3" t="s">
        <v>33</v>
      </c>
      <c r="K70" s="3" t="s">
        <v>346</v>
      </c>
      <c r="L70" s="3"/>
      <c r="M70" s="3"/>
      <c r="N70" s="3" t="s">
        <v>22</v>
      </c>
      <c r="O70" s="3"/>
      <c r="P70" s="3"/>
      <c r="Q70" s="4">
        <v>46015</v>
      </c>
      <c r="R70" s="5">
        <v>9136.5499999999993</v>
      </c>
      <c r="S70" s="3">
        <v>376</v>
      </c>
      <c r="T70" s="3"/>
      <c r="U70" s="3">
        <v>0</v>
      </c>
      <c r="V70" s="3" t="s">
        <v>8</v>
      </c>
      <c r="W70" s="5">
        <v>17275.78</v>
      </c>
      <c r="X70" s="5">
        <v>17460.96</v>
      </c>
      <c r="Y70" s="5">
        <v>16472.599999999999</v>
      </c>
      <c r="Z70" s="5">
        <v>16472.599999999999</v>
      </c>
      <c r="AA70" s="5">
        <v>45682.8</v>
      </c>
      <c r="AB70" s="5">
        <v>113364.74</v>
      </c>
      <c r="AC70"/>
      <c r="AD70" s="25" t="s">
        <v>1177</v>
      </c>
      <c r="AE70" s="25" t="s">
        <v>1178</v>
      </c>
      <c r="AF70" s="26">
        <v>15000</v>
      </c>
      <c r="AG70" s="32"/>
      <c r="AH70" s="19"/>
      <c r="AI70" s="5"/>
      <c r="AJ70" s="5"/>
      <c r="AK70" s="5">
        <f>AF70</f>
        <v>15000</v>
      </c>
    </row>
    <row r="71" spans="1:37" x14ac:dyDescent="0.25">
      <c r="A71">
        <v>64</v>
      </c>
      <c r="B71" s="10" t="s">
        <v>347</v>
      </c>
      <c r="C71" s="10" t="s">
        <v>1041</v>
      </c>
      <c r="D71" s="3" t="s">
        <v>348</v>
      </c>
      <c r="E71" s="3" t="s">
        <v>349</v>
      </c>
      <c r="F71" s="3" t="s">
        <v>350</v>
      </c>
      <c r="G71" s="3" t="s">
        <v>351</v>
      </c>
      <c r="H71" s="3" t="s">
        <v>14</v>
      </c>
      <c r="I71" s="3" t="s">
        <v>6</v>
      </c>
      <c r="J71" s="3"/>
      <c r="K71" s="3" t="s">
        <v>352</v>
      </c>
      <c r="L71" s="3"/>
      <c r="M71" s="3"/>
      <c r="N71" s="3" t="s">
        <v>22</v>
      </c>
      <c r="O71" s="3"/>
      <c r="P71" s="3"/>
      <c r="Q71" s="4">
        <v>46081</v>
      </c>
      <c r="R71" s="5">
        <v>2697.9</v>
      </c>
      <c r="S71" s="3">
        <v>30</v>
      </c>
      <c r="T71" s="3"/>
      <c r="U71" s="3">
        <v>0</v>
      </c>
      <c r="V71" s="3" t="s">
        <v>8</v>
      </c>
      <c r="W71" s="5">
        <v>-172.12</v>
      </c>
      <c r="X71" s="3">
        <v>0</v>
      </c>
      <c r="Y71" s="3">
        <v>0</v>
      </c>
      <c r="Z71" s="3">
        <v>0</v>
      </c>
      <c r="AA71" s="3">
        <v>0</v>
      </c>
      <c r="AB71" s="5">
        <v>-172.12</v>
      </c>
      <c r="AC71"/>
      <c r="AD71" s="25"/>
      <c r="AE71" s="25"/>
      <c r="AF71" s="25"/>
      <c r="AG71" s="32"/>
      <c r="AH71" s="18"/>
      <c r="AI71" s="3"/>
      <c r="AJ71" s="3"/>
      <c r="AK71" s="3"/>
    </row>
    <row r="72" spans="1:37" x14ac:dyDescent="0.25">
      <c r="A72">
        <v>65</v>
      </c>
      <c r="B72" s="10" t="s">
        <v>353</v>
      </c>
      <c r="C72" s="10" t="s">
        <v>1042</v>
      </c>
      <c r="D72" s="3" t="s">
        <v>354</v>
      </c>
      <c r="E72" s="3" t="s">
        <v>355</v>
      </c>
      <c r="F72" s="3" t="s">
        <v>356</v>
      </c>
      <c r="G72" s="3" t="s">
        <v>357</v>
      </c>
      <c r="H72" s="3" t="s">
        <v>14</v>
      </c>
      <c r="I72" s="3" t="s">
        <v>6</v>
      </c>
      <c r="J72" s="3" t="s">
        <v>15</v>
      </c>
      <c r="K72" s="3" t="s">
        <v>358</v>
      </c>
      <c r="L72" s="3"/>
      <c r="M72" s="3"/>
      <c r="N72" s="3" t="s">
        <v>22</v>
      </c>
      <c r="O72" s="3"/>
      <c r="P72" s="3"/>
      <c r="Q72" s="4">
        <v>46003</v>
      </c>
      <c r="R72" s="5">
        <v>-4524.28</v>
      </c>
      <c r="S72" s="3">
        <v>93</v>
      </c>
      <c r="T72" s="3"/>
      <c r="U72" s="3">
        <v>0</v>
      </c>
      <c r="V72" s="3" t="s">
        <v>8</v>
      </c>
      <c r="W72" s="5">
        <v>4795.7299999999996</v>
      </c>
      <c r="X72" s="5">
        <v>4795.7299999999996</v>
      </c>
      <c r="Y72" s="5">
        <v>4524.28</v>
      </c>
      <c r="Z72" s="5">
        <v>4524.28</v>
      </c>
      <c r="AA72" s="5">
        <v>4524.28</v>
      </c>
      <c r="AB72" s="5">
        <v>23164.3</v>
      </c>
      <c r="AC72"/>
      <c r="AD72" s="25"/>
      <c r="AE72" s="25"/>
      <c r="AF72" s="25"/>
      <c r="AG72" s="32"/>
      <c r="AH72" s="19"/>
      <c r="AI72" s="5"/>
      <c r="AJ72" s="5"/>
      <c r="AK72" s="5"/>
    </row>
    <row r="73" spans="1:37" x14ac:dyDescent="0.25">
      <c r="A73">
        <v>66</v>
      </c>
      <c r="B73" s="10" t="s">
        <v>359</v>
      </c>
      <c r="C73" s="10"/>
      <c r="D73" s="3" t="s">
        <v>360</v>
      </c>
      <c r="E73" s="3" t="s">
        <v>361</v>
      </c>
      <c r="F73" s="3" t="s">
        <v>362</v>
      </c>
      <c r="G73" s="3" t="s">
        <v>363</v>
      </c>
      <c r="H73" s="3" t="s">
        <v>14</v>
      </c>
      <c r="I73" s="3" t="s">
        <v>6</v>
      </c>
      <c r="J73" s="3" t="s">
        <v>15</v>
      </c>
      <c r="K73" s="3" t="s">
        <v>364</v>
      </c>
      <c r="L73" s="3"/>
      <c r="M73" s="3"/>
      <c r="N73" s="3"/>
      <c r="O73" s="3">
        <v>1641</v>
      </c>
      <c r="P73" s="3"/>
      <c r="Q73" s="4">
        <v>45230</v>
      </c>
      <c r="R73" s="5">
        <v>759.1</v>
      </c>
      <c r="S73" s="3">
        <v>232</v>
      </c>
      <c r="T73" s="3"/>
      <c r="U73" s="3">
        <v>0</v>
      </c>
      <c r="V73" s="3" t="s">
        <v>8</v>
      </c>
      <c r="W73" s="3">
        <v>0</v>
      </c>
      <c r="X73" s="3">
        <v>0</v>
      </c>
      <c r="Y73" s="3">
        <v>0</v>
      </c>
      <c r="Z73" s="3">
        <v>0</v>
      </c>
      <c r="AA73" s="5">
        <v>-0.01</v>
      </c>
      <c r="AB73" s="5">
        <v>-0.01</v>
      </c>
      <c r="AC73"/>
      <c r="AD73" s="25"/>
      <c r="AE73" s="25"/>
      <c r="AF73" s="25"/>
      <c r="AG73" s="32"/>
      <c r="AH73" s="18"/>
      <c r="AI73" s="3"/>
      <c r="AJ73" s="3"/>
      <c r="AK73" s="5"/>
    </row>
    <row r="74" spans="1:37" x14ac:dyDescent="0.25">
      <c r="A74">
        <v>67</v>
      </c>
      <c r="B74" s="10" t="s">
        <v>365</v>
      </c>
      <c r="C74" s="10" t="s">
        <v>1043</v>
      </c>
      <c r="D74" s="3" t="s">
        <v>366</v>
      </c>
      <c r="E74" s="3" t="s">
        <v>367</v>
      </c>
      <c r="F74" s="3" t="s">
        <v>368</v>
      </c>
      <c r="G74" s="3" t="s">
        <v>369</v>
      </c>
      <c r="H74" s="3" t="s">
        <v>14</v>
      </c>
      <c r="I74" s="3" t="s">
        <v>6</v>
      </c>
      <c r="J74" s="3" t="s">
        <v>15</v>
      </c>
      <c r="K74" s="3" t="s">
        <v>370</v>
      </c>
      <c r="L74" s="3"/>
      <c r="M74" s="3"/>
      <c r="N74" s="3" t="s">
        <v>22</v>
      </c>
      <c r="O74" s="3">
        <v>2000</v>
      </c>
      <c r="P74" s="3"/>
      <c r="Q74" s="4">
        <v>46081</v>
      </c>
      <c r="R74" s="5">
        <v>8083.26</v>
      </c>
      <c r="S74" s="3">
        <v>191</v>
      </c>
      <c r="T74" s="3"/>
      <c r="U74" s="3">
        <v>0</v>
      </c>
      <c r="V74" s="3" t="s">
        <v>8</v>
      </c>
      <c r="W74" s="5">
        <v>8083.26</v>
      </c>
      <c r="X74" s="3">
        <v>0</v>
      </c>
      <c r="Y74" s="3">
        <v>0</v>
      </c>
      <c r="Z74" s="3">
        <v>0</v>
      </c>
      <c r="AA74" s="3">
        <v>0</v>
      </c>
      <c r="AB74" s="5">
        <v>8083.26</v>
      </c>
      <c r="AC74"/>
      <c r="AD74" s="25" t="s">
        <v>1201</v>
      </c>
      <c r="AE74" s="25" t="s">
        <v>1265</v>
      </c>
      <c r="AF74" s="26">
        <v>8083.26</v>
      </c>
      <c r="AG74" s="33">
        <f>AF74</f>
        <v>8083.26</v>
      </c>
      <c r="AH74" s="18"/>
      <c r="AI74" s="3"/>
      <c r="AJ74" s="3"/>
      <c r="AK74" s="3"/>
    </row>
    <row r="75" spans="1:37" x14ac:dyDescent="0.25">
      <c r="A75">
        <v>68</v>
      </c>
      <c r="B75" s="10" t="s">
        <v>371</v>
      </c>
      <c r="C75" s="10" t="s">
        <v>1044</v>
      </c>
      <c r="D75" s="3" t="s">
        <v>372</v>
      </c>
      <c r="E75" s="3" t="s">
        <v>373</v>
      </c>
      <c r="F75" s="3" t="s">
        <v>374</v>
      </c>
      <c r="G75" s="3" t="s">
        <v>375</v>
      </c>
      <c r="H75" s="3" t="s">
        <v>14</v>
      </c>
      <c r="I75" s="3" t="s">
        <v>6</v>
      </c>
      <c r="J75" s="3" t="s">
        <v>15</v>
      </c>
      <c r="K75" s="3" t="s">
        <v>376</v>
      </c>
      <c r="L75" s="3"/>
      <c r="M75" s="3"/>
      <c r="N75" s="3"/>
      <c r="O75" s="3"/>
      <c r="P75" s="3"/>
      <c r="Q75" s="4">
        <v>46081</v>
      </c>
      <c r="R75" s="5">
        <v>142.54</v>
      </c>
      <c r="S75" s="3">
        <v>40</v>
      </c>
      <c r="T75" s="3"/>
      <c r="U75" s="3">
        <v>0</v>
      </c>
      <c r="V75" s="3" t="s">
        <v>8</v>
      </c>
      <c r="W75" s="5">
        <v>142.54</v>
      </c>
      <c r="X75" s="3">
        <v>0</v>
      </c>
      <c r="Y75" s="3">
        <v>0</v>
      </c>
      <c r="Z75" s="3">
        <v>0</v>
      </c>
      <c r="AA75" s="3">
        <v>0</v>
      </c>
      <c r="AB75" s="5">
        <v>142.54</v>
      </c>
      <c r="AC75"/>
      <c r="AD75" s="25"/>
      <c r="AE75" s="25"/>
      <c r="AF75" s="25"/>
      <c r="AG75" s="32"/>
      <c r="AH75" s="18"/>
      <c r="AI75" s="3"/>
      <c r="AJ75" s="3"/>
      <c r="AK75" s="3"/>
    </row>
    <row r="76" spans="1:37" x14ac:dyDescent="0.25">
      <c r="A76">
        <v>69</v>
      </c>
      <c r="B76" s="10" t="s">
        <v>377</v>
      </c>
      <c r="C76" s="10" t="s">
        <v>1045</v>
      </c>
      <c r="D76" s="3" t="s">
        <v>378</v>
      </c>
      <c r="E76" s="3" t="s">
        <v>379</v>
      </c>
      <c r="F76" s="3" t="s">
        <v>380</v>
      </c>
      <c r="G76" s="3" t="s">
        <v>381</v>
      </c>
      <c r="H76" s="3" t="s">
        <v>14</v>
      </c>
      <c r="I76" s="3" t="s">
        <v>6</v>
      </c>
      <c r="J76" s="3" t="s">
        <v>15</v>
      </c>
      <c r="K76" s="3" t="s">
        <v>382</v>
      </c>
      <c r="L76" s="3"/>
      <c r="M76" s="3" t="s">
        <v>69</v>
      </c>
      <c r="N76" s="3" t="s">
        <v>22</v>
      </c>
      <c r="O76" s="3"/>
      <c r="P76" s="3"/>
      <c r="Q76" s="4">
        <v>46053</v>
      </c>
      <c r="R76" s="5">
        <v>4635.0600000000004</v>
      </c>
      <c r="S76" s="3">
        <v>124</v>
      </c>
      <c r="T76" s="3"/>
      <c r="U76" s="3">
        <v>0</v>
      </c>
      <c r="V76" s="3" t="s">
        <v>8</v>
      </c>
      <c r="W76" s="5">
        <v>4635.0600000000004</v>
      </c>
      <c r="X76" s="5">
        <v>4635.0600000000004</v>
      </c>
      <c r="Y76" s="3">
        <v>0</v>
      </c>
      <c r="Z76" s="3">
        <v>0</v>
      </c>
      <c r="AA76" s="3">
        <v>0</v>
      </c>
      <c r="AB76" s="5">
        <v>9270.1200000000008</v>
      </c>
      <c r="AC76"/>
      <c r="AD76" s="25" t="s">
        <v>1165</v>
      </c>
      <c r="AE76" s="25" t="s">
        <v>1166</v>
      </c>
      <c r="AF76" s="26">
        <v>4635.0600000000004</v>
      </c>
      <c r="AG76" s="32"/>
      <c r="AH76" s="19">
        <f>AF76</f>
        <v>4635.0600000000004</v>
      </c>
      <c r="AI76" s="3"/>
      <c r="AJ76" s="3"/>
      <c r="AK76" s="3"/>
    </row>
    <row r="77" spans="1:37" x14ac:dyDescent="0.25">
      <c r="A77">
        <v>70</v>
      </c>
      <c r="B77" s="10" t="s">
        <v>383</v>
      </c>
      <c r="C77" s="10" t="s">
        <v>1046</v>
      </c>
      <c r="D77" s="3" t="s">
        <v>384</v>
      </c>
      <c r="E77" s="3" t="s">
        <v>385</v>
      </c>
      <c r="F77" s="3"/>
      <c r="G77" s="3" t="s">
        <v>386</v>
      </c>
      <c r="H77" s="3" t="s">
        <v>14</v>
      </c>
      <c r="I77" s="3" t="s">
        <v>6</v>
      </c>
      <c r="J77" s="3"/>
      <c r="K77" s="3" t="s">
        <v>387</v>
      </c>
      <c r="L77" s="3"/>
      <c r="M77" s="3"/>
      <c r="N77" s="3" t="s">
        <v>22</v>
      </c>
      <c r="O77" s="3"/>
      <c r="P77" s="3"/>
      <c r="Q77" s="4">
        <v>46081</v>
      </c>
      <c r="R77" s="5">
        <v>1730.75</v>
      </c>
      <c r="S77" s="3">
        <v>121</v>
      </c>
      <c r="T77" s="3"/>
      <c r="U77" s="3">
        <v>0</v>
      </c>
      <c r="V77" s="3" t="s">
        <v>8</v>
      </c>
      <c r="W77" s="5">
        <v>1730.75</v>
      </c>
      <c r="X77" s="3">
        <v>0</v>
      </c>
      <c r="Y77" s="3">
        <v>0</v>
      </c>
      <c r="Z77" s="3">
        <v>0</v>
      </c>
      <c r="AA77" s="3">
        <v>0</v>
      </c>
      <c r="AB77" s="5">
        <v>1730.75</v>
      </c>
      <c r="AC77"/>
      <c r="AD77" s="25" t="s">
        <v>1201</v>
      </c>
      <c r="AE77" s="25" t="s">
        <v>1254</v>
      </c>
      <c r="AF77" s="26">
        <v>1730.75</v>
      </c>
      <c r="AG77" s="33">
        <f>AF77</f>
        <v>1730.75</v>
      </c>
      <c r="AH77" s="18"/>
      <c r="AI77" s="3"/>
      <c r="AJ77" s="3"/>
      <c r="AK77" s="3"/>
    </row>
    <row r="78" spans="1:37" x14ac:dyDescent="0.25">
      <c r="A78">
        <v>71</v>
      </c>
      <c r="B78" s="10">
        <v>1122</v>
      </c>
      <c r="C78" s="10" t="s">
        <v>1047</v>
      </c>
      <c r="D78" s="3" t="s">
        <v>388</v>
      </c>
      <c r="E78" s="3" t="s">
        <v>389</v>
      </c>
      <c r="F78" s="3" t="s">
        <v>390</v>
      </c>
      <c r="G78" s="3" t="s">
        <v>391</v>
      </c>
      <c r="H78" s="3" t="s">
        <v>14</v>
      </c>
      <c r="I78" s="3" t="s">
        <v>6</v>
      </c>
      <c r="J78" s="3" t="s">
        <v>15</v>
      </c>
      <c r="K78" s="3" t="s">
        <v>392</v>
      </c>
      <c r="L78" s="3"/>
      <c r="M78" s="3"/>
      <c r="N78" s="3" t="s">
        <v>22</v>
      </c>
      <c r="O78" s="3">
        <v>2710</v>
      </c>
      <c r="P78" s="3"/>
      <c r="Q78" s="4">
        <v>46052</v>
      </c>
      <c r="R78" s="5">
        <v>19251.919999999998</v>
      </c>
      <c r="S78" s="3">
        <v>217</v>
      </c>
      <c r="T78" s="3"/>
      <c r="U78" s="3">
        <v>0</v>
      </c>
      <c r="V78" s="3" t="s">
        <v>8</v>
      </c>
      <c r="W78" s="5">
        <v>19251.919999999998</v>
      </c>
      <c r="X78" s="5">
        <v>19251.919999999998</v>
      </c>
      <c r="Y78" s="3">
        <v>0</v>
      </c>
      <c r="Z78" s="3">
        <v>0</v>
      </c>
      <c r="AA78" s="3">
        <v>0</v>
      </c>
      <c r="AB78" s="5">
        <v>38503.839999999997</v>
      </c>
      <c r="AC78"/>
      <c r="AD78" s="25" t="s">
        <v>1165</v>
      </c>
      <c r="AE78" s="25" t="e">
        <v>#VALUE!</v>
      </c>
      <c r="AF78" s="26">
        <v>19251.919999999998</v>
      </c>
      <c r="AG78" s="32"/>
      <c r="AH78" s="19">
        <f>X78</f>
        <v>19251.919999999998</v>
      </c>
      <c r="AI78" s="3"/>
      <c r="AJ78" s="3"/>
      <c r="AK78" s="3"/>
    </row>
    <row r="79" spans="1:37" x14ac:dyDescent="0.25">
      <c r="A79">
        <v>72</v>
      </c>
      <c r="B79" s="10" t="s">
        <v>393</v>
      </c>
      <c r="C79" s="10" t="s">
        <v>1048</v>
      </c>
      <c r="D79" s="3" t="s">
        <v>394</v>
      </c>
      <c r="E79" s="3" t="s">
        <v>395</v>
      </c>
      <c r="F79" s="6" t="s">
        <v>396</v>
      </c>
      <c r="G79" s="3" t="s">
        <v>397</v>
      </c>
      <c r="H79" s="3" t="s">
        <v>14</v>
      </c>
      <c r="I79" s="3" t="s">
        <v>6</v>
      </c>
      <c r="J79" s="3" t="s">
        <v>15</v>
      </c>
      <c r="K79" s="3" t="s">
        <v>398</v>
      </c>
      <c r="L79" s="3"/>
      <c r="M79" s="3"/>
      <c r="N79" s="3"/>
      <c r="O79" s="6" t="s">
        <v>399</v>
      </c>
      <c r="P79" s="3"/>
      <c r="Q79" s="4">
        <v>46081</v>
      </c>
      <c r="R79" s="5">
        <v>476.54</v>
      </c>
      <c r="S79" s="3">
        <v>82</v>
      </c>
      <c r="T79" s="3"/>
      <c r="U79" s="3">
        <v>0</v>
      </c>
      <c r="V79" s="3" t="s">
        <v>8</v>
      </c>
      <c r="W79" s="5">
        <v>1467.84</v>
      </c>
      <c r="X79" s="3">
        <v>0</v>
      </c>
      <c r="Y79" s="3">
        <v>0</v>
      </c>
      <c r="Z79" s="3">
        <v>0</v>
      </c>
      <c r="AA79" s="3">
        <v>0</v>
      </c>
      <c r="AB79" s="5">
        <v>1467.84</v>
      </c>
      <c r="AC79"/>
      <c r="AD79" s="25"/>
      <c r="AE79" s="25"/>
      <c r="AF79" s="25"/>
      <c r="AG79" s="32"/>
      <c r="AH79" s="18"/>
      <c r="AI79" s="3"/>
      <c r="AJ79" s="3"/>
      <c r="AK79" s="3"/>
    </row>
    <row r="80" spans="1:37" x14ac:dyDescent="0.25">
      <c r="A80">
        <v>73</v>
      </c>
      <c r="B80" s="10" t="s">
        <v>400</v>
      </c>
      <c r="C80" s="10" t="s">
        <v>1049</v>
      </c>
      <c r="D80" s="3" t="s">
        <v>401</v>
      </c>
      <c r="E80" s="3" t="s">
        <v>402</v>
      </c>
      <c r="F80" s="6" t="s">
        <v>403</v>
      </c>
      <c r="G80" s="3" t="s">
        <v>404</v>
      </c>
      <c r="H80" s="3" t="s">
        <v>14</v>
      </c>
      <c r="I80" s="3" t="s">
        <v>6</v>
      </c>
      <c r="J80" s="3"/>
      <c r="K80" s="3" t="s">
        <v>405</v>
      </c>
      <c r="L80" s="3"/>
      <c r="M80" s="3"/>
      <c r="N80" s="3" t="s">
        <v>22</v>
      </c>
      <c r="O80" s="3"/>
      <c r="P80" s="3"/>
      <c r="Q80" s="4">
        <v>46081</v>
      </c>
      <c r="R80" s="5">
        <v>244.78</v>
      </c>
      <c r="S80" s="3">
        <v>49</v>
      </c>
      <c r="T80" s="3"/>
      <c r="U80" s="3">
        <v>0</v>
      </c>
      <c r="V80" s="3" t="s">
        <v>8</v>
      </c>
      <c r="W80" s="5">
        <v>244.78</v>
      </c>
      <c r="X80" s="3">
        <v>0</v>
      </c>
      <c r="Y80" s="3">
        <v>0</v>
      </c>
      <c r="Z80" s="3">
        <v>0</v>
      </c>
      <c r="AA80" s="3">
        <v>0</v>
      </c>
      <c r="AB80" s="5">
        <v>244.78</v>
      </c>
      <c r="AC80"/>
      <c r="AD80" s="25"/>
      <c r="AE80" s="25"/>
      <c r="AF80" s="25"/>
      <c r="AG80" s="32"/>
      <c r="AH80" s="18"/>
      <c r="AI80" s="3"/>
      <c r="AJ80" s="3"/>
      <c r="AK80" s="3"/>
    </row>
    <row r="81" spans="1:44" x14ac:dyDescent="0.25">
      <c r="A81">
        <v>74</v>
      </c>
      <c r="B81" s="10" t="s">
        <v>406</v>
      </c>
      <c r="C81" s="10"/>
      <c r="D81" s="3" t="s">
        <v>407</v>
      </c>
      <c r="E81" s="3" t="s">
        <v>408</v>
      </c>
      <c r="F81" s="3" t="s">
        <v>409</v>
      </c>
      <c r="G81" s="3" t="s">
        <v>410</v>
      </c>
      <c r="H81" s="3" t="s">
        <v>236</v>
      </c>
      <c r="I81" s="3" t="s">
        <v>6</v>
      </c>
      <c r="J81" s="3"/>
      <c r="K81" s="3" t="s">
        <v>411</v>
      </c>
      <c r="L81" s="3"/>
      <c r="M81" s="3"/>
      <c r="N81" s="3" t="s">
        <v>22</v>
      </c>
      <c r="O81" s="3"/>
      <c r="P81" s="3"/>
      <c r="Q81" s="4">
        <v>45925</v>
      </c>
      <c r="R81" s="5">
        <v>1000</v>
      </c>
      <c r="S81" s="3">
        <v>473</v>
      </c>
      <c r="T81" s="3"/>
      <c r="U81" s="3">
        <v>0</v>
      </c>
      <c r="V81" s="3" t="s">
        <v>8</v>
      </c>
      <c r="W81" s="3">
        <v>0</v>
      </c>
      <c r="X81" s="3">
        <v>0</v>
      </c>
      <c r="Y81" s="3">
        <v>0</v>
      </c>
      <c r="Z81" s="3">
        <v>0</v>
      </c>
      <c r="AA81" s="5">
        <v>57222.48</v>
      </c>
      <c r="AB81" s="5">
        <v>57222.48</v>
      </c>
      <c r="AC81"/>
      <c r="AD81" s="25"/>
      <c r="AE81" s="25"/>
      <c r="AF81" s="25"/>
      <c r="AG81" s="32"/>
      <c r="AH81" s="18"/>
      <c r="AI81" s="3"/>
      <c r="AJ81" s="3"/>
      <c r="AK81" s="5"/>
    </row>
    <row r="82" spans="1:44" x14ac:dyDescent="0.25">
      <c r="A82">
        <v>75</v>
      </c>
      <c r="B82" s="10" t="s">
        <v>412</v>
      </c>
      <c r="C82" s="10" t="s">
        <v>1050</v>
      </c>
      <c r="D82" s="3" t="s">
        <v>413</v>
      </c>
      <c r="E82" s="3" t="s">
        <v>414</v>
      </c>
      <c r="F82" s="6" t="s">
        <v>415</v>
      </c>
      <c r="G82" s="3" t="s">
        <v>416</v>
      </c>
      <c r="H82" s="3" t="s">
        <v>14</v>
      </c>
      <c r="I82" s="3" t="s">
        <v>6</v>
      </c>
      <c r="J82" s="3" t="s">
        <v>33</v>
      </c>
      <c r="K82" s="3" t="s">
        <v>417</v>
      </c>
      <c r="L82" s="3"/>
      <c r="M82" s="3"/>
      <c r="N82" s="3"/>
      <c r="O82" s="3">
        <v>2047</v>
      </c>
      <c r="P82" s="3"/>
      <c r="Q82" s="4">
        <v>46057</v>
      </c>
      <c r="R82" s="5">
        <v>11427.55</v>
      </c>
      <c r="S82" s="3">
        <v>476</v>
      </c>
      <c r="T82" s="3"/>
      <c r="U82" s="3">
        <v>0</v>
      </c>
      <c r="V82" s="3" t="s">
        <v>8</v>
      </c>
      <c r="W82" s="5">
        <v>11486.2</v>
      </c>
      <c r="X82" s="5">
        <v>11083.7</v>
      </c>
      <c r="Y82" s="3">
        <v>0</v>
      </c>
      <c r="Z82" s="3">
        <v>0</v>
      </c>
      <c r="AA82" s="3">
        <v>0</v>
      </c>
      <c r="AB82" s="5">
        <v>22569.9</v>
      </c>
      <c r="AC82"/>
      <c r="AD82" s="25" t="s">
        <v>1149</v>
      </c>
      <c r="AE82" s="25" t="s">
        <v>1172</v>
      </c>
      <c r="AF82" s="26">
        <v>11083.7</v>
      </c>
      <c r="AG82" s="32"/>
      <c r="AH82" s="19">
        <f>X82</f>
        <v>11083.7</v>
      </c>
      <c r="AI82" s="3"/>
      <c r="AJ82" s="3"/>
      <c r="AK82" s="3"/>
    </row>
    <row r="83" spans="1:44" x14ac:dyDescent="0.25">
      <c r="A83">
        <v>76</v>
      </c>
      <c r="B83" s="10" t="s">
        <v>418</v>
      </c>
      <c r="C83" s="10" t="s">
        <v>1051</v>
      </c>
      <c r="D83" s="3" t="s">
        <v>419</v>
      </c>
      <c r="E83" s="3" t="s">
        <v>420</v>
      </c>
      <c r="F83" s="3" t="s">
        <v>421</v>
      </c>
      <c r="G83" s="3" t="s">
        <v>422</v>
      </c>
      <c r="H83" s="3" t="s">
        <v>14</v>
      </c>
      <c r="I83" s="3" t="s">
        <v>6</v>
      </c>
      <c r="J83" s="3" t="s">
        <v>33</v>
      </c>
      <c r="K83" s="3" t="s">
        <v>417</v>
      </c>
      <c r="L83" s="3"/>
      <c r="M83" s="3"/>
      <c r="N83" s="3"/>
      <c r="O83" s="3">
        <v>2047</v>
      </c>
      <c r="P83" s="3"/>
      <c r="Q83" s="4">
        <v>46057</v>
      </c>
      <c r="R83" s="5">
        <v>26781.200000000001</v>
      </c>
      <c r="S83" s="3">
        <v>398</v>
      </c>
      <c r="T83" s="3"/>
      <c r="U83" s="3">
        <v>0</v>
      </c>
      <c r="V83" s="3" t="s">
        <v>8</v>
      </c>
      <c r="W83" s="5">
        <v>21683.25</v>
      </c>
      <c r="X83" s="5">
        <f>19520.1+1207.5</f>
        <v>20727.599999999999</v>
      </c>
      <c r="Y83" s="3">
        <v>0</v>
      </c>
      <c r="Z83" s="3">
        <v>0</v>
      </c>
      <c r="AA83" s="5">
        <v>-0.01</v>
      </c>
      <c r="AB83" s="5">
        <f>SUM(W83:AA83)</f>
        <v>42410.84</v>
      </c>
      <c r="AC83"/>
      <c r="AD83" s="25" t="s">
        <v>1149</v>
      </c>
      <c r="AE83" s="25" t="s">
        <v>1181</v>
      </c>
      <c r="AF83" s="26">
        <v>18247.05</v>
      </c>
      <c r="AG83" s="32"/>
      <c r="AH83" s="19">
        <v>18247.05</v>
      </c>
      <c r="AI83" s="3"/>
      <c r="AJ83" s="3"/>
      <c r="AK83" s="5"/>
    </row>
    <row r="84" spans="1:44" x14ac:dyDescent="0.25">
      <c r="A84">
        <v>77</v>
      </c>
      <c r="B84" s="10" t="s">
        <v>423</v>
      </c>
      <c r="C84" s="10" t="s">
        <v>1052</v>
      </c>
      <c r="D84" s="3" t="s">
        <v>424</v>
      </c>
      <c r="E84" s="3" t="s">
        <v>425</v>
      </c>
      <c r="F84" s="6" t="s">
        <v>415</v>
      </c>
      <c r="G84" s="3" t="s">
        <v>426</v>
      </c>
      <c r="H84" s="3" t="s">
        <v>14</v>
      </c>
      <c r="I84" s="3" t="s">
        <v>6</v>
      </c>
      <c r="J84" s="3" t="s">
        <v>33</v>
      </c>
      <c r="K84" s="3" t="s">
        <v>417</v>
      </c>
      <c r="L84" s="3"/>
      <c r="M84" s="3"/>
      <c r="N84" s="3"/>
      <c r="O84" s="3">
        <v>2047</v>
      </c>
      <c r="P84" s="3"/>
      <c r="Q84" s="4">
        <v>46057</v>
      </c>
      <c r="R84" s="5">
        <v>34861.97</v>
      </c>
      <c r="S84" s="3">
        <v>1067</v>
      </c>
      <c r="T84" s="3"/>
      <c r="U84" s="3">
        <v>0</v>
      </c>
      <c r="V84" s="3" t="s">
        <v>8</v>
      </c>
      <c r="W84" s="5">
        <v>46503.96</v>
      </c>
      <c r="X84" s="5">
        <v>36516.94</v>
      </c>
      <c r="Y84" s="5">
        <v>5738.17</v>
      </c>
      <c r="Z84" s="3">
        <v>0</v>
      </c>
      <c r="AA84" s="5">
        <v>-1.38</v>
      </c>
      <c r="AB84" s="5">
        <v>88757.69</v>
      </c>
      <c r="AC84"/>
      <c r="AD84" s="25" t="s">
        <v>1149</v>
      </c>
      <c r="AE84" s="25" t="s">
        <v>1169</v>
      </c>
      <c r="AF84" s="26">
        <v>6082.02</v>
      </c>
      <c r="AG84" s="32"/>
      <c r="AH84" s="19">
        <f>AF84+AF85-AI84</f>
        <v>36860.790000000008</v>
      </c>
      <c r="AI84" s="5">
        <f>Y84</f>
        <v>5738.17</v>
      </c>
      <c r="AJ84" s="3"/>
      <c r="AK84" s="5"/>
    </row>
    <row r="85" spans="1:44" s="43" customFormat="1" x14ac:dyDescent="0.25">
      <c r="A85">
        <v>78</v>
      </c>
      <c r="B85" s="10"/>
      <c r="C85" s="10"/>
      <c r="D85" s="3"/>
      <c r="E85" s="3"/>
      <c r="F85" s="6"/>
      <c r="G85" s="3"/>
      <c r="H85" s="3"/>
      <c r="I85" s="3"/>
      <c r="J85" s="3"/>
      <c r="K85" s="3"/>
      <c r="L85" s="3"/>
      <c r="M85" s="3"/>
      <c r="N85" s="3"/>
      <c r="O85" s="3"/>
      <c r="P85" s="3"/>
      <c r="Q85" s="4"/>
      <c r="R85" s="5"/>
      <c r="S85" s="3"/>
      <c r="T85" s="3"/>
      <c r="U85" s="3"/>
      <c r="V85" s="3"/>
      <c r="W85" s="5"/>
      <c r="X85" s="5"/>
      <c r="Y85" s="5"/>
      <c r="Z85" s="3"/>
      <c r="AA85" s="5"/>
      <c r="AB85" s="5"/>
      <c r="AC85"/>
      <c r="AD85" s="25" t="s">
        <v>1149</v>
      </c>
      <c r="AE85" s="25" t="s">
        <v>1189</v>
      </c>
      <c r="AF85" s="26">
        <v>36516.94</v>
      </c>
      <c r="AG85" s="32"/>
      <c r="AH85" s="19"/>
      <c r="AI85" s="5"/>
      <c r="AJ85" s="3"/>
      <c r="AK85" s="5"/>
      <c r="AL85"/>
      <c r="AM85"/>
      <c r="AN85"/>
      <c r="AO85"/>
      <c r="AP85"/>
      <c r="AQ85"/>
      <c r="AR85"/>
    </row>
    <row r="86" spans="1:44" x14ac:dyDescent="0.25">
      <c r="A86">
        <v>79</v>
      </c>
      <c r="B86" s="10" t="s">
        <v>427</v>
      </c>
      <c r="C86" s="10" t="s">
        <v>1053</v>
      </c>
      <c r="D86" s="3" t="s">
        <v>428</v>
      </c>
      <c r="E86" s="3" t="s">
        <v>429</v>
      </c>
      <c r="F86" s="3" t="s">
        <v>430</v>
      </c>
      <c r="G86" s="3" t="s">
        <v>431</v>
      </c>
      <c r="H86" s="3" t="s">
        <v>14</v>
      </c>
      <c r="I86" s="3"/>
      <c r="J86" s="3" t="s">
        <v>33</v>
      </c>
      <c r="K86" s="3" t="s">
        <v>432</v>
      </c>
      <c r="L86" s="3"/>
      <c r="M86" s="3"/>
      <c r="N86" s="3"/>
      <c r="O86" s="3"/>
      <c r="P86" s="3"/>
      <c r="Q86" s="4">
        <v>46046</v>
      </c>
      <c r="R86" s="5">
        <v>637.30999999999995</v>
      </c>
      <c r="S86" s="3">
        <v>102</v>
      </c>
      <c r="T86" s="3"/>
      <c r="U86" s="3">
        <v>0</v>
      </c>
      <c r="V86" s="3" t="s">
        <v>8</v>
      </c>
      <c r="W86" s="5">
        <v>637.30999999999995</v>
      </c>
      <c r="X86" s="3">
        <v>0</v>
      </c>
      <c r="Y86" s="3">
        <v>0</v>
      </c>
      <c r="Z86" s="3">
        <v>0</v>
      </c>
      <c r="AA86" s="3">
        <v>0.31</v>
      </c>
      <c r="AB86" s="5">
        <v>637.62</v>
      </c>
      <c r="AC86"/>
      <c r="AD86" s="25" t="s">
        <v>1152</v>
      </c>
      <c r="AE86" s="25" t="s">
        <v>1153</v>
      </c>
      <c r="AF86" s="26">
        <v>637.30999999999995</v>
      </c>
      <c r="AG86" s="33">
        <f>AF86</f>
        <v>637.30999999999995</v>
      </c>
      <c r="AH86" s="18"/>
      <c r="AI86" s="3"/>
      <c r="AJ86" s="3"/>
      <c r="AK86" s="3"/>
    </row>
    <row r="87" spans="1:44" x14ac:dyDescent="0.25">
      <c r="A87">
        <v>80</v>
      </c>
      <c r="B87" s="10" t="s">
        <v>433</v>
      </c>
      <c r="C87" s="10" t="s">
        <v>1054</v>
      </c>
      <c r="D87" s="3" t="s">
        <v>434</v>
      </c>
      <c r="E87" s="3" t="s">
        <v>435</v>
      </c>
      <c r="F87" s="3" t="s">
        <v>436</v>
      </c>
      <c r="G87" s="3" t="s">
        <v>437</v>
      </c>
      <c r="H87" s="3" t="s">
        <v>14</v>
      </c>
      <c r="I87" s="3"/>
      <c r="J87" s="3" t="s">
        <v>15</v>
      </c>
      <c r="K87" s="3" t="s">
        <v>438</v>
      </c>
      <c r="L87" s="3"/>
      <c r="M87" s="3"/>
      <c r="N87" s="3"/>
      <c r="O87" s="3">
        <v>1402</v>
      </c>
      <c r="P87" s="3"/>
      <c r="Q87" s="4">
        <v>46060</v>
      </c>
      <c r="R87" s="5">
        <v>2725.96</v>
      </c>
      <c r="S87" s="3">
        <v>154</v>
      </c>
      <c r="T87" s="3"/>
      <c r="U87" s="3">
        <v>0</v>
      </c>
      <c r="V87" s="3" t="s">
        <v>8</v>
      </c>
      <c r="W87" s="5">
        <v>2725.96</v>
      </c>
      <c r="X87" s="5">
        <v>2725.96</v>
      </c>
      <c r="Y87" s="3">
        <v>0</v>
      </c>
      <c r="Z87" s="3">
        <v>0</v>
      </c>
      <c r="AA87" s="3">
        <v>0</v>
      </c>
      <c r="AB87" s="5">
        <v>5451.92</v>
      </c>
      <c r="AC87"/>
      <c r="AD87" s="25" t="s">
        <v>1151</v>
      </c>
      <c r="AE87" s="25" t="s">
        <v>433</v>
      </c>
      <c r="AF87" s="26">
        <v>2725.96</v>
      </c>
      <c r="AG87" s="32"/>
      <c r="AH87" s="19">
        <f>AF87</f>
        <v>2725.96</v>
      </c>
      <c r="AI87" s="3"/>
      <c r="AJ87" s="3"/>
      <c r="AK87" s="3"/>
    </row>
    <row r="88" spans="1:44" x14ac:dyDescent="0.25">
      <c r="A88">
        <v>81</v>
      </c>
      <c r="B88" s="10">
        <v>1134</v>
      </c>
      <c r="C88" s="10" t="s">
        <v>1055</v>
      </c>
      <c r="D88" s="3" t="s">
        <v>439</v>
      </c>
      <c r="E88" s="3"/>
      <c r="F88" s="3" t="s">
        <v>440</v>
      </c>
      <c r="G88" s="3" t="s">
        <v>441</v>
      </c>
      <c r="H88" s="3" t="s">
        <v>14</v>
      </c>
      <c r="I88" s="3" t="s">
        <v>6</v>
      </c>
      <c r="J88" s="3" t="s">
        <v>15</v>
      </c>
      <c r="K88" s="3" t="s">
        <v>442</v>
      </c>
      <c r="L88" s="3"/>
      <c r="M88" s="3"/>
      <c r="N88" s="3" t="s">
        <v>22</v>
      </c>
      <c r="O88" s="3"/>
      <c r="P88" s="3"/>
      <c r="Q88" s="4">
        <v>46053</v>
      </c>
      <c r="R88" s="5">
        <v>28723.53</v>
      </c>
      <c r="S88" s="3">
        <v>110</v>
      </c>
      <c r="T88" s="3"/>
      <c r="U88" s="3">
        <v>0</v>
      </c>
      <c r="V88" s="3" t="s">
        <v>8</v>
      </c>
      <c r="W88" s="5">
        <v>28838.53</v>
      </c>
      <c r="X88" s="5">
        <v>28723.53</v>
      </c>
      <c r="Y88" s="3">
        <v>0</v>
      </c>
      <c r="Z88" s="3">
        <v>0</v>
      </c>
      <c r="AA88" s="3">
        <v>0</v>
      </c>
      <c r="AB88" s="5">
        <v>57562.06</v>
      </c>
      <c r="AC88"/>
      <c r="AD88" s="25" t="s">
        <v>1165</v>
      </c>
      <c r="AE88" s="25" t="s">
        <v>1187</v>
      </c>
      <c r="AF88" s="26">
        <v>28723.53</v>
      </c>
      <c r="AG88" s="32"/>
      <c r="AH88" s="19">
        <f>AF88</f>
        <v>28723.53</v>
      </c>
      <c r="AI88" s="3"/>
      <c r="AJ88" s="3"/>
      <c r="AK88" s="3"/>
    </row>
    <row r="89" spans="1:44" x14ac:dyDescent="0.25">
      <c r="A89">
        <v>82</v>
      </c>
      <c r="B89" s="10" t="s">
        <v>443</v>
      </c>
      <c r="C89" s="10" t="s">
        <v>1056</v>
      </c>
      <c r="D89" s="3" t="s">
        <v>444</v>
      </c>
      <c r="E89" s="3" t="s">
        <v>445</v>
      </c>
      <c r="F89" s="3"/>
      <c r="G89" s="3" t="s">
        <v>446</v>
      </c>
      <c r="H89" s="3" t="s">
        <v>14</v>
      </c>
      <c r="I89" s="3" t="s">
        <v>6</v>
      </c>
      <c r="J89" s="3"/>
      <c r="K89" s="3" t="s">
        <v>447</v>
      </c>
      <c r="L89" s="3"/>
      <c r="M89" s="3"/>
      <c r="N89" s="3" t="s">
        <v>22</v>
      </c>
      <c r="O89" s="3"/>
      <c r="P89" s="3"/>
      <c r="Q89" s="4">
        <v>45663</v>
      </c>
      <c r="R89" s="5">
        <v>4600</v>
      </c>
      <c r="S89" s="3">
        <v>95</v>
      </c>
      <c r="T89" s="3"/>
      <c r="U89" s="3">
        <v>0</v>
      </c>
      <c r="V89" s="3" t="s">
        <v>8</v>
      </c>
      <c r="W89" s="5">
        <v>7337</v>
      </c>
      <c r="X89" s="3">
        <v>0</v>
      </c>
      <c r="Y89" s="3">
        <v>0</v>
      </c>
      <c r="Z89" s="3">
        <v>0</v>
      </c>
      <c r="AA89" s="3">
        <v>0</v>
      </c>
      <c r="AB89" s="5">
        <v>7337</v>
      </c>
      <c r="AC89"/>
      <c r="AD89" s="25"/>
      <c r="AE89" s="25"/>
      <c r="AF89" s="25"/>
      <c r="AG89" s="32"/>
      <c r="AH89" s="18"/>
      <c r="AI89" s="3"/>
      <c r="AJ89" s="3"/>
      <c r="AK89" s="3"/>
    </row>
    <row r="90" spans="1:44" x14ac:dyDescent="0.25">
      <c r="A90">
        <v>83</v>
      </c>
      <c r="B90" s="10" t="s">
        <v>448</v>
      </c>
      <c r="C90" s="10" t="s">
        <v>1057</v>
      </c>
      <c r="D90" s="3" t="s">
        <v>449</v>
      </c>
      <c r="E90" s="3" t="s">
        <v>450</v>
      </c>
      <c r="F90" s="6" t="s">
        <v>451</v>
      </c>
      <c r="G90" s="3" t="s">
        <v>452</v>
      </c>
      <c r="H90" s="3" t="s">
        <v>14</v>
      </c>
      <c r="I90" s="3" t="s">
        <v>6</v>
      </c>
      <c r="J90" s="3" t="s">
        <v>15</v>
      </c>
      <c r="K90" s="3" t="s">
        <v>453</v>
      </c>
      <c r="L90" s="3"/>
      <c r="M90" s="3"/>
      <c r="N90" s="3" t="s">
        <v>22</v>
      </c>
      <c r="O90" s="3"/>
      <c r="P90" s="3"/>
      <c r="Q90" s="4">
        <v>46060</v>
      </c>
      <c r="R90" s="5">
        <v>2561.11</v>
      </c>
      <c r="S90" s="3">
        <v>230</v>
      </c>
      <c r="T90" s="3"/>
      <c r="U90" s="3">
        <v>0</v>
      </c>
      <c r="V90" s="3" t="s">
        <v>8</v>
      </c>
      <c r="W90" s="5">
        <v>2714.77</v>
      </c>
      <c r="X90" s="5">
        <v>2714.77</v>
      </c>
      <c r="Y90" s="5">
        <v>2561.11</v>
      </c>
      <c r="Z90" s="3">
        <v>0</v>
      </c>
      <c r="AA90" s="3">
        <v>0</v>
      </c>
      <c r="AB90" s="5">
        <v>7990.65</v>
      </c>
      <c r="AC90"/>
      <c r="AD90" s="25" t="s">
        <v>1151</v>
      </c>
      <c r="AE90" s="25" t="s">
        <v>1162</v>
      </c>
      <c r="AF90" s="26">
        <v>2561.11</v>
      </c>
      <c r="AG90" s="32"/>
      <c r="AH90" s="19"/>
      <c r="AI90" s="5">
        <f>AF90</f>
        <v>2561.11</v>
      </c>
      <c r="AJ90" s="3"/>
      <c r="AK90" s="3"/>
    </row>
    <row r="91" spans="1:44" x14ac:dyDescent="0.25">
      <c r="A91">
        <v>84</v>
      </c>
      <c r="B91" s="10" t="s">
        <v>454</v>
      </c>
      <c r="C91" s="10"/>
      <c r="D91" s="3" t="s">
        <v>455</v>
      </c>
      <c r="E91" s="3" t="s">
        <v>456</v>
      </c>
      <c r="F91" s="3" t="s">
        <v>457</v>
      </c>
      <c r="G91" s="3" t="s">
        <v>458</v>
      </c>
      <c r="H91" s="3" t="s">
        <v>249</v>
      </c>
      <c r="I91" s="3" t="s">
        <v>6</v>
      </c>
      <c r="J91" s="3"/>
      <c r="K91" s="3" t="s">
        <v>459</v>
      </c>
      <c r="L91" s="3"/>
      <c r="M91" s="3"/>
      <c r="N91" s="3"/>
      <c r="O91" s="6" t="s">
        <v>460</v>
      </c>
      <c r="P91" s="3"/>
      <c r="Q91" s="4">
        <v>45811</v>
      </c>
      <c r="R91" s="5">
        <v>758.65</v>
      </c>
      <c r="S91" s="3">
        <v>17</v>
      </c>
      <c r="T91" s="3"/>
      <c r="U91" s="3">
        <v>0</v>
      </c>
      <c r="V91" s="3" t="s">
        <v>8</v>
      </c>
      <c r="W91" s="3">
        <v>0</v>
      </c>
      <c r="X91" s="3">
        <v>0</v>
      </c>
      <c r="Y91" s="3">
        <v>0</v>
      </c>
      <c r="Z91" s="3">
        <v>0</v>
      </c>
      <c r="AA91" s="5">
        <v>0</v>
      </c>
      <c r="AB91" s="5">
        <v>0</v>
      </c>
      <c r="AC91"/>
      <c r="AD91" s="25"/>
      <c r="AE91" s="25"/>
      <c r="AF91" s="25"/>
      <c r="AG91" s="32"/>
      <c r="AH91" s="18"/>
      <c r="AI91" s="3"/>
      <c r="AJ91" s="3"/>
      <c r="AK91" s="5"/>
    </row>
    <row r="92" spans="1:44" x14ac:dyDescent="0.25">
      <c r="A92">
        <v>85</v>
      </c>
      <c r="B92" s="10">
        <v>1133</v>
      </c>
      <c r="C92" s="10" t="s">
        <v>1058</v>
      </c>
      <c r="D92" s="3" t="s">
        <v>461</v>
      </c>
      <c r="E92" s="3" t="s">
        <v>462</v>
      </c>
      <c r="F92" s="6" t="s">
        <v>463</v>
      </c>
      <c r="G92" s="3" t="s">
        <v>464</v>
      </c>
      <c r="H92" s="3" t="s">
        <v>14</v>
      </c>
      <c r="I92" s="3" t="s">
        <v>6</v>
      </c>
      <c r="J92" s="3" t="s">
        <v>15</v>
      </c>
      <c r="K92" s="3" t="s">
        <v>465</v>
      </c>
      <c r="L92" s="3"/>
      <c r="M92" s="3"/>
      <c r="N92" s="3" t="s">
        <v>22</v>
      </c>
      <c r="O92" s="3"/>
      <c r="P92" s="3"/>
      <c r="Q92" s="4">
        <v>46052</v>
      </c>
      <c r="R92" s="5">
        <v>10102.219999999999</v>
      </c>
      <c r="S92" s="3">
        <v>129</v>
      </c>
      <c r="T92" s="3"/>
      <c r="U92" s="3">
        <v>0</v>
      </c>
      <c r="V92" s="3" t="s">
        <v>8</v>
      </c>
      <c r="W92" s="5">
        <v>10102.219999999999</v>
      </c>
      <c r="X92" s="3">
        <v>0</v>
      </c>
      <c r="Y92" s="3">
        <v>0</v>
      </c>
      <c r="Z92" s="3">
        <v>0</v>
      </c>
      <c r="AA92" s="3">
        <v>0</v>
      </c>
      <c r="AB92" s="5">
        <v>10102.219999999999</v>
      </c>
      <c r="AC92"/>
      <c r="AD92" s="25" t="s">
        <v>1165</v>
      </c>
      <c r="AE92" s="25" t="s">
        <v>1170</v>
      </c>
      <c r="AF92" s="26">
        <v>10102.219999999999</v>
      </c>
      <c r="AG92" s="33">
        <f>W92</f>
        <v>10102.219999999999</v>
      </c>
      <c r="AH92" s="18"/>
      <c r="AI92" s="3"/>
      <c r="AJ92" s="3"/>
      <c r="AK92" s="3"/>
    </row>
    <row r="93" spans="1:44" x14ac:dyDescent="0.25">
      <c r="A93">
        <v>86</v>
      </c>
      <c r="B93" s="10" t="s">
        <v>466</v>
      </c>
      <c r="C93" s="10" t="s">
        <v>1059</v>
      </c>
      <c r="D93" s="3" t="s">
        <v>467</v>
      </c>
      <c r="E93" s="3" t="s">
        <v>468</v>
      </c>
      <c r="F93" s="3" t="s">
        <v>469</v>
      </c>
      <c r="G93" s="3" t="s">
        <v>470</v>
      </c>
      <c r="H93" s="3" t="s">
        <v>14</v>
      </c>
      <c r="I93" s="3" t="s">
        <v>6</v>
      </c>
      <c r="J93" s="3"/>
      <c r="K93" s="3" t="s">
        <v>471</v>
      </c>
      <c r="L93" s="3"/>
      <c r="M93" s="3"/>
      <c r="N93" s="3" t="s">
        <v>22</v>
      </c>
      <c r="O93" s="3"/>
      <c r="P93" s="3"/>
      <c r="Q93" s="4">
        <v>46081</v>
      </c>
      <c r="R93" s="5">
        <v>1025.06</v>
      </c>
      <c r="S93" s="3">
        <v>51</v>
      </c>
      <c r="T93" s="3"/>
      <c r="U93" s="3">
        <v>0</v>
      </c>
      <c r="V93" s="3" t="s">
        <v>8</v>
      </c>
      <c r="W93" s="5">
        <v>646.30999999999995</v>
      </c>
      <c r="X93" s="3">
        <v>0</v>
      </c>
      <c r="Y93" s="3">
        <v>0</v>
      </c>
      <c r="Z93" s="3">
        <v>0</v>
      </c>
      <c r="AA93" s="3">
        <v>0</v>
      </c>
      <c r="AB93" s="5">
        <v>646.30999999999995</v>
      </c>
      <c r="AC93"/>
      <c r="AD93" s="25" t="s">
        <v>1201</v>
      </c>
      <c r="AE93" s="25" t="s">
        <v>1248</v>
      </c>
      <c r="AF93" s="26">
        <v>646.30999999999995</v>
      </c>
      <c r="AG93" s="33">
        <f>AF93</f>
        <v>646.30999999999995</v>
      </c>
      <c r="AH93" s="18"/>
      <c r="AI93" s="3"/>
      <c r="AJ93" s="3"/>
      <c r="AK93" s="3"/>
    </row>
    <row r="94" spans="1:44" x14ac:dyDescent="0.25">
      <c r="A94">
        <v>87</v>
      </c>
      <c r="B94" s="10" t="s">
        <v>472</v>
      </c>
      <c r="C94" s="10" t="s">
        <v>1060</v>
      </c>
      <c r="D94" s="3" t="s">
        <v>473</v>
      </c>
      <c r="E94" s="3" t="s">
        <v>474</v>
      </c>
      <c r="F94" s="3" t="s">
        <v>475</v>
      </c>
      <c r="G94" s="3" t="s">
        <v>476</v>
      </c>
      <c r="H94" s="3" t="s">
        <v>14</v>
      </c>
      <c r="I94" s="3" t="s">
        <v>6</v>
      </c>
      <c r="J94" s="3" t="s">
        <v>15</v>
      </c>
      <c r="K94" s="3" t="s">
        <v>477</v>
      </c>
      <c r="L94" s="3"/>
      <c r="M94" s="3"/>
      <c r="N94" s="3"/>
      <c r="O94" s="3"/>
      <c r="P94" s="3"/>
      <c r="Q94" s="4">
        <v>46081</v>
      </c>
      <c r="R94" s="5">
        <v>358.59</v>
      </c>
      <c r="S94" s="3">
        <v>40</v>
      </c>
      <c r="T94" s="3"/>
      <c r="U94" s="3">
        <v>0</v>
      </c>
      <c r="V94" s="3" t="s">
        <v>8</v>
      </c>
      <c r="W94" s="5">
        <v>358.59</v>
      </c>
      <c r="X94" s="3">
        <v>0</v>
      </c>
      <c r="Y94" s="3">
        <v>0</v>
      </c>
      <c r="Z94" s="3">
        <v>0</v>
      </c>
      <c r="AA94" s="3">
        <v>0</v>
      </c>
      <c r="AB94" s="5">
        <v>358.59</v>
      </c>
      <c r="AC94"/>
      <c r="AD94" s="25" t="s">
        <v>1201</v>
      </c>
      <c r="AE94" s="25" t="s">
        <v>1247</v>
      </c>
      <c r="AF94" s="26">
        <v>358.59</v>
      </c>
      <c r="AG94" s="33">
        <f>AF94</f>
        <v>358.59</v>
      </c>
      <c r="AH94" s="18"/>
      <c r="AI94" s="3"/>
      <c r="AJ94" s="3"/>
      <c r="AK94" s="3"/>
    </row>
    <row r="95" spans="1:44" s="43" customFormat="1" x14ac:dyDescent="0.25">
      <c r="A95">
        <v>88</v>
      </c>
      <c r="B95" s="10" t="s">
        <v>478</v>
      </c>
      <c r="C95" s="10" t="s">
        <v>1061</v>
      </c>
      <c r="D95" s="3" t="s">
        <v>479</v>
      </c>
      <c r="E95" s="3" t="s">
        <v>480</v>
      </c>
      <c r="F95" s="3" t="s">
        <v>481</v>
      </c>
      <c r="G95" s="3" t="s">
        <v>482</v>
      </c>
      <c r="H95" s="3" t="s">
        <v>14</v>
      </c>
      <c r="I95" s="3" t="s">
        <v>6</v>
      </c>
      <c r="J95" s="3" t="s">
        <v>33</v>
      </c>
      <c r="K95" s="3" t="s">
        <v>483</v>
      </c>
      <c r="L95" s="3"/>
      <c r="M95" s="3"/>
      <c r="N95" s="3"/>
      <c r="O95" s="3">
        <v>1600</v>
      </c>
      <c r="P95" s="3"/>
      <c r="Q95" s="4">
        <v>46080</v>
      </c>
      <c r="R95" s="5">
        <v>17493.34</v>
      </c>
      <c r="S95" s="3">
        <v>555</v>
      </c>
      <c r="T95" s="3"/>
      <c r="U95" s="3">
        <v>0</v>
      </c>
      <c r="V95" s="3" t="s">
        <v>8</v>
      </c>
      <c r="W95" s="5">
        <v>17493.34</v>
      </c>
      <c r="X95" s="3">
        <v>0</v>
      </c>
      <c r="Y95" s="3">
        <v>0</v>
      </c>
      <c r="Z95" s="3">
        <v>0</v>
      </c>
      <c r="AA95" s="3">
        <v>0</v>
      </c>
      <c r="AB95" s="5">
        <v>17493.34</v>
      </c>
      <c r="AC95"/>
      <c r="AD95" s="25" t="s">
        <v>1179</v>
      </c>
      <c r="AE95" s="25" t="s">
        <v>1180</v>
      </c>
      <c r="AF95" s="26">
        <v>17493.34</v>
      </c>
      <c r="AG95" s="33">
        <f>AF95</f>
        <v>17493.34</v>
      </c>
      <c r="AH95" s="18"/>
      <c r="AI95" s="3"/>
      <c r="AJ95" s="3"/>
      <c r="AK95" s="3"/>
      <c r="AL95"/>
      <c r="AM95"/>
      <c r="AN95"/>
      <c r="AO95"/>
      <c r="AP95"/>
      <c r="AQ95"/>
      <c r="AR95"/>
    </row>
    <row r="96" spans="1:44" x14ac:dyDescent="0.25">
      <c r="A96">
        <v>89</v>
      </c>
      <c r="B96" s="10" t="s">
        <v>484</v>
      </c>
      <c r="C96" s="10" t="s">
        <v>1062</v>
      </c>
      <c r="D96" s="3" t="s">
        <v>485</v>
      </c>
      <c r="E96" s="3" t="s">
        <v>486</v>
      </c>
      <c r="F96" s="3" t="s">
        <v>487</v>
      </c>
      <c r="G96" s="3" t="s">
        <v>488</v>
      </c>
      <c r="H96" s="3" t="s">
        <v>14</v>
      </c>
      <c r="I96" s="3" t="s">
        <v>6</v>
      </c>
      <c r="J96" s="3" t="s">
        <v>15</v>
      </c>
      <c r="K96" s="3" t="s">
        <v>489</v>
      </c>
      <c r="L96" s="3"/>
      <c r="M96" s="3"/>
      <c r="N96" s="3"/>
      <c r="O96" s="3">
        <v>8570</v>
      </c>
      <c r="P96" s="3"/>
      <c r="Q96" s="4">
        <v>46022</v>
      </c>
      <c r="R96" s="5">
        <v>1687.29</v>
      </c>
      <c r="S96" s="3">
        <v>204</v>
      </c>
      <c r="T96" s="3"/>
      <c r="U96" s="3">
        <v>0</v>
      </c>
      <c r="V96" s="3" t="s">
        <v>8</v>
      </c>
      <c r="W96" s="3">
        <v>0</v>
      </c>
      <c r="X96" s="3">
        <v>0</v>
      </c>
      <c r="Y96" s="5">
        <v>-0.01</v>
      </c>
      <c r="Z96" s="5">
        <v>-0.01</v>
      </c>
      <c r="AA96" s="3">
        <v>0.01</v>
      </c>
      <c r="AB96" s="5">
        <v>-0.01</v>
      </c>
      <c r="AC96"/>
      <c r="AD96" s="25"/>
      <c r="AE96" s="25"/>
      <c r="AF96" s="25"/>
      <c r="AG96" s="32"/>
      <c r="AH96" s="18"/>
      <c r="AI96" s="5"/>
      <c r="AJ96" s="5"/>
      <c r="AK96" s="3"/>
    </row>
    <row r="97" spans="1:37" x14ac:dyDescent="0.25">
      <c r="A97">
        <v>90</v>
      </c>
      <c r="B97" s="10" t="s">
        <v>490</v>
      </c>
      <c r="C97" s="10"/>
      <c r="D97" s="3" t="s">
        <v>491</v>
      </c>
      <c r="E97" s="3" t="s">
        <v>492</v>
      </c>
      <c r="F97" s="3"/>
      <c r="G97" s="3" t="s">
        <v>493</v>
      </c>
      <c r="H97" s="3" t="s">
        <v>328</v>
      </c>
      <c r="I97" s="3" t="s">
        <v>6</v>
      </c>
      <c r="J97" s="3"/>
      <c r="K97" s="3" t="s">
        <v>494</v>
      </c>
      <c r="L97" s="3"/>
      <c r="M97" s="3"/>
      <c r="N97" s="3" t="s">
        <v>22</v>
      </c>
      <c r="O97" s="3"/>
      <c r="P97" s="3"/>
      <c r="Q97" s="4">
        <v>45841</v>
      </c>
      <c r="R97" s="5">
        <v>-12749.13</v>
      </c>
      <c r="S97" s="3">
        <v>167</v>
      </c>
      <c r="T97" s="3"/>
      <c r="U97" s="3">
        <v>0</v>
      </c>
      <c r="V97" s="3" t="s">
        <v>8</v>
      </c>
      <c r="W97" s="3">
        <v>0</v>
      </c>
      <c r="X97" s="3">
        <v>0</v>
      </c>
      <c r="Y97" s="3">
        <v>0</v>
      </c>
      <c r="Z97" s="3">
        <v>0</v>
      </c>
      <c r="AA97" s="5">
        <v>50996.52</v>
      </c>
      <c r="AB97" s="5">
        <v>50996.52</v>
      </c>
      <c r="AC97"/>
      <c r="AD97" s="25"/>
      <c r="AE97" s="25"/>
      <c r="AF97" s="25"/>
      <c r="AG97" s="32"/>
      <c r="AH97" s="18"/>
      <c r="AI97" s="3"/>
      <c r="AJ97" s="3"/>
      <c r="AK97" s="5"/>
    </row>
    <row r="98" spans="1:37" x14ac:dyDescent="0.25">
      <c r="A98">
        <v>91</v>
      </c>
      <c r="B98" s="10" t="s">
        <v>495</v>
      </c>
      <c r="C98" s="10" t="s">
        <v>1063</v>
      </c>
      <c r="D98" s="3" t="s">
        <v>496</v>
      </c>
      <c r="E98" s="3" t="s">
        <v>314</v>
      </c>
      <c r="F98" s="3" t="s">
        <v>497</v>
      </c>
      <c r="G98" s="3" t="s">
        <v>316</v>
      </c>
      <c r="H98" s="3" t="s">
        <v>14</v>
      </c>
      <c r="I98" s="3" t="s">
        <v>6</v>
      </c>
      <c r="J98" s="3" t="s">
        <v>33</v>
      </c>
      <c r="K98" s="3" t="s">
        <v>498</v>
      </c>
      <c r="L98" s="3"/>
      <c r="M98" s="3"/>
      <c r="N98" s="3"/>
      <c r="O98" s="3">
        <v>2000</v>
      </c>
      <c r="P98" s="3"/>
      <c r="Q98" s="4">
        <v>46081</v>
      </c>
      <c r="R98" s="5">
        <v>2748.44</v>
      </c>
      <c r="S98" s="3">
        <v>359</v>
      </c>
      <c r="T98" s="3"/>
      <c r="U98" s="3">
        <v>0</v>
      </c>
      <c r="V98" s="3" t="s">
        <v>8</v>
      </c>
      <c r="W98" s="5">
        <v>19440.68</v>
      </c>
      <c r="X98" s="3">
        <v>0</v>
      </c>
      <c r="Y98" s="3">
        <v>0</v>
      </c>
      <c r="Z98" s="3">
        <v>0</v>
      </c>
      <c r="AA98" s="5">
        <v>-3.78</v>
      </c>
      <c r="AB98" s="5">
        <v>19436.900000000001</v>
      </c>
      <c r="AC98"/>
      <c r="AD98" s="25"/>
      <c r="AE98" s="25"/>
      <c r="AF98" s="25"/>
      <c r="AG98" s="32"/>
      <c r="AH98" s="18"/>
      <c r="AI98" s="3"/>
      <c r="AJ98" s="3"/>
      <c r="AK98" s="5"/>
    </row>
    <row r="99" spans="1:37" x14ac:dyDescent="0.25">
      <c r="A99">
        <v>92</v>
      </c>
      <c r="B99" s="10" t="s">
        <v>499</v>
      </c>
      <c r="C99" s="10" t="s">
        <v>1064</v>
      </c>
      <c r="D99" s="3" t="s">
        <v>500</v>
      </c>
      <c r="E99" s="3" t="s">
        <v>314</v>
      </c>
      <c r="F99" s="3" t="s">
        <v>501</v>
      </c>
      <c r="G99" s="3" t="s">
        <v>316</v>
      </c>
      <c r="H99" s="3" t="s">
        <v>14</v>
      </c>
      <c r="I99" s="3" t="s">
        <v>6</v>
      </c>
      <c r="J99" s="3" t="s">
        <v>33</v>
      </c>
      <c r="K99" s="3" t="s">
        <v>502</v>
      </c>
      <c r="L99" s="3"/>
      <c r="M99" s="3"/>
      <c r="N99" s="3"/>
      <c r="O99" s="3">
        <v>2000</v>
      </c>
      <c r="P99" s="3"/>
      <c r="Q99" s="4">
        <v>46081</v>
      </c>
      <c r="R99" s="5">
        <v>1212.6400000000001</v>
      </c>
      <c r="S99" s="3">
        <v>71</v>
      </c>
      <c r="T99" s="3" t="s">
        <v>503</v>
      </c>
      <c r="U99" s="3">
        <v>0</v>
      </c>
      <c r="V99" s="3" t="s">
        <v>8</v>
      </c>
      <c r="W99" s="5">
        <v>1212.6400000000001</v>
      </c>
      <c r="X99" s="3">
        <v>0</v>
      </c>
      <c r="Y99" s="3">
        <v>0</v>
      </c>
      <c r="Z99" s="3">
        <v>0</v>
      </c>
      <c r="AA99" s="3">
        <v>0</v>
      </c>
      <c r="AB99" s="5">
        <v>1212.6400000000001</v>
      </c>
      <c r="AC99"/>
      <c r="AD99" s="25"/>
      <c r="AE99" s="25"/>
      <c r="AF99" s="25"/>
      <c r="AG99" s="32"/>
      <c r="AH99" s="18"/>
      <c r="AI99" s="3"/>
      <c r="AJ99" s="3"/>
      <c r="AK99" s="3"/>
    </row>
    <row r="100" spans="1:37" x14ac:dyDescent="0.25">
      <c r="A100">
        <v>93</v>
      </c>
      <c r="B100" s="10" t="s">
        <v>504</v>
      </c>
      <c r="C100" s="10"/>
      <c r="D100" s="3" t="s">
        <v>505</v>
      </c>
      <c r="E100" s="3" t="s">
        <v>506</v>
      </c>
      <c r="F100" s="3"/>
      <c r="G100" s="3" t="s">
        <v>507</v>
      </c>
      <c r="H100" s="3" t="s">
        <v>14</v>
      </c>
      <c r="I100" s="3" t="s">
        <v>6</v>
      </c>
      <c r="J100" s="3"/>
      <c r="K100" s="3" t="s">
        <v>508</v>
      </c>
      <c r="L100" s="3"/>
      <c r="M100" s="3"/>
      <c r="N100" s="3" t="s">
        <v>22</v>
      </c>
      <c r="O100" s="3"/>
      <c r="P100" s="3"/>
      <c r="Q100" s="4">
        <v>46081</v>
      </c>
      <c r="R100" s="5">
        <v>3908.2</v>
      </c>
      <c r="S100" s="3">
        <v>227</v>
      </c>
      <c r="T100" s="3"/>
      <c r="U100" s="3">
        <v>0</v>
      </c>
      <c r="V100" s="3" t="s">
        <v>8</v>
      </c>
      <c r="W100" s="5">
        <v>3908.2</v>
      </c>
      <c r="X100" s="3">
        <v>0</v>
      </c>
      <c r="Y100" s="3">
        <v>0</v>
      </c>
      <c r="Z100" s="3">
        <v>0</v>
      </c>
      <c r="AA100" s="3">
        <v>0</v>
      </c>
      <c r="AB100" s="5">
        <v>3908.2</v>
      </c>
      <c r="AC100"/>
      <c r="AD100" s="25" t="s">
        <v>1201</v>
      </c>
      <c r="AE100" s="25" t="s">
        <v>1261</v>
      </c>
      <c r="AF100" s="26">
        <v>3908.2</v>
      </c>
      <c r="AG100" s="33">
        <f>AF100</f>
        <v>3908.2</v>
      </c>
      <c r="AH100" s="18"/>
      <c r="AI100" s="3"/>
      <c r="AJ100" s="3"/>
      <c r="AK100" s="3"/>
    </row>
    <row r="101" spans="1:37" x14ac:dyDescent="0.25">
      <c r="A101">
        <v>94</v>
      </c>
      <c r="B101" s="10" t="s">
        <v>509</v>
      </c>
      <c r="C101" s="10" t="s">
        <v>1065</v>
      </c>
      <c r="D101" s="3" t="s">
        <v>510</v>
      </c>
      <c r="E101" s="3" t="s">
        <v>30</v>
      </c>
      <c r="F101" s="3" t="s">
        <v>511</v>
      </c>
      <c r="G101" s="3" t="s">
        <v>512</v>
      </c>
      <c r="H101" s="3" t="s">
        <v>14</v>
      </c>
      <c r="I101" s="3" t="s">
        <v>6</v>
      </c>
      <c r="J101" s="3"/>
      <c r="K101" s="3" t="s">
        <v>513</v>
      </c>
      <c r="L101" s="3"/>
      <c r="M101" s="3"/>
      <c r="N101" s="3"/>
      <c r="O101" s="3"/>
      <c r="P101" s="3"/>
      <c r="Q101" s="4">
        <v>46053</v>
      </c>
      <c r="R101" s="5">
        <v>2870.02</v>
      </c>
      <c r="S101" s="3">
        <v>39</v>
      </c>
      <c r="T101" s="3"/>
      <c r="U101" s="3">
        <v>0</v>
      </c>
      <c r="V101" s="3" t="s">
        <v>8</v>
      </c>
      <c r="W101" s="5">
        <v>2870.02</v>
      </c>
      <c r="X101" s="3">
        <v>0</v>
      </c>
      <c r="Y101" s="3">
        <v>0</v>
      </c>
      <c r="Z101" s="3">
        <v>0</v>
      </c>
      <c r="AA101" s="3">
        <v>0</v>
      </c>
      <c r="AB101" s="5">
        <v>2870.02</v>
      </c>
      <c r="AC101"/>
      <c r="AD101" s="25" t="s">
        <v>1201</v>
      </c>
      <c r="AE101" s="25" t="s">
        <v>1259</v>
      </c>
      <c r="AF101" s="26">
        <v>2870.02</v>
      </c>
      <c r="AG101" s="33">
        <f>W101</f>
        <v>2870.02</v>
      </c>
      <c r="AH101" s="18"/>
      <c r="AI101" s="3"/>
      <c r="AJ101" s="3"/>
      <c r="AK101" s="3"/>
    </row>
    <row r="102" spans="1:37" x14ac:dyDescent="0.25">
      <c r="A102">
        <v>95</v>
      </c>
      <c r="B102" s="10">
        <v>1151</v>
      </c>
      <c r="C102" s="10" t="s">
        <v>1066</v>
      </c>
      <c r="D102" s="3" t="s">
        <v>514</v>
      </c>
      <c r="E102" s="3" t="s">
        <v>515</v>
      </c>
      <c r="F102" s="3" t="s">
        <v>516</v>
      </c>
      <c r="G102" s="3" t="s">
        <v>517</v>
      </c>
      <c r="H102" s="3" t="s">
        <v>14</v>
      </c>
      <c r="I102" s="3" t="s">
        <v>6</v>
      </c>
      <c r="J102" s="3"/>
      <c r="K102" s="3" t="s">
        <v>518</v>
      </c>
      <c r="L102" s="3"/>
      <c r="M102" s="3"/>
      <c r="N102" s="3" t="s">
        <v>22</v>
      </c>
      <c r="O102" s="3"/>
      <c r="P102" s="3"/>
      <c r="Q102" s="4">
        <v>46079</v>
      </c>
      <c r="R102" s="5">
        <v>2250.8200000000002</v>
      </c>
      <c r="S102" s="6" t="s">
        <v>519</v>
      </c>
      <c r="T102" s="3"/>
      <c r="U102" s="3">
        <v>0</v>
      </c>
      <c r="V102" s="3" t="s">
        <v>8</v>
      </c>
      <c r="W102" s="5">
        <v>10646.61</v>
      </c>
      <c r="X102" s="3">
        <v>0</v>
      </c>
      <c r="Y102" s="3">
        <v>0</v>
      </c>
      <c r="Z102" s="3">
        <v>0</v>
      </c>
      <c r="AA102" s="3">
        <v>0</v>
      </c>
      <c r="AB102" s="5">
        <v>10646.61</v>
      </c>
      <c r="AC102"/>
      <c r="AD102" s="25" t="s">
        <v>1201</v>
      </c>
      <c r="AE102" s="25" t="s">
        <v>1260</v>
      </c>
      <c r="AF102" s="26">
        <v>10682.05</v>
      </c>
      <c r="AG102" s="33">
        <f>AF102</f>
        <v>10682.05</v>
      </c>
      <c r="AH102" s="18"/>
      <c r="AI102" s="3"/>
      <c r="AJ102" s="3"/>
      <c r="AK102" s="3"/>
    </row>
    <row r="103" spans="1:37" x14ac:dyDescent="0.25">
      <c r="A103">
        <v>96</v>
      </c>
      <c r="B103" s="10" t="s">
        <v>520</v>
      </c>
      <c r="C103" s="10" t="s">
        <v>1067</v>
      </c>
      <c r="D103" s="3" t="s">
        <v>521</v>
      </c>
      <c r="E103" s="3" t="s">
        <v>522</v>
      </c>
      <c r="F103" s="3" t="s">
        <v>523</v>
      </c>
      <c r="G103" s="3" t="s">
        <v>524</v>
      </c>
      <c r="H103" s="3" t="s">
        <v>14</v>
      </c>
      <c r="I103" s="3" t="s">
        <v>6</v>
      </c>
      <c r="J103" s="3"/>
      <c r="K103" s="3" t="s">
        <v>525</v>
      </c>
      <c r="L103" s="3"/>
      <c r="M103" s="3"/>
      <c r="N103" s="3" t="s">
        <v>22</v>
      </c>
      <c r="O103" s="3"/>
      <c r="P103" s="3"/>
      <c r="Q103" s="4">
        <v>46078</v>
      </c>
      <c r="R103" s="5">
        <v>4897.21</v>
      </c>
      <c r="S103" s="3">
        <v>179</v>
      </c>
      <c r="T103" s="3"/>
      <c r="U103" s="3">
        <v>0</v>
      </c>
      <c r="V103" s="3" t="s">
        <v>8</v>
      </c>
      <c r="W103" s="5">
        <v>4012.77</v>
      </c>
      <c r="X103" s="3">
        <v>0</v>
      </c>
      <c r="Y103" s="3">
        <v>0</v>
      </c>
      <c r="Z103" s="3">
        <v>0</v>
      </c>
      <c r="AA103" s="3">
        <v>0</v>
      </c>
      <c r="AB103" s="5">
        <v>4012.77</v>
      </c>
      <c r="AC103"/>
      <c r="AD103" s="25" t="s">
        <v>1201</v>
      </c>
      <c r="AE103" s="25" t="s">
        <v>1262</v>
      </c>
      <c r="AF103" s="26">
        <v>4012.77</v>
      </c>
      <c r="AG103" s="33">
        <f>AF103</f>
        <v>4012.77</v>
      </c>
      <c r="AH103" s="18"/>
      <c r="AI103" s="3"/>
      <c r="AJ103" s="3"/>
      <c r="AK103" s="3"/>
    </row>
    <row r="104" spans="1:37" x14ac:dyDescent="0.25">
      <c r="A104">
        <v>97</v>
      </c>
      <c r="B104" s="10" t="s">
        <v>526</v>
      </c>
      <c r="C104" s="10" t="s">
        <v>1068</v>
      </c>
      <c r="D104" s="3" t="s">
        <v>527</v>
      </c>
      <c r="E104" s="3" t="s">
        <v>314</v>
      </c>
      <c r="F104" s="3" t="s">
        <v>528</v>
      </c>
      <c r="G104" s="3" t="s">
        <v>316</v>
      </c>
      <c r="H104" s="3" t="s">
        <v>14</v>
      </c>
      <c r="I104" s="3" t="s">
        <v>6</v>
      </c>
      <c r="J104" s="3" t="s">
        <v>33</v>
      </c>
      <c r="K104" s="3" t="s">
        <v>529</v>
      </c>
      <c r="L104" s="3"/>
      <c r="M104" s="3"/>
      <c r="N104" s="3"/>
      <c r="O104" s="3">
        <v>1422</v>
      </c>
      <c r="P104" s="3"/>
      <c r="Q104" s="4">
        <v>45930</v>
      </c>
      <c r="R104" s="5">
        <v>1207.5</v>
      </c>
      <c r="S104" s="3">
        <v>1339</v>
      </c>
      <c r="T104" s="3" t="s">
        <v>530</v>
      </c>
      <c r="U104" s="3">
        <v>0</v>
      </c>
      <c r="V104" s="3" t="s">
        <v>8</v>
      </c>
      <c r="W104" s="5">
        <v>28245.61</v>
      </c>
      <c r="X104" s="3">
        <v>0</v>
      </c>
      <c r="Y104" s="3">
        <v>0</v>
      </c>
      <c r="Z104" s="3">
        <v>0</v>
      </c>
      <c r="AA104" s="5">
        <v>-0.1</v>
      </c>
      <c r="AB104" s="5">
        <v>28245.51</v>
      </c>
      <c r="AC104"/>
      <c r="AD104" s="25"/>
      <c r="AE104" s="25"/>
      <c r="AF104" s="25"/>
      <c r="AG104" s="32"/>
      <c r="AH104" s="18"/>
      <c r="AI104" s="3"/>
      <c r="AJ104" s="3"/>
      <c r="AK104" s="5"/>
    </row>
    <row r="105" spans="1:37" x14ac:dyDescent="0.25">
      <c r="A105">
        <v>98</v>
      </c>
      <c r="B105" s="10" t="s">
        <v>531</v>
      </c>
      <c r="C105" s="10" t="s">
        <v>1069</v>
      </c>
      <c r="D105" s="3" t="s">
        <v>532</v>
      </c>
      <c r="E105" s="3" t="s">
        <v>314</v>
      </c>
      <c r="F105" s="3" t="s">
        <v>533</v>
      </c>
      <c r="G105" s="3" t="s">
        <v>316</v>
      </c>
      <c r="H105" s="3"/>
      <c r="I105" s="3" t="s">
        <v>6</v>
      </c>
      <c r="J105" s="3" t="s">
        <v>33</v>
      </c>
      <c r="K105" s="3" t="s">
        <v>534</v>
      </c>
      <c r="L105" s="3"/>
      <c r="M105" s="3"/>
      <c r="N105" s="3" t="s">
        <v>22</v>
      </c>
      <c r="O105" s="3"/>
      <c r="P105" s="3"/>
      <c r="Q105" s="4">
        <v>46081</v>
      </c>
      <c r="R105" s="5">
        <v>1212.6400000000001</v>
      </c>
      <c r="S105" s="3">
        <v>61</v>
      </c>
      <c r="T105" s="3"/>
      <c r="U105" s="3">
        <v>0</v>
      </c>
      <c r="V105" s="3" t="s">
        <v>8</v>
      </c>
      <c r="W105" s="5">
        <v>1212.6400000000001</v>
      </c>
      <c r="X105" s="3">
        <v>0</v>
      </c>
      <c r="Y105" s="3">
        <v>0</v>
      </c>
      <c r="Z105" s="3">
        <v>0</v>
      </c>
      <c r="AA105" s="3">
        <v>0</v>
      </c>
      <c r="AB105" s="5">
        <v>1212.6400000000001</v>
      </c>
      <c r="AC105"/>
      <c r="AD105" s="25"/>
      <c r="AE105" s="25"/>
      <c r="AF105" s="25"/>
      <c r="AG105" s="32"/>
      <c r="AH105" s="18"/>
      <c r="AI105" s="3"/>
      <c r="AJ105" s="3"/>
      <c r="AK105" s="3"/>
    </row>
    <row r="106" spans="1:37" x14ac:dyDescent="0.25">
      <c r="A106">
        <v>99</v>
      </c>
      <c r="B106" s="10" t="s">
        <v>535</v>
      </c>
      <c r="C106" s="10" t="s">
        <v>1070</v>
      </c>
      <c r="D106" s="3" t="s">
        <v>536</v>
      </c>
      <c r="E106" s="3" t="s">
        <v>314</v>
      </c>
      <c r="F106" s="3" t="s">
        <v>537</v>
      </c>
      <c r="G106" s="3" t="s">
        <v>316</v>
      </c>
      <c r="H106" s="3" t="s">
        <v>14</v>
      </c>
      <c r="I106" s="3" t="s">
        <v>6</v>
      </c>
      <c r="J106" s="3" t="s">
        <v>33</v>
      </c>
      <c r="K106" s="3" t="s">
        <v>538</v>
      </c>
      <c r="L106" s="3"/>
      <c r="M106" s="3"/>
      <c r="N106" s="3"/>
      <c r="O106" s="3">
        <v>2000</v>
      </c>
      <c r="P106" s="3"/>
      <c r="Q106" s="4">
        <v>46081</v>
      </c>
      <c r="R106" s="5">
        <v>6669.39</v>
      </c>
      <c r="S106" s="3">
        <v>127</v>
      </c>
      <c r="T106" s="3"/>
      <c r="U106" s="3">
        <v>0</v>
      </c>
      <c r="V106" s="3" t="s">
        <v>8</v>
      </c>
      <c r="W106" s="5">
        <v>7558.87</v>
      </c>
      <c r="X106" s="3">
        <v>0</v>
      </c>
      <c r="Y106" s="3">
        <v>0</v>
      </c>
      <c r="Z106" s="3">
        <v>0</v>
      </c>
      <c r="AA106" s="3">
        <v>0</v>
      </c>
      <c r="AB106" s="5">
        <v>7558.87</v>
      </c>
      <c r="AC106"/>
      <c r="AD106" s="25"/>
      <c r="AE106" s="25"/>
      <c r="AF106" s="25"/>
      <c r="AG106" s="32"/>
      <c r="AH106" s="18"/>
      <c r="AI106" s="3"/>
      <c r="AJ106" s="3"/>
      <c r="AK106" s="3"/>
    </row>
    <row r="107" spans="1:37" x14ac:dyDescent="0.25">
      <c r="A107">
        <v>100</v>
      </c>
      <c r="B107" s="10" t="s">
        <v>539</v>
      </c>
      <c r="C107" s="10" t="s">
        <v>1071</v>
      </c>
      <c r="D107" s="3" t="s">
        <v>540</v>
      </c>
      <c r="E107" s="3" t="s">
        <v>314</v>
      </c>
      <c r="F107" s="3" t="s">
        <v>541</v>
      </c>
      <c r="G107" s="3" t="s">
        <v>316</v>
      </c>
      <c r="H107" s="3" t="s">
        <v>14</v>
      </c>
      <c r="I107" s="3" t="s">
        <v>6</v>
      </c>
      <c r="J107" s="3" t="s">
        <v>33</v>
      </c>
      <c r="K107" s="3" t="s">
        <v>542</v>
      </c>
      <c r="L107" s="3"/>
      <c r="M107" s="3"/>
      <c r="N107" s="3"/>
      <c r="O107" s="3">
        <v>1508</v>
      </c>
      <c r="P107" s="3"/>
      <c r="Q107" s="4">
        <v>46081</v>
      </c>
      <c r="R107" s="5">
        <v>13064.4</v>
      </c>
      <c r="S107" s="3">
        <v>273</v>
      </c>
      <c r="T107" s="3" t="s">
        <v>543</v>
      </c>
      <c r="U107" s="3">
        <v>0</v>
      </c>
      <c r="V107" s="3" t="s">
        <v>8</v>
      </c>
      <c r="W107" s="5">
        <v>13064.4</v>
      </c>
      <c r="X107" s="3">
        <v>0</v>
      </c>
      <c r="Y107" s="3">
        <v>0</v>
      </c>
      <c r="Z107" s="3">
        <v>0</v>
      </c>
      <c r="AA107" s="5">
        <v>-0.06</v>
      </c>
      <c r="AB107" s="5">
        <v>13064.34</v>
      </c>
      <c r="AC107"/>
      <c r="AD107" s="25"/>
      <c r="AE107" s="25"/>
      <c r="AF107" s="25"/>
      <c r="AG107" s="32"/>
      <c r="AH107" s="18"/>
      <c r="AI107" s="3"/>
      <c r="AJ107" s="3"/>
      <c r="AK107" s="5"/>
    </row>
    <row r="108" spans="1:37" x14ac:dyDescent="0.25">
      <c r="A108">
        <v>101</v>
      </c>
      <c r="B108" s="10" t="s">
        <v>544</v>
      </c>
      <c r="C108" s="10" t="s">
        <v>1072</v>
      </c>
      <c r="D108" s="3" t="s">
        <v>545</v>
      </c>
      <c r="E108" s="3" t="s">
        <v>314</v>
      </c>
      <c r="F108" s="3" t="s">
        <v>533</v>
      </c>
      <c r="G108" s="3" t="s">
        <v>316</v>
      </c>
      <c r="H108" s="3" t="s">
        <v>14</v>
      </c>
      <c r="I108" s="3" t="s">
        <v>6</v>
      </c>
      <c r="J108" s="3" t="s">
        <v>33</v>
      </c>
      <c r="K108" s="3" t="s">
        <v>546</v>
      </c>
      <c r="L108" s="3"/>
      <c r="M108" s="3"/>
      <c r="N108" s="3"/>
      <c r="O108" s="3">
        <v>4110</v>
      </c>
      <c r="P108" s="3"/>
      <c r="Q108" s="4">
        <v>46081</v>
      </c>
      <c r="R108" s="5">
        <v>4495.95</v>
      </c>
      <c r="S108" s="3">
        <v>62</v>
      </c>
      <c r="T108" s="3"/>
      <c r="U108" s="3">
        <v>0</v>
      </c>
      <c r="V108" s="3" t="s">
        <v>8</v>
      </c>
      <c r="W108" s="5">
        <v>4495.91</v>
      </c>
      <c r="X108" s="3">
        <v>0</v>
      </c>
      <c r="Y108" s="3">
        <v>0</v>
      </c>
      <c r="Z108" s="3">
        <v>0</v>
      </c>
      <c r="AA108" s="3">
        <v>0</v>
      </c>
      <c r="AB108" s="5">
        <v>4495.91</v>
      </c>
      <c r="AC108"/>
      <c r="AD108" s="25"/>
      <c r="AE108" s="25"/>
      <c r="AF108" s="25"/>
      <c r="AG108" s="32"/>
      <c r="AH108" s="18"/>
      <c r="AI108" s="3"/>
      <c r="AJ108" s="3"/>
      <c r="AK108" s="3"/>
    </row>
    <row r="109" spans="1:37" x14ac:dyDescent="0.25">
      <c r="A109">
        <v>102</v>
      </c>
      <c r="B109" s="10" t="s">
        <v>547</v>
      </c>
      <c r="C109" s="10" t="s">
        <v>1073</v>
      </c>
      <c r="D109" s="3" t="s">
        <v>548</v>
      </c>
      <c r="E109" s="3" t="s">
        <v>314</v>
      </c>
      <c r="F109" s="3" t="s">
        <v>549</v>
      </c>
      <c r="G109" s="3" t="s">
        <v>316</v>
      </c>
      <c r="H109" s="3" t="s">
        <v>14</v>
      </c>
      <c r="I109" s="3" t="s">
        <v>6</v>
      </c>
      <c r="J109" s="3" t="s">
        <v>33</v>
      </c>
      <c r="K109" s="3" t="s">
        <v>550</v>
      </c>
      <c r="L109" s="3"/>
      <c r="M109" s="3"/>
      <c r="N109" s="3"/>
      <c r="O109" s="3">
        <v>9300</v>
      </c>
      <c r="P109" s="3"/>
      <c r="Q109" s="4">
        <v>46081</v>
      </c>
      <c r="R109" s="5">
        <v>15462.71</v>
      </c>
      <c r="S109" s="3">
        <v>284</v>
      </c>
      <c r="T109" s="3"/>
      <c r="U109" s="3">
        <v>0</v>
      </c>
      <c r="V109" s="3" t="s">
        <v>8</v>
      </c>
      <c r="W109" s="5">
        <v>15462.71</v>
      </c>
      <c r="X109" s="3">
        <v>0</v>
      </c>
      <c r="Y109" s="3">
        <v>0.01</v>
      </c>
      <c r="Z109" s="3">
        <v>0</v>
      </c>
      <c r="AA109" s="5">
        <v>-0.08</v>
      </c>
      <c r="AB109" s="5">
        <v>15462.64</v>
      </c>
      <c r="AC109"/>
      <c r="AD109" s="25"/>
      <c r="AE109" s="25"/>
      <c r="AF109" s="25"/>
      <c r="AG109" s="32"/>
      <c r="AH109" s="18"/>
      <c r="AI109" s="3"/>
      <c r="AJ109" s="3"/>
      <c r="AK109" s="5"/>
    </row>
    <row r="110" spans="1:37" x14ac:dyDescent="0.25">
      <c r="A110">
        <v>103</v>
      </c>
      <c r="B110" s="10" t="s">
        <v>551</v>
      </c>
      <c r="C110" s="10"/>
      <c r="D110" s="3" t="s">
        <v>552</v>
      </c>
      <c r="E110" s="3" t="s">
        <v>314</v>
      </c>
      <c r="F110" s="3" t="s">
        <v>553</v>
      </c>
      <c r="G110" s="3" t="s">
        <v>316</v>
      </c>
      <c r="H110" s="3" t="s">
        <v>14</v>
      </c>
      <c r="I110" s="3" t="s">
        <v>6</v>
      </c>
      <c r="J110" s="3" t="s">
        <v>33</v>
      </c>
      <c r="K110" s="3" t="s">
        <v>554</v>
      </c>
      <c r="L110" s="3"/>
      <c r="M110" s="3"/>
      <c r="N110" s="3"/>
      <c r="O110" s="3">
        <v>1960</v>
      </c>
      <c r="P110" s="3"/>
      <c r="Q110" s="4">
        <v>46081</v>
      </c>
      <c r="R110" s="5">
        <v>6778.22</v>
      </c>
      <c r="S110" s="3">
        <v>183</v>
      </c>
      <c r="T110" s="3"/>
      <c r="U110" s="3">
        <v>0</v>
      </c>
      <c r="V110" s="3" t="s">
        <v>8</v>
      </c>
      <c r="W110" s="5">
        <v>14691.38</v>
      </c>
      <c r="X110" s="3">
        <v>0</v>
      </c>
      <c r="Y110" s="3">
        <v>0</v>
      </c>
      <c r="Z110" s="3">
        <v>0</v>
      </c>
      <c r="AA110" s="3">
        <v>0</v>
      </c>
      <c r="AB110" s="5">
        <v>14691.38</v>
      </c>
      <c r="AC110"/>
      <c r="AD110" s="25"/>
      <c r="AE110" s="25"/>
      <c r="AF110" s="25"/>
      <c r="AG110" s="32"/>
      <c r="AH110" s="18"/>
      <c r="AI110" s="3"/>
      <c r="AJ110" s="3"/>
      <c r="AK110" s="3"/>
    </row>
    <row r="111" spans="1:37" x14ac:dyDescent="0.25">
      <c r="A111">
        <v>104</v>
      </c>
      <c r="B111" s="10" t="s">
        <v>555</v>
      </c>
      <c r="C111" s="10" t="s">
        <v>1074</v>
      </c>
      <c r="D111" s="3" t="s">
        <v>556</v>
      </c>
      <c r="E111" s="3" t="s">
        <v>314</v>
      </c>
      <c r="F111" s="3" t="s">
        <v>557</v>
      </c>
      <c r="G111" s="3" t="s">
        <v>316</v>
      </c>
      <c r="H111" s="3" t="s">
        <v>14</v>
      </c>
      <c r="I111" s="3" t="s">
        <v>6</v>
      </c>
      <c r="J111" s="3" t="s">
        <v>33</v>
      </c>
      <c r="K111" s="3" t="s">
        <v>558</v>
      </c>
      <c r="L111" s="3"/>
      <c r="M111" s="3"/>
      <c r="N111" s="3"/>
      <c r="O111" s="3">
        <v>7535</v>
      </c>
      <c r="P111" s="3"/>
      <c r="Q111" s="4">
        <v>46081</v>
      </c>
      <c r="R111" s="5">
        <v>23815.02</v>
      </c>
      <c r="S111" s="3">
        <v>290</v>
      </c>
      <c r="T111" s="3" t="s">
        <v>559</v>
      </c>
      <c r="U111" s="3">
        <v>0</v>
      </c>
      <c r="V111" s="3" t="s">
        <v>8</v>
      </c>
      <c r="W111" s="5">
        <v>23815.02</v>
      </c>
      <c r="X111" s="3">
        <v>0</v>
      </c>
      <c r="Y111" s="3">
        <v>0</v>
      </c>
      <c r="Z111" s="3">
        <v>0</v>
      </c>
      <c r="AA111" s="3">
        <v>0</v>
      </c>
      <c r="AB111" s="5">
        <v>23815.02</v>
      </c>
      <c r="AC111"/>
      <c r="AD111" s="25"/>
      <c r="AE111" s="25"/>
      <c r="AF111" s="25"/>
      <c r="AG111" s="32"/>
      <c r="AH111" s="18"/>
      <c r="AI111" s="3"/>
      <c r="AJ111" s="3"/>
      <c r="AK111" s="3"/>
    </row>
    <row r="112" spans="1:37" x14ac:dyDescent="0.25">
      <c r="A112">
        <v>105</v>
      </c>
      <c r="B112" s="10" t="s">
        <v>560</v>
      </c>
      <c r="C112" s="10" t="s">
        <v>1075</v>
      </c>
      <c r="D112" s="3" t="s">
        <v>561</v>
      </c>
      <c r="E112" s="3" t="s">
        <v>314</v>
      </c>
      <c r="F112" s="3" t="s">
        <v>533</v>
      </c>
      <c r="G112" s="3" t="s">
        <v>316</v>
      </c>
      <c r="H112" s="3" t="s">
        <v>14</v>
      </c>
      <c r="I112" s="3" t="s">
        <v>6</v>
      </c>
      <c r="J112" s="3" t="s">
        <v>33</v>
      </c>
      <c r="K112" s="3" t="s">
        <v>546</v>
      </c>
      <c r="L112" s="3"/>
      <c r="M112" s="3"/>
      <c r="N112" s="3"/>
      <c r="O112" s="3">
        <v>4000</v>
      </c>
      <c r="P112" s="3"/>
      <c r="Q112" s="4">
        <v>46081</v>
      </c>
      <c r="R112" s="5">
        <v>3314.76</v>
      </c>
      <c r="S112" s="3">
        <v>216</v>
      </c>
      <c r="T112" s="3" t="s">
        <v>562</v>
      </c>
      <c r="U112" s="3">
        <v>0</v>
      </c>
      <c r="V112" s="3" t="s">
        <v>8</v>
      </c>
      <c r="W112" s="5">
        <v>30561.75</v>
      </c>
      <c r="X112" s="3">
        <v>0.01</v>
      </c>
      <c r="Y112" s="3">
        <v>0.01</v>
      </c>
      <c r="Z112" s="3">
        <v>0.01</v>
      </c>
      <c r="AA112" s="3">
        <v>0.01</v>
      </c>
      <c r="AB112" s="5">
        <v>30561.79</v>
      </c>
      <c r="AC112"/>
      <c r="AD112" s="25"/>
      <c r="AE112" s="25"/>
      <c r="AF112" s="25"/>
      <c r="AG112" s="32"/>
      <c r="AH112" s="18"/>
      <c r="AI112" s="3"/>
      <c r="AJ112" s="3"/>
      <c r="AK112" s="3"/>
    </row>
    <row r="113" spans="1:37" x14ac:dyDescent="0.25">
      <c r="A113">
        <v>106</v>
      </c>
      <c r="B113" s="10" t="s">
        <v>563</v>
      </c>
      <c r="C113" s="10" t="s">
        <v>1076</v>
      </c>
      <c r="D113" s="3" t="s">
        <v>564</v>
      </c>
      <c r="E113" s="3" t="s">
        <v>314</v>
      </c>
      <c r="F113" s="3" t="s">
        <v>541</v>
      </c>
      <c r="G113" s="3" t="s">
        <v>316</v>
      </c>
      <c r="H113" s="3" t="s">
        <v>14</v>
      </c>
      <c r="I113" s="3" t="s">
        <v>6</v>
      </c>
      <c r="J113" s="3" t="s">
        <v>33</v>
      </c>
      <c r="K113" s="3" t="s">
        <v>565</v>
      </c>
      <c r="L113" s="3"/>
      <c r="M113" s="3"/>
      <c r="N113" s="3"/>
      <c r="O113" s="3">
        <v>2000</v>
      </c>
      <c r="P113" s="3"/>
      <c r="Q113" s="4">
        <v>46081</v>
      </c>
      <c r="R113" s="5">
        <v>62304.67</v>
      </c>
      <c r="S113" s="3">
        <v>463</v>
      </c>
      <c r="T113" s="3" t="s">
        <v>566</v>
      </c>
      <c r="U113" s="3">
        <v>0</v>
      </c>
      <c r="V113" s="3" t="s">
        <v>8</v>
      </c>
      <c r="W113" s="5">
        <v>62304.639999999999</v>
      </c>
      <c r="X113" s="3">
        <v>0</v>
      </c>
      <c r="Y113" s="3">
        <v>0</v>
      </c>
      <c r="Z113" s="3">
        <v>0</v>
      </c>
      <c r="AA113" s="5">
        <v>-0.38</v>
      </c>
      <c r="AB113" s="5">
        <v>62304.26</v>
      </c>
      <c r="AC113"/>
      <c r="AD113" s="25"/>
      <c r="AE113" s="25"/>
      <c r="AF113" s="25"/>
      <c r="AG113" s="32"/>
      <c r="AH113" s="18"/>
      <c r="AI113" s="3"/>
      <c r="AJ113" s="3"/>
      <c r="AK113" s="5"/>
    </row>
    <row r="114" spans="1:37" x14ac:dyDescent="0.25">
      <c r="A114">
        <v>107</v>
      </c>
      <c r="B114" s="10" t="s">
        <v>567</v>
      </c>
      <c r="C114" s="10" t="s">
        <v>1077</v>
      </c>
      <c r="D114" s="3" t="s">
        <v>568</v>
      </c>
      <c r="E114" s="3" t="s">
        <v>314</v>
      </c>
      <c r="F114" s="3" t="s">
        <v>569</v>
      </c>
      <c r="G114" s="3" t="s">
        <v>316</v>
      </c>
      <c r="H114" s="3" t="s">
        <v>14</v>
      </c>
      <c r="I114" s="3" t="s">
        <v>6</v>
      </c>
      <c r="J114" s="3"/>
      <c r="K114" s="3" t="s">
        <v>570</v>
      </c>
      <c r="L114" s="3"/>
      <c r="M114" s="3"/>
      <c r="N114" s="3"/>
      <c r="O114" s="3">
        <v>2000</v>
      </c>
      <c r="P114" s="3"/>
      <c r="Q114" s="4">
        <v>46081</v>
      </c>
      <c r="R114" s="5">
        <v>4091.06</v>
      </c>
      <c r="S114" s="3">
        <v>414</v>
      </c>
      <c r="T114" s="3"/>
      <c r="U114" s="3">
        <v>0</v>
      </c>
      <c r="V114" s="3" t="s">
        <v>8</v>
      </c>
      <c r="W114" s="5">
        <v>3646.31</v>
      </c>
      <c r="X114" s="3">
        <v>0</v>
      </c>
      <c r="Y114" s="3">
        <v>0</v>
      </c>
      <c r="Z114" s="3">
        <v>0</v>
      </c>
      <c r="AA114" s="3">
        <v>0.04</v>
      </c>
      <c r="AB114" s="5">
        <v>3646.35</v>
      </c>
      <c r="AC114"/>
      <c r="AD114" s="25"/>
      <c r="AE114" s="25"/>
      <c r="AF114" s="25"/>
      <c r="AG114" s="32"/>
      <c r="AH114" s="18"/>
      <c r="AI114" s="3"/>
      <c r="AJ114" s="3"/>
      <c r="AK114" s="3"/>
    </row>
    <row r="115" spans="1:37" x14ac:dyDescent="0.25">
      <c r="A115">
        <v>108</v>
      </c>
      <c r="B115" s="10" t="s">
        <v>571</v>
      </c>
      <c r="C115" s="10" t="s">
        <v>1078</v>
      </c>
      <c r="D115" s="3" t="s">
        <v>572</v>
      </c>
      <c r="E115" s="3" t="s">
        <v>314</v>
      </c>
      <c r="F115" s="3" t="s">
        <v>541</v>
      </c>
      <c r="G115" s="3" t="s">
        <v>316</v>
      </c>
      <c r="H115" s="3" t="s">
        <v>14</v>
      </c>
      <c r="I115" s="3" t="s">
        <v>6</v>
      </c>
      <c r="J115" s="3" t="s">
        <v>33</v>
      </c>
      <c r="K115" s="3" t="s">
        <v>573</v>
      </c>
      <c r="L115" s="3"/>
      <c r="M115" s="3"/>
      <c r="N115" s="3"/>
      <c r="O115" s="3">
        <v>1390</v>
      </c>
      <c r="P115" s="3"/>
      <c r="Q115" s="4">
        <v>46081</v>
      </c>
      <c r="R115" s="5">
        <v>4051.17</v>
      </c>
      <c r="S115" s="3">
        <v>166</v>
      </c>
      <c r="T115" s="3" t="s">
        <v>574</v>
      </c>
      <c r="U115" s="3">
        <v>0</v>
      </c>
      <c r="V115" s="3" t="s">
        <v>8</v>
      </c>
      <c r="W115" s="5">
        <v>4051.17</v>
      </c>
      <c r="X115" s="3">
        <v>0</v>
      </c>
      <c r="Y115" s="3">
        <v>0</v>
      </c>
      <c r="Z115" s="3">
        <v>0</v>
      </c>
      <c r="AA115" s="3">
        <v>0</v>
      </c>
      <c r="AB115" s="5">
        <v>4051.17</v>
      </c>
      <c r="AC115"/>
      <c r="AD115" s="25"/>
      <c r="AE115" s="25"/>
      <c r="AF115" s="25"/>
      <c r="AG115" s="32"/>
      <c r="AH115" s="18"/>
      <c r="AI115" s="3"/>
      <c r="AJ115" s="3"/>
      <c r="AK115" s="3"/>
    </row>
    <row r="116" spans="1:37" x14ac:dyDescent="0.25">
      <c r="A116">
        <v>109</v>
      </c>
      <c r="B116" s="10" t="s">
        <v>575</v>
      </c>
      <c r="C116" s="10" t="s">
        <v>30</v>
      </c>
      <c r="D116" s="3" t="s">
        <v>576</v>
      </c>
      <c r="E116" s="3" t="s">
        <v>314</v>
      </c>
      <c r="F116" s="3" t="s">
        <v>577</v>
      </c>
      <c r="G116" s="3" t="s">
        <v>316</v>
      </c>
      <c r="H116" s="3" t="s">
        <v>14</v>
      </c>
      <c r="I116" s="3" t="s">
        <v>6</v>
      </c>
      <c r="J116" s="3" t="s">
        <v>33</v>
      </c>
      <c r="K116" s="3" t="s">
        <v>578</v>
      </c>
      <c r="L116" s="3"/>
      <c r="M116" s="3"/>
      <c r="N116" s="3"/>
      <c r="O116" s="3">
        <v>1422</v>
      </c>
      <c r="P116" s="3"/>
      <c r="Q116" s="4">
        <v>46081</v>
      </c>
      <c r="R116" s="5">
        <v>10931.65</v>
      </c>
      <c r="S116" s="3">
        <v>240</v>
      </c>
      <c r="T116" s="3" t="s">
        <v>579</v>
      </c>
      <c r="U116" s="3">
        <v>0</v>
      </c>
      <c r="V116" s="3" t="s">
        <v>8</v>
      </c>
      <c r="W116" s="5">
        <v>10931.65</v>
      </c>
      <c r="X116" s="3">
        <v>0</v>
      </c>
      <c r="Y116" s="3">
        <v>0</v>
      </c>
      <c r="Z116" s="3">
        <v>0</v>
      </c>
      <c r="AA116" s="5">
        <v>-0.02</v>
      </c>
      <c r="AB116" s="5">
        <v>10931.63</v>
      </c>
      <c r="AC116"/>
      <c r="AD116" s="25"/>
      <c r="AE116" s="25"/>
      <c r="AF116" s="25"/>
      <c r="AG116" s="32"/>
      <c r="AH116" s="18"/>
      <c r="AI116" s="3"/>
      <c r="AJ116" s="3"/>
      <c r="AK116" s="5"/>
    </row>
    <row r="117" spans="1:37" x14ac:dyDescent="0.25">
      <c r="A117">
        <v>110</v>
      </c>
      <c r="B117" s="10" t="s">
        <v>580</v>
      </c>
      <c r="C117" s="10" t="s">
        <v>1080</v>
      </c>
      <c r="D117" s="3" t="s">
        <v>581</v>
      </c>
      <c r="E117" s="3" t="s">
        <v>314</v>
      </c>
      <c r="F117" s="3" t="s">
        <v>582</v>
      </c>
      <c r="G117" s="3" t="s">
        <v>316</v>
      </c>
      <c r="H117" s="3" t="s">
        <v>14</v>
      </c>
      <c r="I117" s="3" t="s">
        <v>6</v>
      </c>
      <c r="J117" s="3" t="s">
        <v>33</v>
      </c>
      <c r="K117" s="3" t="s">
        <v>583</v>
      </c>
      <c r="L117" s="3"/>
      <c r="M117" s="3"/>
      <c r="N117" s="3"/>
      <c r="O117" s="3">
        <v>6000</v>
      </c>
      <c r="P117" s="3"/>
      <c r="Q117" s="4">
        <v>46081</v>
      </c>
      <c r="R117" s="5">
        <v>8642.8799999999992</v>
      </c>
      <c r="S117" s="3">
        <v>239</v>
      </c>
      <c r="T117" s="3"/>
      <c r="U117" s="3">
        <v>0</v>
      </c>
      <c r="V117" s="3" t="s">
        <v>8</v>
      </c>
      <c r="W117" s="5">
        <v>8642.89</v>
      </c>
      <c r="X117" s="3">
        <v>0</v>
      </c>
      <c r="Y117" s="3">
        <v>0</v>
      </c>
      <c r="Z117" s="3">
        <v>0</v>
      </c>
      <c r="AA117" s="5">
        <v>-0.39</v>
      </c>
      <c r="AB117" s="5">
        <v>8642.5</v>
      </c>
      <c r="AC117"/>
      <c r="AD117" s="25"/>
      <c r="AE117" s="25"/>
      <c r="AF117" s="25"/>
      <c r="AG117" s="32"/>
      <c r="AH117" s="18"/>
      <c r="AI117" s="3"/>
      <c r="AJ117" s="3"/>
      <c r="AK117" s="5"/>
    </row>
    <row r="118" spans="1:37" x14ac:dyDescent="0.25">
      <c r="A118">
        <v>111</v>
      </c>
      <c r="B118" s="10" t="s">
        <v>584</v>
      </c>
      <c r="C118" s="10" t="s">
        <v>1079</v>
      </c>
      <c r="D118" s="3" t="s">
        <v>585</v>
      </c>
      <c r="E118" s="3" t="s">
        <v>314</v>
      </c>
      <c r="F118" s="3" t="s">
        <v>586</v>
      </c>
      <c r="G118" s="3" t="s">
        <v>316</v>
      </c>
      <c r="H118" s="3" t="s">
        <v>14</v>
      </c>
      <c r="I118" s="3" t="s">
        <v>6</v>
      </c>
      <c r="J118" s="3" t="s">
        <v>33</v>
      </c>
      <c r="K118" s="3" t="s">
        <v>587</v>
      </c>
      <c r="L118" s="3"/>
      <c r="M118" s="3"/>
      <c r="N118" s="3"/>
      <c r="O118" s="3">
        <v>1467</v>
      </c>
      <c r="P118" s="3"/>
      <c r="Q118" s="4">
        <v>46081</v>
      </c>
      <c r="R118" s="5">
        <v>19058.46</v>
      </c>
      <c r="S118" s="3">
        <v>357</v>
      </c>
      <c r="T118" s="3"/>
      <c r="U118" s="3">
        <v>0</v>
      </c>
      <c r="V118" s="3" t="s">
        <v>8</v>
      </c>
      <c r="W118" s="5">
        <v>18613.72</v>
      </c>
      <c r="X118" s="3">
        <v>0</v>
      </c>
      <c r="Y118" s="3">
        <v>0</v>
      </c>
      <c r="Z118" s="3">
        <v>0</v>
      </c>
      <c r="AA118" s="3">
        <v>0</v>
      </c>
      <c r="AB118" s="5">
        <v>18613.72</v>
      </c>
      <c r="AC118"/>
      <c r="AD118" s="25"/>
      <c r="AE118" s="25"/>
      <c r="AF118" s="25"/>
      <c r="AG118" s="32"/>
      <c r="AH118" s="18"/>
      <c r="AI118" s="3"/>
      <c r="AJ118" s="3"/>
      <c r="AK118" s="3"/>
    </row>
    <row r="119" spans="1:37" x14ac:dyDescent="0.25">
      <c r="A119">
        <v>112</v>
      </c>
      <c r="B119" s="10" t="s">
        <v>588</v>
      </c>
      <c r="C119" s="10" t="s">
        <v>1081</v>
      </c>
      <c r="D119" s="3" t="s">
        <v>589</v>
      </c>
      <c r="E119" s="3" t="s">
        <v>590</v>
      </c>
      <c r="F119" s="3" t="s">
        <v>591</v>
      </c>
      <c r="G119" s="3" t="s">
        <v>592</v>
      </c>
      <c r="H119" s="3" t="s">
        <v>14</v>
      </c>
      <c r="I119" s="3" t="s">
        <v>6</v>
      </c>
      <c r="J119" s="3" t="s">
        <v>15</v>
      </c>
      <c r="K119" s="3" t="s">
        <v>593</v>
      </c>
      <c r="L119" s="3"/>
      <c r="M119" s="3"/>
      <c r="N119" s="3"/>
      <c r="O119" s="3">
        <v>1457</v>
      </c>
      <c r="P119" s="3"/>
      <c r="Q119" s="4">
        <v>46081</v>
      </c>
      <c r="R119" s="5">
        <v>65469.06</v>
      </c>
      <c r="S119" s="3">
        <v>168</v>
      </c>
      <c r="T119" s="3" t="s">
        <v>594</v>
      </c>
      <c r="U119" s="3">
        <v>0</v>
      </c>
      <c r="V119" s="3" t="s">
        <v>8</v>
      </c>
      <c r="W119" s="5">
        <v>65469.06</v>
      </c>
      <c r="X119" s="3">
        <v>0</v>
      </c>
      <c r="Y119" s="3">
        <v>0</v>
      </c>
      <c r="Z119" s="3">
        <v>0</v>
      </c>
      <c r="AA119" s="3">
        <v>0</v>
      </c>
      <c r="AB119" s="5">
        <v>65469.06</v>
      </c>
      <c r="AC119"/>
      <c r="AD119" s="25" t="s">
        <v>1201</v>
      </c>
      <c r="AE119" s="25" t="s">
        <v>1268</v>
      </c>
      <c r="AF119" s="26">
        <v>65469.06</v>
      </c>
      <c r="AG119" s="33">
        <f>AF119</f>
        <v>65469.06</v>
      </c>
      <c r="AH119" s="18"/>
      <c r="AI119" s="3"/>
      <c r="AJ119" s="3"/>
      <c r="AK119" s="3"/>
    </row>
    <row r="120" spans="1:37" x14ac:dyDescent="0.25">
      <c r="A120">
        <v>113</v>
      </c>
      <c r="B120" s="10" t="s">
        <v>595</v>
      </c>
      <c r="C120" s="10" t="s">
        <v>1082</v>
      </c>
      <c r="D120" s="3" t="s">
        <v>596</v>
      </c>
      <c r="E120" s="3" t="s">
        <v>597</v>
      </c>
      <c r="F120" s="3" t="s">
        <v>598</v>
      </c>
      <c r="G120" s="3" t="s">
        <v>599</v>
      </c>
      <c r="H120" s="3" t="s">
        <v>14</v>
      </c>
      <c r="I120" s="3" t="s">
        <v>6</v>
      </c>
      <c r="J120" s="3" t="s">
        <v>15</v>
      </c>
      <c r="K120" s="3" t="s">
        <v>600</v>
      </c>
      <c r="L120" s="3"/>
      <c r="M120" s="3"/>
      <c r="N120" s="3"/>
      <c r="O120" s="3">
        <v>9460</v>
      </c>
      <c r="P120" s="3"/>
      <c r="Q120" s="4">
        <v>46081</v>
      </c>
      <c r="R120" s="5">
        <v>175.18</v>
      </c>
      <c r="S120" s="3">
        <v>27</v>
      </c>
      <c r="T120" s="3" t="s">
        <v>601</v>
      </c>
      <c r="U120" s="3">
        <v>0</v>
      </c>
      <c r="V120" s="3" t="s">
        <v>8</v>
      </c>
      <c r="W120" s="5">
        <v>175.18</v>
      </c>
      <c r="X120" s="3">
        <v>0</v>
      </c>
      <c r="Y120" s="3">
        <v>0</v>
      </c>
      <c r="Z120" s="3">
        <v>0</v>
      </c>
      <c r="AA120" s="3">
        <v>0</v>
      </c>
      <c r="AB120" s="5">
        <v>175.18</v>
      </c>
      <c r="AC120"/>
      <c r="AD120" s="25"/>
      <c r="AE120" s="25"/>
      <c r="AF120" s="25"/>
      <c r="AG120" s="32"/>
      <c r="AH120" s="18"/>
      <c r="AI120" s="3"/>
      <c r="AJ120" s="3"/>
      <c r="AK120" s="3"/>
    </row>
    <row r="121" spans="1:37" x14ac:dyDescent="0.25">
      <c r="A121">
        <v>114</v>
      </c>
      <c r="B121" s="10" t="s">
        <v>602</v>
      </c>
      <c r="C121" s="10" t="s">
        <v>1083</v>
      </c>
      <c r="D121" s="3" t="s">
        <v>603</v>
      </c>
      <c r="E121" s="3" t="s">
        <v>603</v>
      </c>
      <c r="F121" s="3"/>
      <c r="G121" s="3" t="s">
        <v>604</v>
      </c>
      <c r="H121" s="3" t="s">
        <v>14</v>
      </c>
      <c r="I121" s="3" t="s">
        <v>6</v>
      </c>
      <c r="J121" s="3"/>
      <c r="K121" s="3" t="s">
        <v>605</v>
      </c>
      <c r="L121" s="3"/>
      <c r="M121" s="3"/>
      <c r="N121" s="3"/>
      <c r="O121" s="3"/>
      <c r="P121" s="3"/>
      <c r="Q121" s="4">
        <v>46081</v>
      </c>
      <c r="R121" s="5">
        <v>214.27</v>
      </c>
      <c r="S121" s="3">
        <v>39</v>
      </c>
      <c r="T121" s="3"/>
      <c r="U121" s="3">
        <v>0</v>
      </c>
      <c r="V121" s="3" t="s">
        <v>8</v>
      </c>
      <c r="W121" s="5">
        <v>214.27</v>
      </c>
      <c r="X121" s="3">
        <v>0</v>
      </c>
      <c r="Y121" s="3">
        <v>0</v>
      </c>
      <c r="Z121" s="3">
        <v>0</v>
      </c>
      <c r="AA121" s="3">
        <v>0</v>
      </c>
      <c r="AB121" s="5">
        <v>214.27</v>
      </c>
      <c r="AC121"/>
      <c r="AD121" s="25"/>
      <c r="AE121" s="25"/>
      <c r="AF121" s="25"/>
      <c r="AG121" s="32"/>
      <c r="AH121" s="18"/>
      <c r="AI121" s="3"/>
      <c r="AJ121" s="3"/>
      <c r="AK121" s="3"/>
    </row>
    <row r="122" spans="1:37" x14ac:dyDescent="0.25">
      <c r="A122">
        <v>115</v>
      </c>
      <c r="B122" s="10" t="s">
        <v>606</v>
      </c>
      <c r="C122" s="10"/>
      <c r="D122" s="3" t="s">
        <v>607</v>
      </c>
      <c r="E122" s="3" t="s">
        <v>608</v>
      </c>
      <c r="F122" s="3"/>
      <c r="G122" s="3" t="s">
        <v>609</v>
      </c>
      <c r="H122" s="3" t="s">
        <v>14</v>
      </c>
      <c r="I122" s="3" t="s">
        <v>6</v>
      </c>
      <c r="J122" s="3"/>
      <c r="K122" s="3" t="s">
        <v>610</v>
      </c>
      <c r="L122" s="3"/>
      <c r="M122" s="3"/>
      <c r="N122" s="3"/>
      <c r="O122" s="3"/>
      <c r="P122" s="3"/>
      <c r="Q122" s="4">
        <v>46080</v>
      </c>
      <c r="R122" s="5">
        <v>131.80000000000001</v>
      </c>
      <c r="S122" s="3">
        <v>23</v>
      </c>
      <c r="T122" s="3"/>
      <c r="U122" s="3">
        <v>0</v>
      </c>
      <c r="V122" s="3" t="s">
        <v>8</v>
      </c>
      <c r="W122" s="5">
        <v>131.80000000000001</v>
      </c>
      <c r="X122" s="3">
        <v>0</v>
      </c>
      <c r="Y122" s="3">
        <v>0</v>
      </c>
      <c r="Z122" s="3">
        <v>0</v>
      </c>
      <c r="AA122" s="3">
        <v>0</v>
      </c>
      <c r="AB122" s="5">
        <v>131.80000000000001</v>
      </c>
      <c r="AC122"/>
      <c r="AD122" s="25"/>
      <c r="AE122" s="25"/>
      <c r="AF122" s="25"/>
      <c r="AG122" s="32"/>
      <c r="AH122" s="18"/>
      <c r="AI122" s="3"/>
      <c r="AJ122" s="3"/>
      <c r="AK122" s="3"/>
    </row>
    <row r="123" spans="1:37" x14ac:dyDescent="0.25">
      <c r="A123">
        <v>116</v>
      </c>
      <c r="B123" s="10">
        <v>1110</v>
      </c>
      <c r="C123" s="10"/>
      <c r="D123" s="3" t="s">
        <v>611</v>
      </c>
      <c r="E123" s="3"/>
      <c r="F123" s="3" t="s">
        <v>612</v>
      </c>
      <c r="G123" s="3" t="s">
        <v>613</v>
      </c>
      <c r="H123" s="3" t="s">
        <v>14</v>
      </c>
      <c r="I123" s="3" t="s">
        <v>6</v>
      </c>
      <c r="J123" s="3" t="s">
        <v>15</v>
      </c>
      <c r="K123" s="3" t="s">
        <v>614</v>
      </c>
      <c r="L123" s="3"/>
      <c r="M123" s="3"/>
      <c r="N123" s="3"/>
      <c r="O123" s="3">
        <v>1657</v>
      </c>
      <c r="P123" s="3"/>
      <c r="Q123" s="4">
        <v>46053</v>
      </c>
      <c r="R123" s="5">
        <v>600</v>
      </c>
      <c r="S123" s="3">
        <v>20</v>
      </c>
      <c r="T123" s="3"/>
      <c r="U123" s="3">
        <v>0</v>
      </c>
      <c r="V123" s="3" t="s">
        <v>8</v>
      </c>
      <c r="W123" s="5">
        <v>251.05</v>
      </c>
      <c r="X123" s="5">
        <v>-600</v>
      </c>
      <c r="Y123" s="3">
        <v>0</v>
      </c>
      <c r="Z123" s="5">
        <v>251.05</v>
      </c>
      <c r="AA123" s="3">
        <v>0</v>
      </c>
      <c r="AB123" s="5">
        <v>-97.9</v>
      </c>
      <c r="AC123"/>
      <c r="AD123" s="25"/>
      <c r="AE123" s="25"/>
      <c r="AF123" s="25"/>
      <c r="AG123" s="32"/>
      <c r="AH123" s="19"/>
      <c r="AI123" s="3"/>
      <c r="AJ123" s="5"/>
      <c r="AK123" s="3"/>
    </row>
    <row r="124" spans="1:37" s="43" customFormat="1" x14ac:dyDescent="0.25">
      <c r="A124" s="43">
        <v>117</v>
      </c>
      <c r="B124" s="41" t="s">
        <v>615</v>
      </c>
      <c r="C124" s="41" t="s">
        <v>1084</v>
      </c>
      <c r="D124" s="40" t="s">
        <v>616</v>
      </c>
      <c r="E124" s="40"/>
      <c r="F124" s="40" t="s">
        <v>617</v>
      </c>
      <c r="G124" s="40" t="s">
        <v>618</v>
      </c>
      <c r="H124" s="40" t="s">
        <v>14</v>
      </c>
      <c r="I124" s="40" t="s">
        <v>6</v>
      </c>
      <c r="J124" s="40"/>
      <c r="K124" s="40" t="s">
        <v>619</v>
      </c>
      <c r="L124" s="40" t="s">
        <v>620</v>
      </c>
      <c r="M124" s="40"/>
      <c r="N124" s="40"/>
      <c r="O124" s="40">
        <v>2066</v>
      </c>
      <c r="P124" s="40"/>
      <c r="Q124" s="42">
        <v>46055</v>
      </c>
      <c r="R124" s="16">
        <v>30000</v>
      </c>
      <c r="S124" s="40">
        <v>56</v>
      </c>
      <c r="T124" s="40"/>
      <c r="U124" s="40">
        <v>0</v>
      </c>
      <c r="V124" s="40" t="s">
        <v>8</v>
      </c>
      <c r="W124" s="16">
        <v>11037.7</v>
      </c>
      <c r="X124" s="16">
        <v>9657.7000000000007</v>
      </c>
      <c r="Y124" s="16">
        <v>173555.83</v>
      </c>
      <c r="Z124" s="40">
        <v>0</v>
      </c>
      <c r="AA124" s="16">
        <v>-23712.95</v>
      </c>
      <c r="AB124" s="16">
        <v>170538.28</v>
      </c>
      <c r="AD124" s="44" t="s">
        <v>1152</v>
      </c>
      <c r="AE124" s="44" t="s">
        <v>1188</v>
      </c>
      <c r="AF124" s="27">
        <v>30000</v>
      </c>
      <c r="AG124" s="48"/>
      <c r="AH124" s="16">
        <f>AF124</f>
        <v>30000</v>
      </c>
      <c r="AJ124" s="40"/>
      <c r="AK124" s="16"/>
    </row>
    <row r="125" spans="1:37" x14ac:dyDescent="0.25">
      <c r="A125">
        <v>118</v>
      </c>
      <c r="B125" s="10" t="s">
        <v>621</v>
      </c>
      <c r="C125" s="10"/>
      <c r="D125" s="3" t="s">
        <v>622</v>
      </c>
      <c r="E125" s="3" t="s">
        <v>622</v>
      </c>
      <c r="F125" s="3"/>
      <c r="G125" s="3" t="s">
        <v>623</v>
      </c>
      <c r="H125" s="3" t="s">
        <v>14</v>
      </c>
      <c r="I125" s="3" t="s">
        <v>6</v>
      </c>
      <c r="J125" s="3"/>
      <c r="K125" s="3" t="s">
        <v>624</v>
      </c>
      <c r="L125" s="3"/>
      <c r="M125" s="3"/>
      <c r="N125" s="3" t="s">
        <v>22</v>
      </c>
      <c r="O125" s="3"/>
      <c r="P125" s="3"/>
      <c r="Q125" s="4">
        <v>46081</v>
      </c>
      <c r="R125" s="5">
        <v>128.80000000000001</v>
      </c>
      <c r="S125" s="3">
        <v>42</v>
      </c>
      <c r="T125" s="3"/>
      <c r="U125" s="3">
        <v>0</v>
      </c>
      <c r="V125" s="3" t="s">
        <v>8</v>
      </c>
      <c r="W125" s="5">
        <v>128.80000000000001</v>
      </c>
      <c r="X125" s="3">
        <v>0</v>
      </c>
      <c r="Y125" s="3">
        <v>0</v>
      </c>
      <c r="Z125" s="3">
        <v>0</v>
      </c>
      <c r="AA125" s="3">
        <v>0</v>
      </c>
      <c r="AB125" s="5">
        <v>128.80000000000001</v>
      </c>
      <c r="AC125"/>
      <c r="AD125" s="25"/>
      <c r="AE125" s="25"/>
      <c r="AF125" s="25"/>
      <c r="AG125" s="32"/>
      <c r="AH125" s="18"/>
      <c r="AI125" s="3"/>
      <c r="AJ125" s="3"/>
      <c r="AK125" s="3"/>
    </row>
    <row r="126" spans="1:37" x14ac:dyDescent="0.25">
      <c r="A126">
        <v>119</v>
      </c>
      <c r="B126" s="10" t="s">
        <v>625</v>
      </c>
      <c r="C126" s="10" t="s">
        <v>1085</v>
      </c>
      <c r="D126" s="3" t="s">
        <v>626</v>
      </c>
      <c r="E126" s="3" t="s">
        <v>626</v>
      </c>
      <c r="F126" s="3"/>
      <c r="G126" s="3" t="s">
        <v>627</v>
      </c>
      <c r="H126" s="3" t="s">
        <v>14</v>
      </c>
      <c r="I126" s="3" t="s">
        <v>6</v>
      </c>
      <c r="J126" s="3" t="s">
        <v>15</v>
      </c>
      <c r="K126" s="3" t="s">
        <v>628</v>
      </c>
      <c r="L126" s="3"/>
      <c r="M126" s="3"/>
      <c r="N126" s="3" t="s">
        <v>22</v>
      </c>
      <c r="O126" s="3"/>
      <c r="P126" s="3"/>
      <c r="Q126" s="4">
        <v>46079</v>
      </c>
      <c r="R126" s="5">
        <v>143.41999999999999</v>
      </c>
      <c r="S126" s="3">
        <v>60</v>
      </c>
      <c r="T126" s="3"/>
      <c r="U126" s="3">
        <v>0</v>
      </c>
      <c r="V126" s="3" t="s">
        <v>8</v>
      </c>
      <c r="W126" s="3">
        <v>0</v>
      </c>
      <c r="X126" s="3">
        <v>0</v>
      </c>
      <c r="Y126" s="3">
        <v>0</v>
      </c>
      <c r="Z126" s="5">
        <v>143.41999999999999</v>
      </c>
      <c r="AA126" s="5">
        <v>143.41999999999999</v>
      </c>
      <c r="AB126" s="5">
        <v>286.83999999999997</v>
      </c>
      <c r="AC126"/>
      <c r="AD126" s="25"/>
      <c r="AE126" s="25"/>
      <c r="AF126" s="25"/>
      <c r="AG126" s="32"/>
      <c r="AH126" s="18"/>
      <c r="AI126" s="3"/>
      <c r="AJ126" s="5"/>
      <c r="AK126" s="5"/>
    </row>
    <row r="127" spans="1:37" x14ac:dyDescent="0.25">
      <c r="A127">
        <v>120</v>
      </c>
      <c r="B127" s="10" t="s">
        <v>629</v>
      </c>
      <c r="C127" s="10" t="s">
        <v>1086</v>
      </c>
      <c r="D127" s="3" t="s">
        <v>630</v>
      </c>
      <c r="E127" s="3" t="s">
        <v>631</v>
      </c>
      <c r="F127" s="3"/>
      <c r="G127" s="3" t="s">
        <v>632</v>
      </c>
      <c r="H127" s="3" t="s">
        <v>14</v>
      </c>
      <c r="I127" s="3" t="s">
        <v>6</v>
      </c>
      <c r="J127" s="3" t="s">
        <v>15</v>
      </c>
      <c r="K127" s="3" t="s">
        <v>633</v>
      </c>
      <c r="L127" s="3"/>
      <c r="M127" s="3"/>
      <c r="N127" s="3"/>
      <c r="O127" s="3">
        <v>2196</v>
      </c>
      <c r="P127" s="3"/>
      <c r="Q127" s="4">
        <v>46081</v>
      </c>
      <c r="R127" s="5">
        <v>742.42</v>
      </c>
      <c r="S127" s="3">
        <v>85</v>
      </c>
      <c r="T127" s="3"/>
      <c r="U127" s="3">
        <v>0</v>
      </c>
      <c r="V127" s="3" t="s">
        <v>8</v>
      </c>
      <c r="W127" s="5">
        <v>742.42</v>
      </c>
      <c r="X127" s="3">
        <v>0</v>
      </c>
      <c r="Y127" s="3">
        <v>0</v>
      </c>
      <c r="Z127" s="3">
        <v>0</v>
      </c>
      <c r="AA127" s="3">
        <v>0</v>
      </c>
      <c r="AB127" s="5">
        <v>742.42</v>
      </c>
      <c r="AC127"/>
      <c r="AD127" s="25" t="s">
        <v>1201</v>
      </c>
      <c r="AE127" s="25" t="s">
        <v>630</v>
      </c>
      <c r="AF127" s="26">
        <v>742.72</v>
      </c>
      <c r="AG127" s="33">
        <f>AF127</f>
        <v>742.72</v>
      </c>
      <c r="AH127" s="18"/>
      <c r="AI127" s="3"/>
      <c r="AJ127" s="3"/>
      <c r="AK127" s="3"/>
    </row>
    <row r="128" spans="1:37" x14ac:dyDescent="0.25">
      <c r="A128">
        <v>121</v>
      </c>
      <c r="B128" s="10" t="s">
        <v>634</v>
      </c>
      <c r="C128" s="10"/>
      <c r="D128" s="3" t="s">
        <v>635</v>
      </c>
      <c r="E128" s="3" t="s">
        <v>636</v>
      </c>
      <c r="F128" s="3" t="s">
        <v>637</v>
      </c>
      <c r="G128" s="3"/>
      <c r="H128" s="3" t="s">
        <v>14</v>
      </c>
      <c r="I128" s="3" t="s">
        <v>6</v>
      </c>
      <c r="J128" s="3" t="s">
        <v>33</v>
      </c>
      <c r="K128" s="3" t="s">
        <v>638</v>
      </c>
      <c r="L128" s="3"/>
      <c r="M128" s="3"/>
      <c r="N128" s="3"/>
      <c r="O128" s="3">
        <v>1686</v>
      </c>
      <c r="P128" s="3"/>
      <c r="Q128" s="4">
        <v>46074</v>
      </c>
      <c r="R128" s="5">
        <v>5531.5</v>
      </c>
      <c r="S128" s="3">
        <v>66</v>
      </c>
      <c r="T128" s="3"/>
      <c r="U128" s="3">
        <v>0</v>
      </c>
      <c r="V128" s="3" t="s">
        <v>8</v>
      </c>
      <c r="W128" s="5">
        <v>4634.5</v>
      </c>
      <c r="X128" s="3">
        <v>0</v>
      </c>
      <c r="Y128" s="5"/>
      <c r="Z128" s="5">
        <v>149.5</v>
      </c>
      <c r="AA128" s="5">
        <v>544.54999999999995</v>
      </c>
      <c r="AB128" s="5">
        <f>SUM(W128:AA128)</f>
        <v>5328.55</v>
      </c>
      <c r="AC128"/>
      <c r="AD128" s="25"/>
      <c r="AE128" s="25"/>
      <c r="AF128" s="25"/>
      <c r="AG128" s="32"/>
      <c r="AH128" s="18"/>
      <c r="AI128" s="5"/>
      <c r="AJ128" s="5"/>
      <c r="AK128" s="5"/>
    </row>
    <row r="129" spans="1:37" x14ac:dyDescent="0.25">
      <c r="A129">
        <v>122</v>
      </c>
      <c r="B129" s="10" t="s">
        <v>634</v>
      </c>
      <c r="C129" s="10"/>
      <c r="D129" s="3" t="s">
        <v>635</v>
      </c>
      <c r="E129" s="3" t="s">
        <v>636</v>
      </c>
      <c r="F129" s="3" t="s">
        <v>637</v>
      </c>
      <c r="G129" s="3"/>
      <c r="H129" s="3" t="s">
        <v>14</v>
      </c>
      <c r="I129" s="3" t="s">
        <v>6</v>
      </c>
      <c r="J129" s="3" t="s">
        <v>33</v>
      </c>
      <c r="K129" s="3" t="s">
        <v>638</v>
      </c>
      <c r="L129" s="3"/>
      <c r="M129" s="3"/>
      <c r="N129" s="3"/>
      <c r="O129" s="3">
        <v>1686</v>
      </c>
      <c r="P129" s="3"/>
      <c r="Q129" s="4">
        <v>46074</v>
      </c>
      <c r="R129" s="5">
        <v>5531.5</v>
      </c>
      <c r="S129" s="3">
        <v>66</v>
      </c>
      <c r="T129" s="3"/>
      <c r="U129" s="3">
        <v>0</v>
      </c>
      <c r="V129" s="3" t="s">
        <v>639</v>
      </c>
      <c r="W129" s="3">
        <v>0</v>
      </c>
      <c r="X129" s="3">
        <v>0</v>
      </c>
      <c r="Y129" s="3">
        <v>0</v>
      </c>
      <c r="Z129" s="5">
        <v>0</v>
      </c>
      <c r="AA129" s="5">
        <v>0</v>
      </c>
      <c r="AB129" s="5">
        <v>0</v>
      </c>
      <c r="AC129"/>
      <c r="AD129" s="25"/>
      <c r="AE129" s="25"/>
      <c r="AF129" s="25"/>
      <c r="AG129" s="32"/>
      <c r="AH129" s="18"/>
      <c r="AI129" s="3"/>
      <c r="AJ129" s="5"/>
      <c r="AK129" s="5"/>
    </row>
    <row r="130" spans="1:37" x14ac:dyDescent="0.25">
      <c r="A130">
        <v>123</v>
      </c>
      <c r="B130" s="10" t="s">
        <v>640</v>
      </c>
      <c r="C130" s="10"/>
      <c r="D130" s="3" t="s">
        <v>641</v>
      </c>
      <c r="E130" s="3" t="s">
        <v>642</v>
      </c>
      <c r="F130" s="3"/>
      <c r="G130" s="3" t="s">
        <v>643</v>
      </c>
      <c r="H130" s="3" t="s">
        <v>14</v>
      </c>
      <c r="I130" s="3" t="s">
        <v>6</v>
      </c>
      <c r="J130" s="3"/>
      <c r="K130" s="3" t="s">
        <v>644</v>
      </c>
      <c r="L130" s="3"/>
      <c r="M130" s="3"/>
      <c r="N130" s="3" t="s">
        <v>22</v>
      </c>
      <c r="O130" s="3"/>
      <c r="P130" s="3"/>
      <c r="Q130" s="4">
        <v>46045</v>
      </c>
      <c r="R130" s="5">
        <v>21948.9</v>
      </c>
      <c r="S130" s="3">
        <v>59</v>
      </c>
      <c r="T130" s="3"/>
      <c r="U130" s="3">
        <v>0</v>
      </c>
      <c r="V130" s="3" t="s">
        <v>8</v>
      </c>
      <c r="W130" s="5">
        <v>21319.15</v>
      </c>
      <c r="X130" s="5">
        <v>3117.61</v>
      </c>
      <c r="Y130" s="5">
        <v>747.5</v>
      </c>
      <c r="Z130" s="3">
        <v>0.02</v>
      </c>
      <c r="AA130" s="3">
        <v>0</v>
      </c>
      <c r="AB130" s="5">
        <v>25184.28</v>
      </c>
      <c r="AC130"/>
      <c r="AD130" s="25" t="s">
        <v>1164</v>
      </c>
      <c r="AE130" s="25" t="s">
        <v>640</v>
      </c>
      <c r="AF130" s="33">
        <v>3117.65</v>
      </c>
      <c r="AH130" s="19">
        <f>AF130</f>
        <v>3117.65</v>
      </c>
      <c r="AI130" s="5"/>
      <c r="AJ130" s="3"/>
      <c r="AK130" s="3"/>
    </row>
    <row r="131" spans="1:37" x14ac:dyDescent="0.25">
      <c r="A131">
        <v>124</v>
      </c>
      <c r="B131" s="10" t="s">
        <v>645</v>
      </c>
      <c r="C131" s="10" t="s">
        <v>1087</v>
      </c>
      <c r="D131" s="3" t="s">
        <v>646</v>
      </c>
      <c r="E131" s="3" t="s">
        <v>647</v>
      </c>
      <c r="F131" s="3"/>
      <c r="G131" s="3" t="s">
        <v>648</v>
      </c>
      <c r="H131" s="3" t="s">
        <v>14</v>
      </c>
      <c r="I131" s="3" t="s">
        <v>6</v>
      </c>
      <c r="J131" s="3"/>
      <c r="K131" s="3" t="s">
        <v>649</v>
      </c>
      <c r="L131" s="3"/>
      <c r="M131" s="3"/>
      <c r="N131" s="3" t="s">
        <v>22</v>
      </c>
      <c r="O131" s="3"/>
      <c r="P131" s="3"/>
      <c r="Q131" s="4">
        <v>46081</v>
      </c>
      <c r="R131" s="5">
        <v>18400</v>
      </c>
      <c r="S131" s="3">
        <v>71</v>
      </c>
      <c r="T131" s="3"/>
      <c r="U131" s="3">
        <v>0</v>
      </c>
      <c r="V131" s="3" t="s">
        <v>8</v>
      </c>
      <c r="W131" s="5">
        <v>20861</v>
      </c>
      <c r="X131" s="3">
        <v>0</v>
      </c>
      <c r="Y131" s="3">
        <v>0</v>
      </c>
      <c r="Z131" s="3">
        <v>0</v>
      </c>
      <c r="AA131" s="3">
        <v>0</v>
      </c>
      <c r="AB131" s="5">
        <v>20861</v>
      </c>
      <c r="AC131"/>
      <c r="AD131" s="25" t="s">
        <v>1201</v>
      </c>
      <c r="AE131" s="25" t="s">
        <v>1267</v>
      </c>
      <c r="AF131" s="26">
        <v>20861</v>
      </c>
      <c r="AG131" s="33">
        <f>AF131</f>
        <v>20861</v>
      </c>
      <c r="AH131" s="18"/>
      <c r="AI131" s="3"/>
      <c r="AJ131" s="3"/>
      <c r="AK131" s="3"/>
    </row>
    <row r="132" spans="1:37" x14ac:dyDescent="0.25">
      <c r="A132">
        <v>125</v>
      </c>
      <c r="B132" s="10" t="s">
        <v>650</v>
      </c>
      <c r="C132" s="10"/>
      <c r="D132" s="3" t="s">
        <v>651</v>
      </c>
      <c r="E132" s="3" t="s">
        <v>652</v>
      </c>
      <c r="F132" s="3" t="s">
        <v>653</v>
      </c>
      <c r="G132" s="3"/>
      <c r="H132" s="3" t="s">
        <v>14</v>
      </c>
      <c r="I132" s="3" t="s">
        <v>6</v>
      </c>
      <c r="J132" s="3"/>
      <c r="K132" s="3" t="s">
        <v>654</v>
      </c>
      <c r="L132" s="3"/>
      <c r="M132" s="3"/>
      <c r="N132" s="3"/>
      <c r="O132" s="3">
        <v>1400</v>
      </c>
      <c r="P132" s="3"/>
      <c r="Q132" s="4">
        <v>46058</v>
      </c>
      <c r="R132" s="5">
        <v>340000</v>
      </c>
      <c r="S132" s="3">
        <v>1456</v>
      </c>
      <c r="T132" s="3"/>
      <c r="U132" s="3">
        <v>0</v>
      </c>
      <c r="V132" s="3" t="s">
        <v>8</v>
      </c>
      <c r="W132" s="3">
        <v>0</v>
      </c>
      <c r="X132" s="5">
        <v>895</v>
      </c>
      <c r="Y132" s="3">
        <v>0</v>
      </c>
      <c r="Z132" s="3">
        <v>0</v>
      </c>
      <c r="AA132" s="3">
        <v>0</v>
      </c>
      <c r="AB132" s="5">
        <v>895</v>
      </c>
      <c r="AC132"/>
      <c r="AD132" s="25"/>
      <c r="AE132" s="25"/>
      <c r="AF132" s="25"/>
      <c r="AG132" s="32"/>
      <c r="AH132" s="19"/>
      <c r="AI132" s="3"/>
      <c r="AJ132" s="3"/>
      <c r="AK132" s="3"/>
    </row>
    <row r="133" spans="1:37" x14ac:dyDescent="0.25">
      <c r="A133">
        <v>126</v>
      </c>
      <c r="B133" s="10" t="s">
        <v>655</v>
      </c>
      <c r="C133" s="10" t="s">
        <v>1088</v>
      </c>
      <c r="D133" s="3" t="s">
        <v>656</v>
      </c>
      <c r="E133" s="3" t="s">
        <v>657</v>
      </c>
      <c r="F133" s="3" t="s">
        <v>658</v>
      </c>
      <c r="G133" s="3" t="s">
        <v>659</v>
      </c>
      <c r="H133" s="3" t="s">
        <v>14</v>
      </c>
      <c r="I133" s="3" t="s">
        <v>6</v>
      </c>
      <c r="J133" s="3"/>
      <c r="K133" s="3" t="s">
        <v>660</v>
      </c>
      <c r="L133" s="3"/>
      <c r="M133" s="3"/>
      <c r="N133" s="3" t="s">
        <v>22</v>
      </c>
      <c r="O133" s="3"/>
      <c r="P133" s="3"/>
      <c r="Q133" s="4">
        <v>46051</v>
      </c>
      <c r="R133" s="5">
        <v>13627.5</v>
      </c>
      <c r="S133" s="3">
        <v>31</v>
      </c>
      <c r="T133" s="3"/>
      <c r="U133" s="3">
        <v>0</v>
      </c>
      <c r="V133" s="3" t="s">
        <v>8</v>
      </c>
      <c r="W133" s="5">
        <v>13627.5</v>
      </c>
      <c r="X133" s="3">
        <v>0</v>
      </c>
      <c r="Y133" s="3">
        <v>0</v>
      </c>
      <c r="Z133" s="3">
        <v>0</v>
      </c>
      <c r="AA133" s="3">
        <v>0</v>
      </c>
      <c r="AB133" s="5">
        <v>13627.5</v>
      </c>
      <c r="AC133"/>
      <c r="AD133" s="25" t="s">
        <v>1149</v>
      </c>
      <c r="AE133" s="25">
        <v>118236</v>
      </c>
      <c r="AF133" s="26">
        <v>13627.5</v>
      </c>
      <c r="AG133" s="33">
        <f>W133</f>
        <v>13627.5</v>
      </c>
      <c r="AH133" s="18"/>
      <c r="AI133" s="3"/>
      <c r="AJ133" s="3"/>
      <c r="AK133" s="3"/>
    </row>
    <row r="134" spans="1:37" x14ac:dyDescent="0.25">
      <c r="A134">
        <v>127</v>
      </c>
      <c r="B134" s="10">
        <v>1137</v>
      </c>
      <c r="C134" s="10"/>
      <c r="D134" s="3" t="s">
        <v>661</v>
      </c>
      <c r="E134" s="3" t="s">
        <v>662</v>
      </c>
      <c r="F134" s="3"/>
      <c r="G134" s="3" t="s">
        <v>663</v>
      </c>
      <c r="H134" s="3" t="s">
        <v>14</v>
      </c>
      <c r="I134" s="3" t="s">
        <v>6</v>
      </c>
      <c r="J134" s="3" t="s">
        <v>15</v>
      </c>
      <c r="K134" s="3" t="s">
        <v>664</v>
      </c>
      <c r="L134" s="3"/>
      <c r="M134" s="3"/>
      <c r="N134" s="3" t="s">
        <v>22</v>
      </c>
      <c r="O134" s="3"/>
      <c r="P134" s="3"/>
      <c r="Q134" s="4">
        <v>46081</v>
      </c>
      <c r="R134" s="5">
        <v>2458.6999999999998</v>
      </c>
      <c r="S134" s="3">
        <v>279</v>
      </c>
      <c r="T134" s="3"/>
      <c r="U134" s="3">
        <v>0</v>
      </c>
      <c r="V134" s="3" t="s">
        <v>8</v>
      </c>
      <c r="W134" s="5">
        <v>2458.6999999999998</v>
      </c>
      <c r="X134" s="3">
        <v>0</v>
      </c>
      <c r="Y134" s="3">
        <v>0</v>
      </c>
      <c r="Z134" s="3">
        <v>0</v>
      </c>
      <c r="AA134" s="3">
        <v>0</v>
      </c>
      <c r="AB134" s="5">
        <v>2458.6999999999998</v>
      </c>
      <c r="AC134"/>
      <c r="AD134" s="25" t="s">
        <v>1201</v>
      </c>
      <c r="AE134" s="25" t="s">
        <v>1258</v>
      </c>
      <c r="AF134" s="26">
        <v>2458.6999999999998</v>
      </c>
      <c r="AG134" s="33">
        <f>AF134</f>
        <v>2458.6999999999998</v>
      </c>
      <c r="AH134" s="18"/>
      <c r="AI134" s="3"/>
      <c r="AJ134" s="3"/>
      <c r="AK134" s="3"/>
    </row>
    <row r="135" spans="1:37" x14ac:dyDescent="0.25">
      <c r="A135">
        <v>128</v>
      </c>
      <c r="B135" s="10" t="s">
        <v>665</v>
      </c>
      <c r="C135" s="10"/>
      <c r="D135" s="3" t="s">
        <v>666</v>
      </c>
      <c r="E135" s="3" t="s">
        <v>667</v>
      </c>
      <c r="F135" s="3" t="s">
        <v>668</v>
      </c>
      <c r="G135" s="3" t="s">
        <v>669</v>
      </c>
      <c r="H135" s="3" t="s">
        <v>14</v>
      </c>
      <c r="I135" s="3" t="s">
        <v>6</v>
      </c>
      <c r="J135" s="3" t="s">
        <v>15</v>
      </c>
      <c r="K135" s="3" t="s">
        <v>670</v>
      </c>
      <c r="L135" s="3"/>
      <c r="M135" s="3"/>
      <c r="N135" s="3" t="s">
        <v>22</v>
      </c>
      <c r="O135" s="3"/>
      <c r="P135" s="3"/>
      <c r="Q135" s="4">
        <v>45625</v>
      </c>
      <c r="R135" s="5">
        <v>19285.5</v>
      </c>
      <c r="S135" s="3">
        <v>200</v>
      </c>
      <c r="T135" s="3"/>
      <c r="U135" s="3">
        <v>0</v>
      </c>
      <c r="V135" s="3" t="s">
        <v>8</v>
      </c>
      <c r="W135" s="3">
        <v>0</v>
      </c>
      <c r="X135" s="3">
        <v>0</v>
      </c>
      <c r="Y135" s="3">
        <v>0</v>
      </c>
      <c r="Z135" s="3">
        <v>0</v>
      </c>
      <c r="AA135" s="5">
        <v>38548</v>
      </c>
      <c r="AB135" s="5">
        <v>38548</v>
      </c>
      <c r="AC135"/>
      <c r="AD135" s="25"/>
      <c r="AE135" s="25"/>
      <c r="AF135" s="25"/>
      <c r="AG135" s="32"/>
      <c r="AH135" s="18"/>
      <c r="AI135" s="3"/>
      <c r="AJ135" s="3"/>
      <c r="AK135" s="5"/>
    </row>
    <row r="136" spans="1:37" x14ac:dyDescent="0.25">
      <c r="A136">
        <v>129</v>
      </c>
      <c r="B136" s="10" t="s">
        <v>671</v>
      </c>
      <c r="C136" s="10"/>
      <c r="D136" s="3" t="s">
        <v>672</v>
      </c>
      <c r="E136" s="3" t="s">
        <v>672</v>
      </c>
      <c r="F136" s="6" t="s">
        <v>673</v>
      </c>
      <c r="G136" s="3" t="s">
        <v>674</v>
      </c>
      <c r="H136" s="3" t="s">
        <v>14</v>
      </c>
      <c r="I136" s="3" t="s">
        <v>6</v>
      </c>
      <c r="J136" s="3"/>
      <c r="K136" s="3" t="s">
        <v>675</v>
      </c>
      <c r="L136" s="3"/>
      <c r="M136" s="3"/>
      <c r="N136" s="3"/>
      <c r="O136" s="3"/>
      <c r="P136" s="3"/>
      <c r="Q136" s="4">
        <v>46055</v>
      </c>
      <c r="R136" s="5">
        <v>113.85</v>
      </c>
      <c r="S136" s="3">
        <v>54</v>
      </c>
      <c r="T136" s="3"/>
      <c r="U136" s="3">
        <v>0</v>
      </c>
      <c r="V136" s="3" t="s">
        <v>8</v>
      </c>
      <c r="W136" s="5">
        <v>113.85</v>
      </c>
      <c r="X136" s="3">
        <v>0</v>
      </c>
      <c r="Y136" s="3">
        <v>0</v>
      </c>
      <c r="Z136" s="3">
        <v>0</v>
      </c>
      <c r="AA136" s="5">
        <v>-113.79</v>
      </c>
      <c r="AB136" s="3">
        <v>0.06</v>
      </c>
      <c r="AC136"/>
      <c r="AD136" s="25" t="s">
        <v>1147</v>
      </c>
      <c r="AE136" s="25" t="s">
        <v>1150</v>
      </c>
      <c r="AF136" s="26">
        <v>113.85</v>
      </c>
      <c r="AG136" s="33"/>
      <c r="AH136" s="19">
        <f>AF136</f>
        <v>113.85</v>
      </c>
      <c r="AI136" s="3"/>
      <c r="AJ136" s="3"/>
      <c r="AK136" s="5"/>
    </row>
    <row r="137" spans="1:37" x14ac:dyDescent="0.25">
      <c r="A137">
        <v>130</v>
      </c>
      <c r="B137" s="10" t="s">
        <v>676</v>
      </c>
      <c r="C137" s="10" t="s">
        <v>1089</v>
      </c>
      <c r="D137" s="3" t="s">
        <v>677</v>
      </c>
      <c r="E137" s="3" t="s">
        <v>678</v>
      </c>
      <c r="F137" s="3" t="s">
        <v>679</v>
      </c>
      <c r="G137" s="3" t="s">
        <v>680</v>
      </c>
      <c r="H137" s="3" t="s">
        <v>14</v>
      </c>
      <c r="I137" s="3" t="s">
        <v>6</v>
      </c>
      <c r="J137" s="3" t="s">
        <v>15</v>
      </c>
      <c r="K137" s="3" t="s">
        <v>681</v>
      </c>
      <c r="L137" s="3"/>
      <c r="M137" s="3"/>
      <c r="N137" s="3"/>
      <c r="O137" s="3">
        <v>2000</v>
      </c>
      <c r="P137" s="3"/>
      <c r="Q137" s="4">
        <v>46081</v>
      </c>
      <c r="R137" s="5">
        <v>338.25</v>
      </c>
      <c r="S137" s="3">
        <v>41</v>
      </c>
      <c r="T137" s="3"/>
      <c r="U137" s="3">
        <v>0</v>
      </c>
      <c r="V137" s="3" t="s">
        <v>8</v>
      </c>
      <c r="W137" s="5">
        <v>338.25</v>
      </c>
      <c r="X137" s="3">
        <v>0</v>
      </c>
      <c r="Y137" s="3">
        <v>0.33</v>
      </c>
      <c r="Z137" s="3">
        <v>0</v>
      </c>
      <c r="AA137" s="5">
        <v>-0.33</v>
      </c>
      <c r="AB137" s="5">
        <v>338.25</v>
      </c>
      <c r="AC137"/>
      <c r="AD137" s="25" t="s">
        <v>1201</v>
      </c>
      <c r="AE137" s="25" t="s">
        <v>1245</v>
      </c>
      <c r="AF137" s="26">
        <v>338.25</v>
      </c>
      <c r="AG137" s="33">
        <f>AF137</f>
        <v>338.25</v>
      </c>
      <c r="AH137" s="18"/>
      <c r="AI137" s="3"/>
      <c r="AJ137" s="3"/>
      <c r="AK137" s="5"/>
    </row>
    <row r="138" spans="1:37" x14ac:dyDescent="0.25">
      <c r="A138">
        <v>131</v>
      </c>
      <c r="B138" s="10" t="s">
        <v>682</v>
      </c>
      <c r="C138" s="10" t="s">
        <v>1090</v>
      </c>
      <c r="D138" s="3" t="s">
        <v>683</v>
      </c>
      <c r="E138" s="3" t="s">
        <v>684</v>
      </c>
      <c r="F138" s="3" t="s">
        <v>685</v>
      </c>
      <c r="G138" s="3" t="s">
        <v>686</v>
      </c>
      <c r="H138" s="3" t="s">
        <v>14</v>
      </c>
      <c r="I138" s="3" t="s">
        <v>6</v>
      </c>
      <c r="J138" s="3"/>
      <c r="K138" s="3" t="s">
        <v>687</v>
      </c>
      <c r="L138" s="3"/>
      <c r="M138" s="3"/>
      <c r="N138" s="3" t="s">
        <v>22</v>
      </c>
      <c r="O138" s="3"/>
      <c r="P138" s="3"/>
      <c r="Q138" s="4">
        <v>46049</v>
      </c>
      <c r="R138" s="5">
        <v>79159.33</v>
      </c>
      <c r="S138" s="3">
        <v>116</v>
      </c>
      <c r="T138" s="3"/>
      <c r="U138" s="3">
        <v>0</v>
      </c>
      <c r="V138" s="3" t="s">
        <v>8</v>
      </c>
      <c r="W138" s="5">
        <v>79009.83</v>
      </c>
      <c r="X138" s="5">
        <v>805</v>
      </c>
      <c r="Y138" s="3">
        <v>0</v>
      </c>
      <c r="Z138" s="3">
        <v>0.01</v>
      </c>
      <c r="AA138" s="3">
        <v>0</v>
      </c>
      <c r="AB138" s="5">
        <v>79814.84</v>
      </c>
      <c r="AC138"/>
      <c r="AD138" s="25" t="s">
        <v>1156</v>
      </c>
      <c r="AE138" s="25" t="s">
        <v>1161</v>
      </c>
      <c r="AF138" s="26">
        <v>1437.51</v>
      </c>
      <c r="AG138" s="33">
        <f>AF139</f>
        <v>76939.83</v>
      </c>
      <c r="AH138" s="19">
        <f>AF138</f>
        <v>1437.51</v>
      </c>
      <c r="AI138" s="3"/>
      <c r="AJ138" s="3"/>
      <c r="AK138" s="3"/>
    </row>
    <row r="139" spans="1:37" x14ac:dyDescent="0.25">
      <c r="A139">
        <v>132</v>
      </c>
      <c r="B139" s="10"/>
      <c r="C139" s="10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4"/>
      <c r="R139" s="5"/>
      <c r="S139" s="3"/>
      <c r="T139" s="3"/>
      <c r="U139" s="3"/>
      <c r="V139" s="3"/>
      <c r="W139" s="5"/>
      <c r="X139" s="5"/>
      <c r="Y139" s="3"/>
      <c r="Z139" s="3"/>
      <c r="AA139" s="3"/>
      <c r="AB139" s="5"/>
      <c r="AC139"/>
      <c r="AD139" s="25" t="s">
        <v>1165</v>
      </c>
      <c r="AE139" s="25" t="s">
        <v>1161</v>
      </c>
      <c r="AF139" s="26">
        <v>76939.83</v>
      </c>
      <c r="AG139" s="32"/>
      <c r="AH139" s="19"/>
      <c r="AI139" s="3"/>
      <c r="AJ139" s="3"/>
      <c r="AK139" s="3"/>
    </row>
    <row r="140" spans="1:37" x14ac:dyDescent="0.25">
      <c r="A140">
        <v>133</v>
      </c>
      <c r="B140" s="10" t="s">
        <v>688</v>
      </c>
      <c r="C140" s="10" t="s">
        <v>1091</v>
      </c>
      <c r="D140" s="3" t="s">
        <v>689</v>
      </c>
      <c r="E140" s="3" t="s">
        <v>690</v>
      </c>
      <c r="F140" s="3" t="s">
        <v>691</v>
      </c>
      <c r="G140" s="3" t="s">
        <v>692</v>
      </c>
      <c r="H140" s="3" t="s">
        <v>14</v>
      </c>
      <c r="I140" s="3" t="s">
        <v>6</v>
      </c>
      <c r="J140" s="3"/>
      <c r="K140" s="3" t="s">
        <v>693</v>
      </c>
      <c r="L140" s="3"/>
      <c r="M140" s="3"/>
      <c r="N140" s="3"/>
      <c r="O140" s="3"/>
      <c r="P140" s="3"/>
      <c r="Q140" s="4">
        <v>46062</v>
      </c>
      <c r="R140" s="5">
        <v>14934.9</v>
      </c>
      <c r="S140" s="3">
        <v>284</v>
      </c>
      <c r="T140" s="3" t="s">
        <v>694</v>
      </c>
      <c r="U140" s="3">
        <v>0</v>
      </c>
      <c r="V140" s="3" t="s">
        <v>8</v>
      </c>
      <c r="W140" s="5">
        <v>14934.9</v>
      </c>
      <c r="X140" s="3">
        <v>0</v>
      </c>
      <c r="Y140" s="3">
        <v>0</v>
      </c>
      <c r="Z140" s="3">
        <v>0</v>
      </c>
      <c r="AA140" s="3">
        <v>0</v>
      </c>
      <c r="AB140" s="5">
        <v>14934.9</v>
      </c>
      <c r="AC140"/>
      <c r="AD140" s="25" t="s">
        <v>1175</v>
      </c>
      <c r="AE140" s="25" t="s">
        <v>1176</v>
      </c>
      <c r="AF140" s="26">
        <v>14934.9</v>
      </c>
      <c r="AG140" s="33">
        <f>W140</f>
        <v>14934.9</v>
      </c>
      <c r="AH140" s="18"/>
      <c r="AI140" s="3"/>
      <c r="AJ140" s="3"/>
      <c r="AK140" s="3"/>
    </row>
    <row r="141" spans="1:37" x14ac:dyDescent="0.25">
      <c r="A141">
        <v>134</v>
      </c>
      <c r="B141" s="10" t="s">
        <v>695</v>
      </c>
      <c r="C141" s="10" t="s">
        <v>1092</v>
      </c>
      <c r="D141" s="3" t="s">
        <v>696</v>
      </c>
      <c r="E141" s="3" t="s">
        <v>697</v>
      </c>
      <c r="F141" s="3" t="s">
        <v>698</v>
      </c>
      <c r="G141" s="3" t="s">
        <v>699</v>
      </c>
      <c r="H141" s="3" t="s">
        <v>14</v>
      </c>
      <c r="I141" s="3" t="s">
        <v>6</v>
      </c>
      <c r="J141" s="3"/>
      <c r="K141" s="3" t="s">
        <v>700</v>
      </c>
      <c r="L141" s="3"/>
      <c r="M141" s="3"/>
      <c r="N141" s="3"/>
      <c r="O141" s="3">
        <v>2136</v>
      </c>
      <c r="P141" s="3"/>
      <c r="Q141" s="4">
        <v>46081</v>
      </c>
      <c r="R141" s="5">
        <v>1682.26</v>
      </c>
      <c r="S141" s="3">
        <v>66</v>
      </c>
      <c r="T141" s="3"/>
      <c r="U141" s="3">
        <v>0</v>
      </c>
      <c r="V141" s="3" t="s">
        <v>8</v>
      </c>
      <c r="W141" s="5">
        <v>1682.26</v>
      </c>
      <c r="X141" s="3">
        <v>0</v>
      </c>
      <c r="Y141" s="3">
        <v>0</v>
      </c>
      <c r="Z141" s="3">
        <v>0</v>
      </c>
      <c r="AA141" s="3">
        <v>0</v>
      </c>
      <c r="AB141" s="5">
        <v>1682.26</v>
      </c>
      <c r="AC141"/>
      <c r="AD141" s="25" t="s">
        <v>1201</v>
      </c>
      <c r="AE141" s="25" t="s">
        <v>1253</v>
      </c>
      <c r="AF141" s="26">
        <v>1682.26</v>
      </c>
      <c r="AG141" s="33">
        <f>AF141</f>
        <v>1682.26</v>
      </c>
      <c r="AH141" s="18"/>
      <c r="AI141" s="3"/>
      <c r="AJ141" s="3"/>
      <c r="AK141" s="3"/>
    </row>
    <row r="142" spans="1:37" x14ac:dyDescent="0.25">
      <c r="A142">
        <v>135</v>
      </c>
      <c r="B142" s="10" t="s">
        <v>701</v>
      </c>
      <c r="C142" s="10"/>
      <c r="D142" s="3" t="s">
        <v>702</v>
      </c>
      <c r="E142" s="3" t="s">
        <v>703</v>
      </c>
      <c r="F142" s="3" t="s">
        <v>704</v>
      </c>
      <c r="G142" s="3" t="s">
        <v>705</v>
      </c>
      <c r="H142" s="3" t="s">
        <v>14</v>
      </c>
      <c r="I142" s="3" t="s">
        <v>6</v>
      </c>
      <c r="J142" s="3"/>
      <c r="K142" s="3" t="s">
        <v>706</v>
      </c>
      <c r="L142" s="3"/>
      <c r="M142" s="3"/>
      <c r="N142" s="3"/>
      <c r="O142" s="3"/>
      <c r="P142" s="3"/>
      <c r="Q142" s="4">
        <v>46056</v>
      </c>
      <c r="R142" s="5">
        <v>583.03</v>
      </c>
      <c r="S142" s="3">
        <v>113</v>
      </c>
      <c r="T142" s="3"/>
      <c r="U142" s="3">
        <v>0</v>
      </c>
      <c r="V142" s="3" t="s">
        <v>8</v>
      </c>
      <c r="W142" s="5">
        <v>583.03</v>
      </c>
      <c r="X142" s="3">
        <v>0</v>
      </c>
      <c r="Y142" s="3">
        <v>0</v>
      </c>
      <c r="Z142" s="3">
        <v>0</v>
      </c>
      <c r="AA142" s="3">
        <v>0</v>
      </c>
      <c r="AB142" s="5">
        <v>583.03</v>
      </c>
      <c r="AC142"/>
      <c r="AD142" s="25" t="s">
        <v>1149</v>
      </c>
      <c r="AE142" s="25" t="s">
        <v>1150</v>
      </c>
      <c r="AF142" s="26">
        <v>583.03</v>
      </c>
      <c r="AG142" s="33">
        <f>AF142</f>
        <v>583.03</v>
      </c>
      <c r="AH142" s="18"/>
      <c r="AI142" s="3"/>
      <c r="AJ142" s="3"/>
      <c r="AK142" s="3"/>
    </row>
    <row r="143" spans="1:37" x14ac:dyDescent="0.25">
      <c r="A143">
        <v>136</v>
      </c>
      <c r="B143" s="10" t="s">
        <v>707</v>
      </c>
      <c r="C143" s="10"/>
      <c r="D143" s="3" t="s">
        <v>708</v>
      </c>
      <c r="E143" s="3" t="s">
        <v>709</v>
      </c>
      <c r="F143" s="3" t="s">
        <v>710</v>
      </c>
      <c r="G143" s="3" t="s">
        <v>711</v>
      </c>
      <c r="H143" s="3" t="s">
        <v>249</v>
      </c>
      <c r="I143" s="3" t="s">
        <v>6</v>
      </c>
      <c r="J143" s="3" t="s">
        <v>15</v>
      </c>
      <c r="K143" s="3" t="s">
        <v>712</v>
      </c>
      <c r="L143" s="3"/>
      <c r="M143" s="3"/>
      <c r="N143" s="3" t="s">
        <v>22</v>
      </c>
      <c r="O143" s="3"/>
      <c r="P143" s="3"/>
      <c r="Q143" s="4">
        <v>45716</v>
      </c>
      <c r="R143" s="5">
        <v>154.88999999999999</v>
      </c>
      <c r="S143" s="3">
        <v>53</v>
      </c>
      <c r="T143" s="3"/>
      <c r="U143" s="3">
        <v>0</v>
      </c>
      <c r="V143" s="3" t="s">
        <v>8</v>
      </c>
      <c r="W143" s="3">
        <v>0</v>
      </c>
      <c r="X143" s="3">
        <v>0</v>
      </c>
      <c r="Y143" s="3">
        <v>0</v>
      </c>
      <c r="Z143" s="3">
        <v>0</v>
      </c>
      <c r="AA143" s="5">
        <v>0</v>
      </c>
      <c r="AB143" s="5">
        <v>0</v>
      </c>
      <c r="AC143"/>
      <c r="AD143" s="25"/>
      <c r="AE143" s="25"/>
      <c r="AF143" s="25"/>
      <c r="AG143" s="32"/>
      <c r="AH143" s="18"/>
      <c r="AI143" s="3"/>
      <c r="AJ143" s="3"/>
      <c r="AK143" s="5"/>
    </row>
    <row r="144" spans="1:37" x14ac:dyDescent="0.25">
      <c r="A144">
        <v>137</v>
      </c>
      <c r="B144" s="10" t="s">
        <v>713</v>
      </c>
      <c r="C144" s="10"/>
      <c r="D144" s="3" t="s">
        <v>714</v>
      </c>
      <c r="E144" s="3" t="s">
        <v>715</v>
      </c>
      <c r="F144" s="3" t="s">
        <v>716</v>
      </c>
      <c r="G144" s="3" t="s">
        <v>717</v>
      </c>
      <c r="H144" s="3" t="s">
        <v>14</v>
      </c>
      <c r="I144" s="3" t="s">
        <v>6</v>
      </c>
      <c r="J144" s="3" t="s">
        <v>33</v>
      </c>
      <c r="K144" s="3" t="s">
        <v>718</v>
      </c>
      <c r="L144" s="3"/>
      <c r="M144" s="3"/>
      <c r="N144" s="3" t="s">
        <v>22</v>
      </c>
      <c r="O144" s="3"/>
      <c r="P144" s="3"/>
      <c r="Q144" s="3"/>
      <c r="R144" s="3">
        <v>0</v>
      </c>
      <c r="S144" s="3">
        <v>523</v>
      </c>
      <c r="T144" s="3"/>
      <c r="U144" s="3">
        <v>0</v>
      </c>
      <c r="V144" s="3" t="s">
        <v>8</v>
      </c>
      <c r="W144" s="3">
        <v>0</v>
      </c>
      <c r="X144" s="3">
        <v>0</v>
      </c>
      <c r="Y144" s="3">
        <v>0</v>
      </c>
      <c r="Z144" s="5">
        <v>1505.1</v>
      </c>
      <c r="AA144" s="3">
        <v>0</v>
      </c>
      <c r="AB144" s="5">
        <v>1505.1</v>
      </c>
      <c r="AC144"/>
      <c r="AD144" s="25"/>
      <c r="AE144" s="25"/>
      <c r="AF144" s="25"/>
      <c r="AG144" s="32"/>
      <c r="AH144" s="18"/>
      <c r="AI144" s="3"/>
      <c r="AJ144" s="5"/>
      <c r="AK144" s="3"/>
    </row>
    <row r="145" spans="1:37" x14ac:dyDescent="0.25">
      <c r="A145">
        <v>138</v>
      </c>
      <c r="B145" s="10" t="s">
        <v>719</v>
      </c>
      <c r="C145" s="10" t="s">
        <v>1093</v>
      </c>
      <c r="D145" s="3" t="s">
        <v>720</v>
      </c>
      <c r="E145" s="3" t="s">
        <v>721</v>
      </c>
      <c r="F145" s="3" t="s">
        <v>722</v>
      </c>
      <c r="G145" s="3" t="s">
        <v>723</v>
      </c>
      <c r="H145" s="3" t="s">
        <v>14</v>
      </c>
      <c r="I145" s="3" t="s">
        <v>6</v>
      </c>
      <c r="J145" s="3" t="s">
        <v>15</v>
      </c>
      <c r="K145" s="3" t="s">
        <v>724</v>
      </c>
      <c r="L145" s="3"/>
      <c r="M145" s="3"/>
      <c r="N145" s="3"/>
      <c r="O145" s="3">
        <v>1462</v>
      </c>
      <c r="P145" s="3"/>
      <c r="Q145" s="4">
        <v>46081</v>
      </c>
      <c r="R145" s="5">
        <v>60140.26</v>
      </c>
      <c r="S145" s="3">
        <v>549</v>
      </c>
      <c r="T145" s="3"/>
      <c r="U145" s="3">
        <v>0</v>
      </c>
      <c r="V145" s="3" t="s">
        <v>8</v>
      </c>
      <c r="W145" s="5">
        <v>60140.26</v>
      </c>
      <c r="X145" s="3">
        <v>0</v>
      </c>
      <c r="Y145" s="3">
        <v>0</v>
      </c>
      <c r="Z145" s="3">
        <v>0</v>
      </c>
      <c r="AA145" s="3">
        <v>0</v>
      </c>
      <c r="AB145" s="5">
        <v>60140.26</v>
      </c>
      <c r="AC145"/>
      <c r="AD145" s="25"/>
      <c r="AE145" s="25"/>
      <c r="AF145" s="25"/>
      <c r="AG145" s="32"/>
      <c r="AH145" s="18"/>
      <c r="AI145" s="3"/>
      <c r="AJ145" s="3"/>
      <c r="AK145" s="3"/>
    </row>
    <row r="146" spans="1:37" x14ac:dyDescent="0.25">
      <c r="A146">
        <v>139</v>
      </c>
      <c r="B146" s="10" t="s">
        <v>725</v>
      </c>
      <c r="C146" s="10" t="s">
        <v>1094</v>
      </c>
      <c r="D146" s="3" t="s">
        <v>726</v>
      </c>
      <c r="E146" s="3" t="s">
        <v>727</v>
      </c>
      <c r="F146" s="3" t="s">
        <v>728</v>
      </c>
      <c r="G146" s="3" t="s">
        <v>729</v>
      </c>
      <c r="H146" s="3" t="s">
        <v>14</v>
      </c>
      <c r="I146" s="3" t="s">
        <v>6</v>
      </c>
      <c r="J146" s="3" t="s">
        <v>15</v>
      </c>
      <c r="K146" s="3" t="s">
        <v>730</v>
      </c>
      <c r="L146" s="3"/>
      <c r="M146" s="3"/>
      <c r="N146" s="3"/>
      <c r="O146" s="3"/>
      <c r="P146" s="3"/>
      <c r="Q146" s="4">
        <v>46081</v>
      </c>
      <c r="R146" s="5">
        <v>698.74</v>
      </c>
      <c r="S146" s="3">
        <v>78</v>
      </c>
      <c r="T146" s="3"/>
      <c r="U146" s="3">
        <v>0</v>
      </c>
      <c r="V146" s="3" t="s">
        <v>8</v>
      </c>
      <c r="W146" s="5">
        <v>349.37</v>
      </c>
      <c r="X146" s="3">
        <v>0</v>
      </c>
      <c r="Y146" s="3">
        <v>0</v>
      </c>
      <c r="Z146" s="3">
        <v>0</v>
      </c>
      <c r="AA146" s="3">
        <v>0</v>
      </c>
      <c r="AB146" s="5">
        <v>349.37</v>
      </c>
      <c r="AC146"/>
      <c r="AD146" s="25"/>
      <c r="AE146" s="25"/>
      <c r="AF146" s="25"/>
      <c r="AG146" s="32"/>
      <c r="AH146" s="18"/>
      <c r="AI146" s="3"/>
      <c r="AJ146" s="3"/>
      <c r="AK146" s="3"/>
    </row>
    <row r="147" spans="1:37" x14ac:dyDescent="0.25">
      <c r="A147">
        <v>140</v>
      </c>
      <c r="B147" s="10" t="s">
        <v>731</v>
      </c>
      <c r="C147" s="10" t="s">
        <v>1095</v>
      </c>
      <c r="D147" s="3" t="s">
        <v>732</v>
      </c>
      <c r="E147" s="3" t="s">
        <v>733</v>
      </c>
      <c r="F147" s="3" t="s">
        <v>734</v>
      </c>
      <c r="G147" s="3" t="s">
        <v>735</v>
      </c>
      <c r="H147" s="3" t="s">
        <v>14</v>
      </c>
      <c r="I147" s="3" t="s">
        <v>6</v>
      </c>
      <c r="J147" s="3"/>
      <c r="K147" s="3" t="s">
        <v>736</v>
      </c>
      <c r="L147" s="3"/>
      <c r="M147" s="3"/>
      <c r="N147" s="3"/>
      <c r="O147" s="3">
        <v>2037</v>
      </c>
      <c r="P147" s="3"/>
      <c r="Q147" s="4">
        <v>46080</v>
      </c>
      <c r="R147" s="5">
        <v>938.4</v>
      </c>
      <c r="S147" s="3">
        <v>106</v>
      </c>
      <c r="T147" s="3"/>
      <c r="U147" s="3">
        <v>0</v>
      </c>
      <c r="V147" s="3" t="s">
        <v>8</v>
      </c>
      <c r="W147" s="5">
        <v>938.4</v>
      </c>
      <c r="X147" s="3">
        <v>0</v>
      </c>
      <c r="Y147" s="3">
        <v>0</v>
      </c>
      <c r="Z147" s="3">
        <v>0</v>
      </c>
      <c r="AA147" s="3">
        <v>0</v>
      </c>
      <c r="AB147" s="5">
        <v>938.4</v>
      </c>
      <c r="AC147"/>
      <c r="AD147" s="25"/>
      <c r="AE147" s="25"/>
      <c r="AF147" s="25"/>
      <c r="AG147" s="32"/>
      <c r="AH147" s="18"/>
      <c r="AI147" s="3"/>
      <c r="AJ147" s="3"/>
      <c r="AK147" s="3"/>
    </row>
    <row r="148" spans="1:37" x14ac:dyDescent="0.25">
      <c r="A148">
        <v>141</v>
      </c>
      <c r="B148" s="10" t="s">
        <v>737</v>
      </c>
      <c r="C148" s="10" t="s">
        <v>1096</v>
      </c>
      <c r="D148" s="3" t="s">
        <v>738</v>
      </c>
      <c r="E148" s="3" t="s">
        <v>739</v>
      </c>
      <c r="F148" s="3"/>
      <c r="G148" s="3" t="s">
        <v>740</v>
      </c>
      <c r="H148" s="3" t="s">
        <v>14</v>
      </c>
      <c r="I148" s="3"/>
      <c r="J148" s="3"/>
      <c r="K148" s="3" t="s">
        <v>741</v>
      </c>
      <c r="L148" s="3"/>
      <c r="M148" s="3"/>
      <c r="N148" s="3"/>
      <c r="O148" s="3">
        <v>2144</v>
      </c>
      <c r="P148" s="3"/>
      <c r="Q148" s="4">
        <v>46077</v>
      </c>
      <c r="R148" s="5">
        <v>2817.5</v>
      </c>
      <c r="S148" s="3">
        <v>179</v>
      </c>
      <c r="T148" s="3"/>
      <c r="U148" s="3">
        <v>0</v>
      </c>
      <c r="V148" s="3" t="s">
        <v>8</v>
      </c>
      <c r="W148" s="5">
        <v>2817.5</v>
      </c>
      <c r="X148" s="3">
        <v>0</v>
      </c>
      <c r="Y148" s="3">
        <v>0</v>
      </c>
      <c r="Z148" s="3">
        <v>0</v>
      </c>
      <c r="AA148" s="3">
        <v>0</v>
      </c>
      <c r="AB148" s="5">
        <v>2817.5</v>
      </c>
      <c r="AC148"/>
      <c r="AD148" s="25" t="s">
        <v>1163</v>
      </c>
      <c r="AE148" s="25" t="s">
        <v>737</v>
      </c>
      <c r="AF148" s="26">
        <v>2817.5</v>
      </c>
      <c r="AG148" s="32"/>
      <c r="AH148" s="19">
        <f>AF148</f>
        <v>2817.5</v>
      </c>
      <c r="AI148" s="3"/>
      <c r="AJ148" s="3"/>
      <c r="AK148" s="3"/>
    </row>
    <row r="149" spans="1:37" x14ac:dyDescent="0.25">
      <c r="A149">
        <v>142</v>
      </c>
      <c r="B149" s="10" t="s">
        <v>742</v>
      </c>
      <c r="C149" s="10" t="s">
        <v>1097</v>
      </c>
      <c r="D149" s="3" t="s">
        <v>743</v>
      </c>
      <c r="E149" s="3" t="s">
        <v>744</v>
      </c>
      <c r="F149" s="3" t="s">
        <v>745</v>
      </c>
      <c r="G149" s="3" t="s">
        <v>746</v>
      </c>
      <c r="H149" s="3" t="s">
        <v>14</v>
      </c>
      <c r="I149" s="3" t="s">
        <v>6</v>
      </c>
      <c r="J149" s="3" t="s">
        <v>15</v>
      </c>
      <c r="K149" s="3" t="s">
        <v>747</v>
      </c>
      <c r="L149" s="3"/>
      <c r="M149" s="3"/>
      <c r="N149" s="3" t="s">
        <v>22</v>
      </c>
      <c r="O149" s="3"/>
      <c r="P149" s="3"/>
      <c r="Q149" s="4">
        <v>46081</v>
      </c>
      <c r="R149" s="5">
        <v>232.14</v>
      </c>
      <c r="S149" s="3">
        <v>68</v>
      </c>
      <c r="T149" s="3"/>
      <c r="U149" s="3">
        <v>0</v>
      </c>
      <c r="V149" s="3" t="s">
        <v>8</v>
      </c>
      <c r="W149" s="5">
        <v>232.14</v>
      </c>
      <c r="X149" s="3">
        <v>0</v>
      </c>
      <c r="Y149" s="3">
        <v>0</v>
      </c>
      <c r="Z149" s="3">
        <v>0</v>
      </c>
      <c r="AA149" s="3">
        <v>0</v>
      </c>
      <c r="AB149" s="5">
        <v>232.14</v>
      </c>
      <c r="AC149"/>
      <c r="AD149" s="25"/>
      <c r="AE149" s="25"/>
      <c r="AF149" s="25"/>
      <c r="AG149" s="32"/>
      <c r="AH149" s="18"/>
      <c r="AI149" s="3"/>
      <c r="AJ149" s="3"/>
      <c r="AK149" s="3"/>
    </row>
    <row r="150" spans="1:37" x14ac:dyDescent="0.25">
      <c r="A150">
        <v>143</v>
      </c>
      <c r="B150" s="10">
        <v>1119</v>
      </c>
      <c r="C150" s="10"/>
      <c r="D150" s="3" t="s">
        <v>748</v>
      </c>
      <c r="E150" s="3" t="s">
        <v>749</v>
      </c>
      <c r="F150" s="3" t="s">
        <v>750</v>
      </c>
      <c r="G150" s="3" t="s">
        <v>751</v>
      </c>
      <c r="H150" s="3" t="s">
        <v>14</v>
      </c>
      <c r="I150" s="3" t="s">
        <v>6</v>
      </c>
      <c r="J150" s="3" t="s">
        <v>33</v>
      </c>
      <c r="K150" s="3" t="s">
        <v>752</v>
      </c>
      <c r="L150" s="3" t="s">
        <v>753</v>
      </c>
      <c r="M150" s="3" t="s">
        <v>754</v>
      </c>
      <c r="N150" s="3"/>
      <c r="O150" s="3">
        <v>3910</v>
      </c>
      <c r="P150" s="3"/>
      <c r="Q150" s="4">
        <v>45847</v>
      </c>
      <c r="R150" s="5">
        <v>5000</v>
      </c>
      <c r="S150" s="3">
        <v>300</v>
      </c>
      <c r="T150" s="3"/>
      <c r="U150" s="3">
        <v>0</v>
      </c>
      <c r="V150" s="3" t="s">
        <v>8</v>
      </c>
      <c r="W150" s="3">
        <v>0</v>
      </c>
      <c r="X150" s="3">
        <v>0</v>
      </c>
      <c r="Y150" s="3">
        <v>0</v>
      </c>
      <c r="Z150" s="3">
        <v>0</v>
      </c>
      <c r="AA150" s="5">
        <v>88002.8</v>
      </c>
      <c r="AB150" s="5">
        <v>88002.8</v>
      </c>
      <c r="AC150"/>
      <c r="AD150" s="25"/>
      <c r="AE150" s="25"/>
      <c r="AF150" s="25"/>
      <c r="AG150" s="32"/>
      <c r="AH150" s="18"/>
      <c r="AI150" s="3"/>
      <c r="AJ150" s="3"/>
      <c r="AK150" s="5"/>
    </row>
    <row r="151" spans="1:37" x14ac:dyDescent="0.25">
      <c r="A151">
        <v>144</v>
      </c>
      <c r="B151" s="10">
        <v>2275</v>
      </c>
      <c r="C151" s="10" t="s">
        <v>1098</v>
      </c>
      <c r="D151" s="3" t="s">
        <v>755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>
        <v>0</v>
      </c>
      <c r="S151" s="3">
        <v>31</v>
      </c>
      <c r="T151" s="3"/>
      <c r="U151" s="3">
        <v>0</v>
      </c>
      <c r="V151" s="3" t="s">
        <v>8</v>
      </c>
      <c r="W151" s="5">
        <v>13436.6</v>
      </c>
      <c r="X151" s="3">
        <v>0</v>
      </c>
      <c r="Y151" s="3">
        <v>0</v>
      </c>
      <c r="Z151" s="3">
        <v>0</v>
      </c>
      <c r="AA151" s="3">
        <v>0</v>
      </c>
      <c r="AB151" s="5">
        <v>13436.6</v>
      </c>
      <c r="AC151"/>
      <c r="AD151" s="25"/>
      <c r="AE151" s="25"/>
      <c r="AF151" s="25"/>
      <c r="AG151" s="32"/>
      <c r="AH151" s="18"/>
      <c r="AI151" s="3"/>
      <c r="AJ151" s="3"/>
      <c r="AK151" s="3"/>
    </row>
    <row r="152" spans="1:37" x14ac:dyDescent="0.25">
      <c r="A152">
        <v>145</v>
      </c>
      <c r="B152" s="10" t="s">
        <v>756</v>
      </c>
      <c r="C152" s="10"/>
      <c r="D152" s="3" t="s">
        <v>757</v>
      </c>
      <c r="E152" s="3" t="s">
        <v>758</v>
      </c>
      <c r="F152" s="3" t="s">
        <v>759</v>
      </c>
      <c r="G152" s="3" t="s">
        <v>760</v>
      </c>
      <c r="H152" s="3" t="s">
        <v>236</v>
      </c>
      <c r="I152" s="3" t="s">
        <v>6</v>
      </c>
      <c r="J152" s="3" t="s">
        <v>33</v>
      </c>
      <c r="K152" s="3" t="s">
        <v>761</v>
      </c>
      <c r="L152" s="3"/>
      <c r="M152" s="3"/>
      <c r="N152" s="3"/>
      <c r="O152" s="3">
        <v>2128</v>
      </c>
      <c r="P152" s="3"/>
      <c r="Q152" s="4">
        <v>43231</v>
      </c>
      <c r="R152" s="5">
        <v>164934.66</v>
      </c>
      <c r="S152" s="3">
        <v>1540</v>
      </c>
      <c r="T152" s="3"/>
      <c r="U152" s="3">
        <v>0</v>
      </c>
      <c r="V152" s="3" t="s">
        <v>8</v>
      </c>
      <c r="W152" s="3">
        <v>0</v>
      </c>
      <c r="X152" s="3">
        <v>0</v>
      </c>
      <c r="Y152" s="3">
        <v>0</v>
      </c>
      <c r="Z152" s="3">
        <v>0</v>
      </c>
      <c r="AA152" s="5">
        <v>0</v>
      </c>
      <c r="AB152" s="5">
        <v>0</v>
      </c>
      <c r="AC152"/>
      <c r="AD152" s="25"/>
      <c r="AE152" s="25"/>
      <c r="AF152" s="25"/>
      <c r="AG152" s="32"/>
      <c r="AH152" s="18"/>
      <c r="AI152" s="3"/>
      <c r="AJ152" s="3"/>
      <c r="AK152" s="5"/>
    </row>
    <row r="153" spans="1:37" x14ac:dyDescent="0.25">
      <c r="A153">
        <v>146</v>
      </c>
      <c r="B153" s="10">
        <v>682</v>
      </c>
      <c r="C153" s="10" t="s">
        <v>1099</v>
      </c>
      <c r="D153" s="3" t="s">
        <v>762</v>
      </c>
      <c r="E153" s="3" t="s">
        <v>763</v>
      </c>
      <c r="F153" s="3" t="s">
        <v>764</v>
      </c>
      <c r="G153" s="3" t="s">
        <v>765</v>
      </c>
      <c r="H153" s="3" t="s">
        <v>14</v>
      </c>
      <c r="I153" s="3" t="s">
        <v>6</v>
      </c>
      <c r="J153" s="3" t="s">
        <v>15</v>
      </c>
      <c r="K153" s="3"/>
      <c r="L153" s="3"/>
      <c r="M153" s="3"/>
      <c r="N153" s="3"/>
      <c r="O153" s="3"/>
      <c r="P153" s="3"/>
      <c r="Q153" s="4">
        <v>46081</v>
      </c>
      <c r="R153" s="5">
        <v>5559.8</v>
      </c>
      <c r="S153" s="3">
        <v>261</v>
      </c>
      <c r="T153" s="3"/>
      <c r="U153" s="3">
        <v>0</v>
      </c>
      <c r="V153" s="3" t="s">
        <v>8</v>
      </c>
      <c r="W153" s="5">
        <v>5559.8</v>
      </c>
      <c r="X153" s="3">
        <v>0</v>
      </c>
      <c r="Y153" s="3">
        <v>0</v>
      </c>
      <c r="Z153" s="3">
        <v>0</v>
      </c>
      <c r="AA153" s="3">
        <v>0</v>
      </c>
      <c r="AB153" s="5">
        <v>5559.8</v>
      </c>
      <c r="AC153"/>
      <c r="AD153" s="25" t="s">
        <v>1201</v>
      </c>
      <c r="AE153" s="25" t="s">
        <v>762</v>
      </c>
      <c r="AF153" s="26">
        <v>5559.8</v>
      </c>
      <c r="AG153" s="33">
        <f>W153</f>
        <v>5559.8</v>
      </c>
      <c r="AH153" s="18"/>
      <c r="AI153" s="3"/>
      <c r="AJ153" s="3"/>
      <c r="AK153" s="3"/>
    </row>
    <row r="154" spans="1:37" x14ac:dyDescent="0.25">
      <c r="A154">
        <v>147</v>
      </c>
      <c r="B154" s="10">
        <v>2276</v>
      </c>
      <c r="C154" s="10" t="s">
        <v>1100</v>
      </c>
      <c r="D154" s="3" t="s">
        <v>766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>
        <v>0</v>
      </c>
      <c r="S154" s="3">
        <v>31</v>
      </c>
      <c r="T154" s="3"/>
      <c r="U154" s="3">
        <v>0</v>
      </c>
      <c r="V154" s="3" t="s">
        <v>8</v>
      </c>
      <c r="W154" s="5">
        <v>19807.599999999999</v>
      </c>
      <c r="X154" s="3">
        <v>0</v>
      </c>
      <c r="Y154" s="3">
        <v>0</v>
      </c>
      <c r="Z154" s="3">
        <v>0</v>
      </c>
      <c r="AA154" s="3">
        <v>0</v>
      </c>
      <c r="AB154" s="5">
        <v>19807.599999999999</v>
      </c>
      <c r="AC154"/>
      <c r="AD154" s="25"/>
      <c r="AE154" s="25"/>
      <c r="AF154" s="25"/>
      <c r="AG154" s="32"/>
      <c r="AH154" s="18"/>
      <c r="AI154" s="3"/>
      <c r="AJ154" s="3"/>
      <c r="AK154" s="3"/>
    </row>
    <row r="155" spans="1:37" x14ac:dyDescent="0.25">
      <c r="A155">
        <v>148</v>
      </c>
      <c r="B155" s="10" t="s">
        <v>767</v>
      </c>
      <c r="C155" s="10" t="s">
        <v>1101</v>
      </c>
      <c r="D155" s="3" t="s">
        <v>768</v>
      </c>
      <c r="E155" s="3" t="s">
        <v>769</v>
      </c>
      <c r="F155" s="3" t="s">
        <v>770</v>
      </c>
      <c r="G155" s="3" t="s">
        <v>771</v>
      </c>
      <c r="H155" s="3" t="s">
        <v>14</v>
      </c>
      <c r="I155" s="3"/>
      <c r="J155" s="3"/>
      <c r="K155" s="3" t="s">
        <v>772</v>
      </c>
      <c r="L155" s="3"/>
      <c r="M155" s="3"/>
      <c r="N155" s="3"/>
      <c r="O155" s="3">
        <v>1465</v>
      </c>
      <c r="P155" s="3"/>
      <c r="Q155" s="4">
        <v>46052</v>
      </c>
      <c r="R155" s="5">
        <v>21721.360000000001</v>
      </c>
      <c r="S155" s="3">
        <v>172</v>
      </c>
      <c r="T155" s="3"/>
      <c r="U155" s="3">
        <v>0</v>
      </c>
      <c r="V155" s="3" t="s">
        <v>8</v>
      </c>
      <c r="W155" s="5">
        <v>10860.68</v>
      </c>
      <c r="X155" s="5">
        <v>10860.68</v>
      </c>
      <c r="Y155" s="3">
        <v>0</v>
      </c>
      <c r="Z155" s="3">
        <v>0</v>
      </c>
      <c r="AA155" s="3">
        <v>0</v>
      </c>
      <c r="AB155" s="5">
        <v>21721.360000000001</v>
      </c>
      <c r="AC155"/>
      <c r="AD155" s="25" t="s">
        <v>1154</v>
      </c>
      <c r="AE155" s="25" t="s">
        <v>1171</v>
      </c>
      <c r="AF155" s="26">
        <v>10860.68</v>
      </c>
      <c r="AG155" s="32"/>
      <c r="AH155" s="19">
        <f>X155</f>
        <v>10860.68</v>
      </c>
      <c r="AI155" s="3"/>
      <c r="AJ155" s="3"/>
      <c r="AK155" s="3"/>
    </row>
    <row r="156" spans="1:37" x14ac:dyDescent="0.25">
      <c r="A156">
        <v>149</v>
      </c>
      <c r="B156" s="10" t="s">
        <v>773</v>
      </c>
      <c r="C156" s="10" t="s">
        <v>1102</v>
      </c>
      <c r="D156" s="3" t="s">
        <v>774</v>
      </c>
      <c r="E156" s="3" t="s">
        <v>774</v>
      </c>
      <c r="F156" s="3" t="s">
        <v>775</v>
      </c>
      <c r="G156" s="3" t="s">
        <v>776</v>
      </c>
      <c r="H156" s="3" t="s">
        <v>14</v>
      </c>
      <c r="I156" s="3" t="s">
        <v>6</v>
      </c>
      <c r="J156" s="3" t="s">
        <v>15</v>
      </c>
      <c r="K156" s="3" t="s">
        <v>777</v>
      </c>
      <c r="L156" s="3"/>
      <c r="M156" s="3"/>
      <c r="N156" s="3"/>
      <c r="O156" s="3">
        <v>2196</v>
      </c>
      <c r="P156" s="3"/>
      <c r="Q156" s="4">
        <v>46081</v>
      </c>
      <c r="R156" s="5">
        <v>162.97999999999999</v>
      </c>
      <c r="S156" s="3">
        <v>60</v>
      </c>
      <c r="T156" s="3"/>
      <c r="U156" s="3">
        <v>0</v>
      </c>
      <c r="V156" s="3" t="s">
        <v>8</v>
      </c>
      <c r="W156" s="5">
        <v>162.97999999999999</v>
      </c>
      <c r="X156" s="3">
        <v>0</v>
      </c>
      <c r="Y156" s="3">
        <v>0</v>
      </c>
      <c r="Z156" s="3">
        <v>0</v>
      </c>
      <c r="AA156" s="3">
        <v>0</v>
      </c>
      <c r="AB156" s="5">
        <v>162.97999999999999</v>
      </c>
      <c r="AC156"/>
      <c r="AD156" s="25"/>
      <c r="AE156" s="25"/>
      <c r="AF156" s="25"/>
      <c r="AG156" s="32"/>
      <c r="AH156" s="18"/>
      <c r="AI156" s="3"/>
      <c r="AJ156" s="3"/>
      <c r="AK156" s="3"/>
    </row>
    <row r="157" spans="1:37" x14ac:dyDescent="0.25">
      <c r="A157">
        <v>150</v>
      </c>
      <c r="B157" s="10" t="s">
        <v>778</v>
      </c>
      <c r="C157" s="10" t="s">
        <v>1103</v>
      </c>
      <c r="D157" s="3" t="s">
        <v>779</v>
      </c>
      <c r="E157" s="3" t="s">
        <v>314</v>
      </c>
      <c r="F157" s="3" t="s">
        <v>315</v>
      </c>
      <c r="G157" s="3" t="s">
        <v>316</v>
      </c>
      <c r="H157" s="3" t="s">
        <v>14</v>
      </c>
      <c r="I157" s="3" t="s">
        <v>6</v>
      </c>
      <c r="J157" s="3"/>
      <c r="K157" s="3" t="s">
        <v>780</v>
      </c>
      <c r="L157" s="3"/>
      <c r="M157" s="3"/>
      <c r="N157" s="3"/>
      <c r="O157" s="3">
        <v>1540</v>
      </c>
      <c r="P157" s="3"/>
      <c r="Q157" s="4">
        <v>46081</v>
      </c>
      <c r="R157" s="5">
        <v>8345.5</v>
      </c>
      <c r="S157" s="3">
        <v>43</v>
      </c>
      <c r="T157" s="3"/>
      <c r="U157" s="3">
        <v>0</v>
      </c>
      <c r="V157" s="3" t="s">
        <v>8</v>
      </c>
      <c r="W157" s="5">
        <v>8345.5</v>
      </c>
      <c r="X157" s="3">
        <v>0</v>
      </c>
      <c r="Y157" s="3">
        <v>0</v>
      </c>
      <c r="Z157" s="3">
        <v>0</v>
      </c>
      <c r="AA157" s="3">
        <v>0</v>
      </c>
      <c r="AB157" s="5">
        <v>8345.5</v>
      </c>
      <c r="AC157"/>
      <c r="AD157" s="25"/>
      <c r="AE157" s="25"/>
      <c r="AF157" s="25"/>
      <c r="AG157" s="32"/>
      <c r="AH157" s="18"/>
      <c r="AI157" s="3"/>
      <c r="AJ157" s="3"/>
      <c r="AK157" s="3"/>
    </row>
    <row r="158" spans="1:37" x14ac:dyDescent="0.25">
      <c r="A158">
        <v>151</v>
      </c>
      <c r="B158" s="10" t="s">
        <v>781</v>
      </c>
      <c r="C158" s="10" t="s">
        <v>1104</v>
      </c>
      <c r="D158" s="3" t="s">
        <v>782</v>
      </c>
      <c r="E158" s="3" t="s">
        <v>783</v>
      </c>
      <c r="F158" s="3"/>
      <c r="G158" s="3" t="s">
        <v>784</v>
      </c>
      <c r="H158" s="3" t="s">
        <v>14</v>
      </c>
      <c r="I158" s="3" t="s">
        <v>6</v>
      </c>
      <c r="J158" s="3" t="s">
        <v>15</v>
      </c>
      <c r="K158" s="3" t="s">
        <v>785</v>
      </c>
      <c r="L158" s="3"/>
      <c r="M158" s="3"/>
      <c r="N158" s="3" t="s">
        <v>22</v>
      </c>
      <c r="O158" s="3"/>
      <c r="P158" s="3"/>
      <c r="Q158" s="4">
        <v>46081</v>
      </c>
      <c r="R158" s="5">
        <v>297.85000000000002</v>
      </c>
      <c r="S158" s="3">
        <v>68</v>
      </c>
      <c r="T158" s="3"/>
      <c r="U158" s="3">
        <v>0</v>
      </c>
      <c r="V158" s="3" t="s">
        <v>8</v>
      </c>
      <c r="W158" s="5">
        <v>297.85000000000002</v>
      </c>
      <c r="X158" s="3">
        <v>0</v>
      </c>
      <c r="Y158" s="3">
        <v>0</v>
      </c>
      <c r="Z158" s="3">
        <v>0</v>
      </c>
      <c r="AA158" s="3">
        <v>0</v>
      </c>
      <c r="AB158" s="5">
        <v>297.85000000000002</v>
      </c>
      <c r="AC158"/>
      <c r="AD158" s="25"/>
      <c r="AE158" s="25"/>
      <c r="AF158" s="25"/>
      <c r="AG158" s="32"/>
      <c r="AH158" s="18"/>
      <c r="AI158" s="3"/>
      <c r="AJ158" s="3"/>
      <c r="AK158" s="3"/>
    </row>
    <row r="159" spans="1:37" x14ac:dyDescent="0.25">
      <c r="A159">
        <v>152</v>
      </c>
      <c r="B159" s="10" t="s">
        <v>786</v>
      </c>
      <c r="C159" s="10"/>
      <c r="D159" s="3" t="s">
        <v>787</v>
      </c>
      <c r="E159" s="3" t="s">
        <v>788</v>
      </c>
      <c r="F159" s="3" t="s">
        <v>789</v>
      </c>
      <c r="G159" s="3" t="s">
        <v>790</v>
      </c>
      <c r="H159" s="3" t="s">
        <v>82</v>
      </c>
      <c r="I159" s="3" t="s">
        <v>6</v>
      </c>
      <c r="J159" s="3" t="s">
        <v>15</v>
      </c>
      <c r="K159" s="3" t="s">
        <v>791</v>
      </c>
      <c r="L159" s="3"/>
      <c r="M159" s="3"/>
      <c r="N159" s="3"/>
      <c r="O159" s="6" t="s">
        <v>792</v>
      </c>
      <c r="P159" s="3"/>
      <c r="Q159" s="4">
        <v>43565</v>
      </c>
      <c r="R159" s="3">
        <v>0</v>
      </c>
      <c r="S159" s="3">
        <v>432</v>
      </c>
      <c r="T159" s="3" t="s">
        <v>793</v>
      </c>
      <c r="U159" s="3">
        <v>0</v>
      </c>
      <c r="V159" s="3" t="s">
        <v>8</v>
      </c>
      <c r="W159" s="3">
        <v>0</v>
      </c>
      <c r="X159" s="3">
        <v>0</v>
      </c>
      <c r="Y159" s="3">
        <v>0</v>
      </c>
      <c r="Z159" s="3">
        <v>0</v>
      </c>
      <c r="AA159" s="3">
        <v>0.01</v>
      </c>
      <c r="AB159" s="3">
        <v>0.01</v>
      </c>
      <c r="AC159"/>
      <c r="AD159" s="25"/>
      <c r="AE159" s="25"/>
      <c r="AF159" s="25"/>
      <c r="AG159" s="32"/>
      <c r="AH159" s="18"/>
      <c r="AI159" s="3"/>
      <c r="AJ159" s="3"/>
      <c r="AK159" s="3"/>
    </row>
    <row r="160" spans="1:37" x14ac:dyDescent="0.25">
      <c r="A160">
        <v>153</v>
      </c>
      <c r="B160" s="10" t="s">
        <v>794</v>
      </c>
      <c r="C160" s="10" t="s">
        <v>1105</v>
      </c>
      <c r="D160" s="3" t="s">
        <v>795</v>
      </c>
      <c r="E160" s="3" t="s">
        <v>796</v>
      </c>
      <c r="F160" s="3" t="s">
        <v>797</v>
      </c>
      <c r="G160" s="3" t="s">
        <v>798</v>
      </c>
      <c r="H160" s="3" t="s">
        <v>14</v>
      </c>
      <c r="I160" s="3" t="s">
        <v>6</v>
      </c>
      <c r="J160" s="3"/>
      <c r="K160" s="3" t="s">
        <v>799</v>
      </c>
      <c r="L160" s="3"/>
      <c r="M160" s="3"/>
      <c r="N160" s="3"/>
      <c r="O160" s="6" t="s">
        <v>800</v>
      </c>
      <c r="P160" s="3"/>
      <c r="Q160" s="4">
        <v>46080</v>
      </c>
      <c r="R160" s="5">
        <v>71630.789999999994</v>
      </c>
      <c r="S160" s="3">
        <v>346</v>
      </c>
      <c r="T160" s="3"/>
      <c r="U160" s="3">
        <v>0</v>
      </c>
      <c r="V160" s="3" t="s">
        <v>8</v>
      </c>
      <c r="W160" s="5">
        <v>5017</v>
      </c>
      <c r="X160" s="3">
        <v>0</v>
      </c>
      <c r="Y160" s="3">
        <v>0</v>
      </c>
      <c r="Z160" s="3">
        <v>0</v>
      </c>
      <c r="AA160" s="5">
        <v>-0.01</v>
      </c>
      <c r="AB160" s="5">
        <v>5016.99</v>
      </c>
      <c r="AC160"/>
      <c r="AD160" s="25" t="s">
        <v>1167</v>
      </c>
      <c r="AE160" s="25" t="s">
        <v>1168</v>
      </c>
      <c r="AF160" s="26">
        <v>5017</v>
      </c>
      <c r="AG160" s="33">
        <f>W160</f>
        <v>5017</v>
      </c>
      <c r="AH160" s="18"/>
      <c r="AI160" s="3"/>
      <c r="AJ160" s="3"/>
      <c r="AK160" s="5"/>
    </row>
    <row r="161" spans="1:37" x14ac:dyDescent="0.25">
      <c r="A161">
        <v>154</v>
      </c>
      <c r="B161" s="10" t="s">
        <v>801</v>
      </c>
      <c r="C161" s="3" t="s">
        <v>1106</v>
      </c>
      <c r="D161" s="3" t="s">
        <v>802</v>
      </c>
      <c r="E161" s="3" t="s">
        <v>803</v>
      </c>
      <c r="F161" s="3" t="s">
        <v>804</v>
      </c>
      <c r="G161" s="3" t="s">
        <v>805</v>
      </c>
      <c r="H161" s="3" t="s">
        <v>14</v>
      </c>
      <c r="I161" s="3"/>
      <c r="J161" s="3"/>
      <c r="K161" s="3" t="s">
        <v>806</v>
      </c>
      <c r="L161" s="3"/>
      <c r="M161" s="3"/>
      <c r="N161" s="3"/>
      <c r="O161" s="3">
        <v>1462</v>
      </c>
      <c r="P161" s="3"/>
      <c r="Q161" s="4">
        <v>46055</v>
      </c>
      <c r="R161" s="5">
        <v>25968.959999999999</v>
      </c>
      <c r="S161" s="3">
        <v>1218</v>
      </c>
      <c r="T161" s="3"/>
      <c r="U161" s="3">
        <v>0</v>
      </c>
      <c r="V161" s="3" t="s">
        <v>8</v>
      </c>
      <c r="W161" s="5">
        <v>26116.12</v>
      </c>
      <c r="X161" s="5">
        <v>23990.9</v>
      </c>
      <c r="Y161" s="3">
        <v>0</v>
      </c>
      <c r="Z161" s="3">
        <v>0</v>
      </c>
      <c r="AA161" s="3">
        <v>0.02</v>
      </c>
      <c r="AB161" s="5">
        <v>50107.040000000001</v>
      </c>
      <c r="AC161"/>
      <c r="AD161" s="25" t="s">
        <v>1147</v>
      </c>
      <c r="AE161" s="25" t="s">
        <v>1185</v>
      </c>
      <c r="AF161" s="26">
        <v>23990.9</v>
      </c>
      <c r="AG161" s="32"/>
      <c r="AH161" s="19">
        <f>AF161</f>
        <v>23990.9</v>
      </c>
      <c r="AI161" s="3"/>
      <c r="AJ161" s="3"/>
      <c r="AK161" s="3"/>
    </row>
    <row r="162" spans="1:37" x14ac:dyDescent="0.25">
      <c r="A162">
        <v>155</v>
      </c>
      <c r="B162" s="10" t="s">
        <v>807</v>
      </c>
      <c r="C162" s="10" t="s">
        <v>1107</v>
      </c>
      <c r="D162" s="3" t="s">
        <v>808</v>
      </c>
      <c r="E162" s="3" t="s">
        <v>809</v>
      </c>
      <c r="F162" s="3" t="s">
        <v>810</v>
      </c>
      <c r="G162" s="3" t="s">
        <v>811</v>
      </c>
      <c r="H162" s="3" t="s">
        <v>14</v>
      </c>
      <c r="I162" s="3"/>
      <c r="J162" s="3" t="s">
        <v>15</v>
      </c>
      <c r="K162" s="3" t="s">
        <v>812</v>
      </c>
      <c r="L162" s="3"/>
      <c r="M162" s="3"/>
      <c r="N162" s="3"/>
      <c r="O162" s="3">
        <v>2090</v>
      </c>
      <c r="P162" s="3"/>
      <c r="Q162" s="4">
        <v>46081</v>
      </c>
      <c r="R162" s="5">
        <v>188.7</v>
      </c>
      <c r="S162" s="3">
        <v>76</v>
      </c>
      <c r="T162" s="3"/>
      <c r="U162" s="3">
        <v>0</v>
      </c>
      <c r="V162" s="3" t="s">
        <v>8</v>
      </c>
      <c r="W162" s="5">
        <v>188.7</v>
      </c>
      <c r="X162" s="3">
        <v>0</v>
      </c>
      <c r="Y162" s="3">
        <v>0</v>
      </c>
      <c r="Z162" s="3">
        <v>0</v>
      </c>
      <c r="AA162" s="3">
        <v>0</v>
      </c>
      <c r="AB162" s="5">
        <v>188.7</v>
      </c>
      <c r="AC162"/>
      <c r="AD162" s="25"/>
      <c r="AE162" s="25"/>
      <c r="AF162" s="25"/>
      <c r="AG162" s="32"/>
      <c r="AH162" s="18"/>
      <c r="AI162" s="3"/>
      <c r="AJ162" s="3"/>
      <c r="AK162" s="3"/>
    </row>
    <row r="163" spans="1:37" x14ac:dyDescent="0.25">
      <c r="A163">
        <v>156</v>
      </c>
      <c r="B163" s="10" t="s">
        <v>813</v>
      </c>
      <c r="C163" s="10" t="s">
        <v>1108</v>
      </c>
      <c r="D163" s="3" t="s">
        <v>814</v>
      </c>
      <c r="E163" s="3" t="s">
        <v>815</v>
      </c>
      <c r="F163" s="3" t="s">
        <v>816</v>
      </c>
      <c r="G163" s="3" t="s">
        <v>817</v>
      </c>
      <c r="H163" s="3" t="s">
        <v>14</v>
      </c>
      <c r="I163" s="3" t="s">
        <v>6</v>
      </c>
      <c r="J163" s="3"/>
      <c r="K163" s="3" t="s">
        <v>818</v>
      </c>
      <c r="L163" s="3"/>
      <c r="M163" s="3"/>
      <c r="N163" s="3"/>
      <c r="O163" s="3">
        <v>8305</v>
      </c>
      <c r="P163" s="3"/>
      <c r="Q163" s="4">
        <v>46080</v>
      </c>
      <c r="R163" s="5">
        <v>9359.0499999999993</v>
      </c>
      <c r="S163" s="3">
        <v>293</v>
      </c>
      <c r="T163" s="3"/>
      <c r="U163" s="3">
        <v>0</v>
      </c>
      <c r="V163" s="3" t="s">
        <v>8</v>
      </c>
      <c r="W163" s="5">
        <v>16364.48</v>
      </c>
      <c r="X163" s="5">
        <v>48581.06</v>
      </c>
      <c r="Y163" s="3">
        <v>0</v>
      </c>
      <c r="Z163" s="3">
        <v>0</v>
      </c>
      <c r="AA163" s="5">
        <v>-402.56</v>
      </c>
      <c r="AB163" s="5">
        <v>64542.98</v>
      </c>
      <c r="AC163"/>
      <c r="AD163" s="25" t="s">
        <v>1201</v>
      </c>
      <c r="AE163" s="25" t="s">
        <v>1266</v>
      </c>
      <c r="AF163" s="26">
        <v>19464.05</v>
      </c>
      <c r="AG163" s="33">
        <f>AF163</f>
        <v>19464.05</v>
      </c>
      <c r="AH163" s="19"/>
      <c r="AI163" s="3"/>
      <c r="AJ163" s="3"/>
      <c r="AK163" s="5"/>
    </row>
    <row r="164" spans="1:37" x14ac:dyDescent="0.25">
      <c r="A164">
        <v>157</v>
      </c>
      <c r="B164" s="10" t="s">
        <v>819</v>
      </c>
      <c r="C164" s="10" t="s">
        <v>1109</v>
      </c>
      <c r="D164" s="3" t="s">
        <v>820</v>
      </c>
      <c r="E164" s="3" t="s">
        <v>821</v>
      </c>
      <c r="F164" s="3" t="s">
        <v>822</v>
      </c>
      <c r="G164" s="3" t="s">
        <v>823</v>
      </c>
      <c r="H164" s="3" t="s">
        <v>14</v>
      </c>
      <c r="I164" s="3" t="s">
        <v>6</v>
      </c>
      <c r="J164" s="3" t="s">
        <v>15</v>
      </c>
      <c r="K164" s="3" t="s">
        <v>824</v>
      </c>
      <c r="L164" s="3"/>
      <c r="M164" s="3"/>
      <c r="N164" s="3"/>
      <c r="O164" s="3">
        <v>2067</v>
      </c>
      <c r="P164" s="3"/>
      <c r="Q164" s="4">
        <v>46081</v>
      </c>
      <c r="R164" s="5">
        <v>204.7</v>
      </c>
      <c r="S164" s="3">
        <v>107</v>
      </c>
      <c r="T164" s="3"/>
      <c r="U164" s="3">
        <v>0</v>
      </c>
      <c r="V164" s="3" t="s">
        <v>8</v>
      </c>
      <c r="W164" s="5">
        <v>204.7</v>
      </c>
      <c r="X164" s="3">
        <v>0</v>
      </c>
      <c r="Y164" s="3">
        <v>0</v>
      </c>
      <c r="Z164" s="3">
        <v>0</v>
      </c>
      <c r="AA164" s="3">
        <v>0</v>
      </c>
      <c r="AB164" s="5">
        <v>204.7</v>
      </c>
      <c r="AC164"/>
      <c r="AD164" s="25"/>
      <c r="AE164" s="25"/>
      <c r="AF164" s="25"/>
      <c r="AG164" s="32"/>
      <c r="AH164" s="18"/>
      <c r="AI164" s="3"/>
      <c r="AJ164" s="3"/>
      <c r="AK164" s="3"/>
    </row>
    <row r="165" spans="1:37" x14ac:dyDescent="0.25">
      <c r="A165">
        <v>158</v>
      </c>
      <c r="B165" s="10" t="s">
        <v>825</v>
      </c>
      <c r="C165" s="10" t="s">
        <v>1110</v>
      </c>
      <c r="D165" s="3" t="s">
        <v>826</v>
      </c>
      <c r="E165" s="3" t="s">
        <v>827</v>
      </c>
      <c r="F165" s="3"/>
      <c r="G165" s="3" t="s">
        <v>828</v>
      </c>
      <c r="H165" s="3" t="s">
        <v>14</v>
      </c>
      <c r="I165" s="3" t="s">
        <v>6</v>
      </c>
      <c r="J165" s="3"/>
      <c r="K165" s="3" t="s">
        <v>829</v>
      </c>
      <c r="L165" s="3"/>
      <c r="M165" s="3"/>
      <c r="N165" s="3" t="s">
        <v>22</v>
      </c>
      <c r="O165" s="3">
        <v>1401</v>
      </c>
      <c r="P165" s="3"/>
      <c r="Q165" s="4">
        <v>46060</v>
      </c>
      <c r="R165" s="5">
        <v>11641.45</v>
      </c>
      <c r="S165" s="3">
        <v>56</v>
      </c>
      <c r="T165" s="3"/>
      <c r="U165" s="3">
        <v>0</v>
      </c>
      <c r="V165" s="3" t="s">
        <v>8</v>
      </c>
      <c r="W165" s="5">
        <v>5828.2</v>
      </c>
      <c r="X165" s="5">
        <v>5828.2</v>
      </c>
      <c r="Y165" s="3">
        <v>0</v>
      </c>
      <c r="Z165" s="3">
        <v>0</v>
      </c>
      <c r="AA165" s="3">
        <v>0</v>
      </c>
      <c r="AB165" s="5">
        <v>11656.4</v>
      </c>
      <c r="AC165"/>
      <c r="AD165" s="25" t="s">
        <v>1151</v>
      </c>
      <c r="AE165" s="25" t="s">
        <v>826</v>
      </c>
      <c r="AF165" s="26">
        <v>5828.2</v>
      </c>
      <c r="AH165" s="19">
        <f>X165</f>
        <v>5828.2</v>
      </c>
      <c r="AI165" s="3"/>
      <c r="AJ165" s="3"/>
      <c r="AK165" s="3"/>
    </row>
    <row r="166" spans="1:37" x14ac:dyDescent="0.25">
      <c r="A166">
        <v>159</v>
      </c>
      <c r="B166" s="10" t="s">
        <v>830</v>
      </c>
      <c r="C166" s="10" t="s">
        <v>1111</v>
      </c>
      <c r="D166" s="3" t="s">
        <v>831</v>
      </c>
      <c r="E166" s="3" t="s">
        <v>832</v>
      </c>
      <c r="F166" s="3" t="s">
        <v>833</v>
      </c>
      <c r="G166" s="3" t="s">
        <v>834</v>
      </c>
      <c r="H166" s="3" t="s">
        <v>14</v>
      </c>
      <c r="I166" s="3" t="s">
        <v>6</v>
      </c>
      <c r="J166" s="3" t="s">
        <v>15</v>
      </c>
      <c r="K166" s="3" t="s">
        <v>835</v>
      </c>
      <c r="L166" s="3"/>
      <c r="M166" s="3"/>
      <c r="N166" s="3"/>
      <c r="O166" s="3">
        <v>2130</v>
      </c>
      <c r="P166" s="3"/>
      <c r="Q166" s="4">
        <v>46081</v>
      </c>
      <c r="R166" s="5">
        <v>227.7</v>
      </c>
      <c r="S166" s="3">
        <v>55</v>
      </c>
      <c r="T166" s="3"/>
      <c r="U166" s="3">
        <v>0</v>
      </c>
      <c r="V166" s="3" t="s">
        <v>8</v>
      </c>
      <c r="W166" s="5">
        <v>227.7</v>
      </c>
      <c r="X166" s="3">
        <v>0</v>
      </c>
      <c r="Y166" s="3">
        <v>0</v>
      </c>
      <c r="Z166" s="3">
        <v>0</v>
      </c>
      <c r="AA166" s="3">
        <v>0</v>
      </c>
      <c r="AB166" s="5">
        <v>227.7</v>
      </c>
      <c r="AC166"/>
      <c r="AD166" s="25"/>
      <c r="AE166" s="25"/>
      <c r="AF166" s="25"/>
      <c r="AG166" s="32"/>
      <c r="AH166" s="18"/>
      <c r="AI166" s="3"/>
      <c r="AJ166" s="3"/>
      <c r="AK166" s="3"/>
    </row>
    <row r="167" spans="1:37" x14ac:dyDescent="0.25">
      <c r="A167">
        <v>160</v>
      </c>
      <c r="B167" s="10" t="s">
        <v>836</v>
      </c>
      <c r="C167" s="10" t="s">
        <v>1112</v>
      </c>
      <c r="D167" s="3" t="s">
        <v>837</v>
      </c>
      <c r="E167" s="3"/>
      <c r="F167" s="3"/>
      <c r="G167" s="3"/>
      <c r="H167" s="3" t="s">
        <v>14</v>
      </c>
      <c r="I167" s="3" t="s">
        <v>6</v>
      </c>
      <c r="J167" s="3"/>
      <c r="K167" s="3" t="s">
        <v>838</v>
      </c>
      <c r="L167" s="3"/>
      <c r="M167" s="3"/>
      <c r="N167" s="3"/>
      <c r="O167" s="3">
        <v>3600</v>
      </c>
      <c r="P167" s="3"/>
      <c r="Q167" s="4">
        <v>46078</v>
      </c>
      <c r="R167" s="5">
        <v>1309.52</v>
      </c>
      <c r="S167" s="3">
        <v>204</v>
      </c>
      <c r="T167" s="3"/>
      <c r="U167" s="3">
        <v>0</v>
      </c>
      <c r="V167" s="3" t="s">
        <v>8</v>
      </c>
      <c r="W167" s="5">
        <v>7202.4</v>
      </c>
      <c r="X167" s="5">
        <v>6547.64</v>
      </c>
      <c r="Y167" s="3">
        <v>0</v>
      </c>
      <c r="Z167" s="3">
        <v>0</v>
      </c>
      <c r="AA167" s="3">
        <v>0.9</v>
      </c>
      <c r="AB167" s="5">
        <v>13750.94</v>
      </c>
      <c r="AC167"/>
      <c r="AD167" s="25" t="s">
        <v>1154</v>
      </c>
      <c r="AE167" s="25" t="s">
        <v>1155</v>
      </c>
      <c r="AF167" s="26">
        <v>654.76</v>
      </c>
      <c r="AG167" s="32"/>
      <c r="AH167" s="19">
        <f>AF167</f>
        <v>654.76</v>
      </c>
      <c r="AI167" s="3"/>
      <c r="AJ167" s="3"/>
      <c r="AK167" s="3"/>
    </row>
    <row r="168" spans="1:37" x14ac:dyDescent="0.25">
      <c r="A168">
        <v>161</v>
      </c>
      <c r="B168" s="10" t="s">
        <v>839</v>
      </c>
      <c r="C168" s="10"/>
      <c r="D168" s="3" t="s">
        <v>840</v>
      </c>
      <c r="E168" s="3" t="s">
        <v>841</v>
      </c>
      <c r="F168" s="3" t="s">
        <v>842</v>
      </c>
      <c r="G168" s="3" t="s">
        <v>843</v>
      </c>
      <c r="H168" s="3" t="s">
        <v>14</v>
      </c>
      <c r="I168" s="3"/>
      <c r="J168" s="3" t="s">
        <v>15</v>
      </c>
      <c r="K168" s="3" t="s">
        <v>844</v>
      </c>
      <c r="L168" s="3"/>
      <c r="M168" s="3" t="s">
        <v>69</v>
      </c>
      <c r="N168" s="3"/>
      <c r="O168" s="3">
        <v>1501</v>
      </c>
      <c r="P168" s="3"/>
      <c r="Q168" s="4">
        <v>46081</v>
      </c>
      <c r="R168" s="5">
        <v>165.8</v>
      </c>
      <c r="S168" s="3">
        <v>108</v>
      </c>
      <c r="T168" s="3"/>
      <c r="U168" s="3">
        <v>0</v>
      </c>
      <c r="V168" s="3" t="s">
        <v>8</v>
      </c>
      <c r="W168" s="5">
        <v>165.8</v>
      </c>
      <c r="X168" s="3">
        <v>0.01</v>
      </c>
      <c r="Y168" s="3">
        <v>0</v>
      </c>
      <c r="Z168" s="3">
        <v>0</v>
      </c>
      <c r="AA168" s="5">
        <v>-0.01</v>
      </c>
      <c r="AB168" s="5">
        <v>165.8</v>
      </c>
      <c r="AC168"/>
      <c r="AD168" s="25"/>
      <c r="AE168" s="25"/>
      <c r="AF168" s="25"/>
      <c r="AG168" s="32"/>
      <c r="AH168" s="18"/>
      <c r="AI168" s="3"/>
      <c r="AJ168" s="3"/>
      <c r="AK168" s="5"/>
    </row>
    <row r="169" spans="1:37" x14ac:dyDescent="0.25">
      <c r="A169">
        <v>162</v>
      </c>
      <c r="B169" s="10">
        <v>1113</v>
      </c>
      <c r="C169" s="10"/>
      <c r="D169" s="3" t="s">
        <v>845</v>
      </c>
      <c r="E169" s="3" t="s">
        <v>846</v>
      </c>
      <c r="F169" s="3" t="s">
        <v>847</v>
      </c>
      <c r="G169" s="3" t="s">
        <v>848</v>
      </c>
      <c r="H169" s="3" t="s">
        <v>14</v>
      </c>
      <c r="I169" s="3" t="s">
        <v>6</v>
      </c>
      <c r="J169" s="3"/>
      <c r="K169" s="3" t="s">
        <v>849</v>
      </c>
      <c r="L169" s="3"/>
      <c r="M169" s="3"/>
      <c r="N169" s="3" t="s">
        <v>22</v>
      </c>
      <c r="O169" s="3"/>
      <c r="P169" s="3"/>
      <c r="Q169" s="4">
        <v>46077</v>
      </c>
      <c r="R169" s="5">
        <v>655.56</v>
      </c>
      <c r="S169" s="3">
        <v>96</v>
      </c>
      <c r="T169" s="3"/>
      <c r="U169" s="3">
        <v>0</v>
      </c>
      <c r="V169" s="3" t="s">
        <v>8</v>
      </c>
      <c r="W169" s="5">
        <v>165</v>
      </c>
      <c r="X169" s="3">
        <v>0</v>
      </c>
      <c r="Y169" s="3">
        <v>0</v>
      </c>
      <c r="Z169" s="3">
        <v>0</v>
      </c>
      <c r="AA169" s="3">
        <v>0</v>
      </c>
      <c r="AB169" s="5">
        <v>165</v>
      </c>
      <c r="AC169"/>
      <c r="AD169" s="25"/>
      <c r="AE169" s="25"/>
      <c r="AF169" s="25"/>
      <c r="AG169" s="32"/>
      <c r="AH169" s="18"/>
      <c r="AI169" s="3"/>
      <c r="AJ169" s="3"/>
      <c r="AK169" s="3"/>
    </row>
    <row r="170" spans="1:37" x14ac:dyDescent="0.25">
      <c r="A170">
        <v>163</v>
      </c>
      <c r="B170" s="10" t="s">
        <v>850</v>
      </c>
      <c r="C170" s="10" t="s">
        <v>1113</v>
      </c>
      <c r="D170" s="3" t="s">
        <v>851</v>
      </c>
      <c r="E170" s="3" t="s">
        <v>852</v>
      </c>
      <c r="F170" s="3" t="s">
        <v>853</v>
      </c>
      <c r="G170" s="3" t="s">
        <v>854</v>
      </c>
      <c r="H170" s="3" t="s">
        <v>14</v>
      </c>
      <c r="I170" s="3" t="s">
        <v>6</v>
      </c>
      <c r="J170" s="3" t="s">
        <v>15</v>
      </c>
      <c r="K170" s="3" t="s">
        <v>855</v>
      </c>
      <c r="L170" s="3">
        <v>1900</v>
      </c>
      <c r="M170" s="3"/>
      <c r="N170" s="3" t="s">
        <v>22</v>
      </c>
      <c r="O170" s="3"/>
      <c r="P170" s="3"/>
      <c r="Q170" s="4">
        <v>46056</v>
      </c>
      <c r="R170" s="5">
        <v>23840.65</v>
      </c>
      <c r="S170" s="3">
        <v>181</v>
      </c>
      <c r="T170" s="3"/>
      <c r="U170" s="3">
        <v>0</v>
      </c>
      <c r="V170" s="3" t="s">
        <v>8</v>
      </c>
      <c r="W170" s="5">
        <v>23840.65</v>
      </c>
      <c r="X170" s="3">
        <v>0</v>
      </c>
      <c r="Y170" s="3">
        <v>0</v>
      </c>
      <c r="Z170" s="3">
        <v>0</v>
      </c>
      <c r="AA170" s="3">
        <v>0</v>
      </c>
      <c r="AB170" s="5">
        <v>23840.65</v>
      </c>
      <c r="AC170"/>
      <c r="AD170" s="25" t="s">
        <v>1183</v>
      </c>
      <c r="AE170" s="25" t="s">
        <v>1184</v>
      </c>
      <c r="AF170" s="26">
        <v>23840.65</v>
      </c>
      <c r="AG170" s="33">
        <f>AF170</f>
        <v>23840.65</v>
      </c>
      <c r="AH170" s="18"/>
      <c r="AI170" s="3"/>
      <c r="AJ170" s="3"/>
      <c r="AK170" s="3"/>
    </row>
    <row r="171" spans="1:37" x14ac:dyDescent="0.25">
      <c r="A171">
        <v>164</v>
      </c>
      <c r="B171" s="10" t="s">
        <v>856</v>
      </c>
      <c r="C171" s="10" t="s">
        <v>1114</v>
      </c>
      <c r="D171" s="3" t="s">
        <v>857</v>
      </c>
      <c r="E171" s="3" t="s">
        <v>857</v>
      </c>
      <c r="F171" s="3"/>
      <c r="G171" s="3" t="s">
        <v>858</v>
      </c>
      <c r="H171" s="3" t="s">
        <v>14</v>
      </c>
      <c r="I171" s="3" t="s">
        <v>6</v>
      </c>
      <c r="J171" s="3"/>
      <c r="K171" s="3" t="s">
        <v>859</v>
      </c>
      <c r="L171" s="3"/>
      <c r="M171" s="3"/>
      <c r="N171" s="3" t="s">
        <v>22</v>
      </c>
      <c r="O171" s="3"/>
      <c r="P171" s="3"/>
      <c r="Q171" s="3"/>
      <c r="R171" s="3">
        <v>0</v>
      </c>
      <c r="S171" s="3">
        <v>61</v>
      </c>
      <c r="T171" s="3"/>
      <c r="U171" s="3">
        <v>0</v>
      </c>
      <c r="V171" s="3" t="s">
        <v>8</v>
      </c>
      <c r="W171" s="5">
        <v>616.4</v>
      </c>
      <c r="X171" s="5">
        <v>3109.6</v>
      </c>
      <c r="Y171" s="3">
        <v>0</v>
      </c>
      <c r="Z171" s="3">
        <v>0</v>
      </c>
      <c r="AA171" s="3">
        <v>0</v>
      </c>
      <c r="AB171" s="5">
        <v>3726</v>
      </c>
      <c r="AC171"/>
      <c r="AD171" s="25"/>
      <c r="AE171" s="25"/>
      <c r="AF171" s="25"/>
      <c r="AG171" s="32"/>
      <c r="AH171" s="19"/>
      <c r="AI171" s="3"/>
      <c r="AJ171" s="3"/>
      <c r="AK171" s="3"/>
    </row>
    <row r="172" spans="1:37" x14ac:dyDescent="0.25">
      <c r="A172">
        <v>165</v>
      </c>
      <c r="B172" s="10">
        <v>2273</v>
      </c>
      <c r="C172" s="10" t="s">
        <v>1115</v>
      </c>
      <c r="D172" s="3" t="s">
        <v>860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>
        <v>0</v>
      </c>
      <c r="S172" s="3">
        <v>31</v>
      </c>
      <c r="T172" s="3"/>
      <c r="U172" s="3">
        <v>0</v>
      </c>
      <c r="V172" s="3" t="s">
        <v>8</v>
      </c>
      <c r="W172" s="5">
        <v>76392.2</v>
      </c>
      <c r="X172" s="3">
        <v>0</v>
      </c>
      <c r="Y172" s="3">
        <v>0</v>
      </c>
      <c r="Z172" s="3">
        <v>0</v>
      </c>
      <c r="AA172" s="3">
        <v>0</v>
      </c>
      <c r="AB172" s="5">
        <v>76392.2</v>
      </c>
      <c r="AC172"/>
      <c r="AD172" s="25"/>
      <c r="AE172" s="25"/>
      <c r="AF172" s="25"/>
      <c r="AG172" s="32"/>
      <c r="AH172" s="18"/>
      <c r="AI172" s="3"/>
      <c r="AJ172" s="3"/>
      <c r="AK172" s="3"/>
    </row>
    <row r="173" spans="1:37" x14ac:dyDescent="0.25">
      <c r="A173">
        <v>166</v>
      </c>
      <c r="B173" s="10">
        <v>2274</v>
      </c>
      <c r="C173" s="10" t="s">
        <v>1116</v>
      </c>
      <c r="D173" s="3" t="s">
        <v>861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>
        <v>0</v>
      </c>
      <c r="S173" s="3">
        <v>31</v>
      </c>
      <c r="T173" s="3"/>
      <c r="U173" s="3">
        <v>0</v>
      </c>
      <c r="V173" s="3" t="s">
        <v>8</v>
      </c>
      <c r="W173" s="5">
        <v>66458.5</v>
      </c>
      <c r="X173" s="3">
        <v>0</v>
      </c>
      <c r="Y173" s="3">
        <v>0</v>
      </c>
      <c r="Z173" s="3">
        <v>0</v>
      </c>
      <c r="AA173" s="3">
        <v>0</v>
      </c>
      <c r="AB173" s="5">
        <v>66458.5</v>
      </c>
      <c r="AC173"/>
      <c r="AD173" s="25"/>
      <c r="AE173" s="25"/>
      <c r="AF173" s="25"/>
      <c r="AG173" s="32"/>
      <c r="AH173" s="18"/>
      <c r="AI173" s="3"/>
      <c r="AJ173" s="3"/>
      <c r="AK173" s="3"/>
    </row>
    <row r="174" spans="1:37" x14ac:dyDescent="0.25">
      <c r="A174">
        <v>167</v>
      </c>
      <c r="B174" s="10" t="s">
        <v>862</v>
      </c>
      <c r="C174" s="10" t="s">
        <v>1117</v>
      </c>
      <c r="D174" s="3" t="s">
        <v>863</v>
      </c>
      <c r="E174" s="3" t="s">
        <v>864</v>
      </c>
      <c r="F174" s="3"/>
      <c r="G174" s="3" t="s">
        <v>865</v>
      </c>
      <c r="H174" s="3" t="s">
        <v>14</v>
      </c>
      <c r="I174" s="3" t="s">
        <v>6</v>
      </c>
      <c r="J174" s="3"/>
      <c r="K174" s="3" t="s">
        <v>866</v>
      </c>
      <c r="L174" s="3"/>
      <c r="M174" s="3"/>
      <c r="N174" s="3" t="s">
        <v>22</v>
      </c>
      <c r="O174" s="3"/>
      <c r="P174" s="3"/>
      <c r="Q174" s="3"/>
      <c r="R174" s="3">
        <v>0</v>
      </c>
      <c r="S174" s="3">
        <v>53</v>
      </c>
      <c r="T174" s="3"/>
      <c r="U174" s="3">
        <v>0</v>
      </c>
      <c r="V174" s="3" t="s">
        <v>8</v>
      </c>
      <c r="W174" s="5">
        <v>31424.9</v>
      </c>
      <c r="X174" s="5">
        <v>85852.1</v>
      </c>
      <c r="Y174" s="3">
        <v>0</v>
      </c>
      <c r="Z174" s="3">
        <v>0</v>
      </c>
      <c r="AA174" s="3">
        <v>0</v>
      </c>
      <c r="AB174" s="5">
        <v>117277</v>
      </c>
      <c r="AC174"/>
      <c r="AD174" s="25"/>
      <c r="AE174" s="25"/>
      <c r="AF174" s="25"/>
      <c r="AG174" s="32"/>
      <c r="AH174" s="19"/>
      <c r="AI174" s="3"/>
      <c r="AJ174" s="3"/>
      <c r="AK174" s="3"/>
    </row>
    <row r="175" spans="1:37" x14ac:dyDescent="0.25">
      <c r="A175">
        <v>168</v>
      </c>
      <c r="B175" s="10" t="s">
        <v>867</v>
      </c>
      <c r="C175" s="10" t="s">
        <v>1118</v>
      </c>
      <c r="D175" s="3" t="s">
        <v>868</v>
      </c>
      <c r="E175" s="3" t="s">
        <v>869</v>
      </c>
      <c r="F175" s="3" t="s">
        <v>870</v>
      </c>
      <c r="G175" s="3" t="s">
        <v>871</v>
      </c>
      <c r="H175" s="3" t="s">
        <v>14</v>
      </c>
      <c r="I175" s="3" t="s">
        <v>6</v>
      </c>
      <c r="J175" s="3" t="s">
        <v>15</v>
      </c>
      <c r="K175" s="3" t="s">
        <v>872</v>
      </c>
      <c r="L175" s="3"/>
      <c r="M175" s="3"/>
      <c r="N175" s="3" t="s">
        <v>22</v>
      </c>
      <c r="O175" s="3"/>
      <c r="P175" s="3"/>
      <c r="Q175" s="4">
        <v>46080</v>
      </c>
      <c r="R175" s="5">
        <v>69723.350000000006</v>
      </c>
      <c r="S175" s="3">
        <v>344</v>
      </c>
      <c r="T175" s="3"/>
      <c r="U175" s="3">
        <v>0</v>
      </c>
      <c r="V175" s="3" t="s">
        <v>8</v>
      </c>
      <c r="W175" s="5">
        <v>101242.55</v>
      </c>
      <c r="X175" s="3">
        <v>0</v>
      </c>
      <c r="Y175" s="3">
        <v>0</v>
      </c>
      <c r="Z175" s="3">
        <v>0</v>
      </c>
      <c r="AA175" s="3">
        <v>0</v>
      </c>
      <c r="AB175" s="5">
        <v>101242.55</v>
      </c>
      <c r="AC175"/>
      <c r="AD175" s="25" t="s">
        <v>1201</v>
      </c>
      <c r="AE175" s="25" t="s">
        <v>1202</v>
      </c>
      <c r="AF175" s="26">
        <v>101242.55</v>
      </c>
      <c r="AG175" s="33">
        <f>[2]Sheet1!$D$50</f>
        <v>101242.55</v>
      </c>
      <c r="AH175" s="18"/>
      <c r="AI175" s="3"/>
      <c r="AJ175" s="3"/>
      <c r="AK175" s="3"/>
    </row>
    <row r="176" spans="1:37" x14ac:dyDescent="0.25">
      <c r="A176">
        <v>169</v>
      </c>
      <c r="B176" s="10" t="s">
        <v>873</v>
      </c>
      <c r="C176" s="10" t="s">
        <v>1119</v>
      </c>
      <c r="D176" s="3" t="s">
        <v>874</v>
      </c>
      <c r="E176" s="3" t="s">
        <v>875</v>
      </c>
      <c r="F176" s="3" t="s">
        <v>876</v>
      </c>
      <c r="G176" s="3" t="s">
        <v>877</v>
      </c>
      <c r="H176" s="3" t="s">
        <v>14</v>
      </c>
      <c r="I176" s="3" t="s">
        <v>6</v>
      </c>
      <c r="J176" s="3" t="s">
        <v>15</v>
      </c>
      <c r="K176" s="3" t="s">
        <v>878</v>
      </c>
      <c r="L176" s="3"/>
      <c r="M176" s="3"/>
      <c r="N176" s="3" t="s">
        <v>22</v>
      </c>
      <c r="O176" s="3"/>
      <c r="P176" s="3"/>
      <c r="Q176" s="4">
        <v>46081</v>
      </c>
      <c r="R176" s="5">
        <v>7664.75</v>
      </c>
      <c r="S176" s="3">
        <v>117</v>
      </c>
      <c r="T176" s="3"/>
      <c r="U176" s="3">
        <v>0</v>
      </c>
      <c r="V176" s="3" t="s">
        <v>8</v>
      </c>
      <c r="W176" s="5">
        <v>7664.75</v>
      </c>
      <c r="X176" s="3">
        <v>0</v>
      </c>
      <c r="Y176" s="3">
        <v>0</v>
      </c>
      <c r="Z176" s="3">
        <v>0</v>
      </c>
      <c r="AA176" s="3">
        <v>0</v>
      </c>
      <c r="AB176" s="5">
        <v>7664.75</v>
      </c>
      <c r="AC176"/>
      <c r="AD176" s="25" t="s">
        <v>1201</v>
      </c>
      <c r="AE176" s="25" t="s">
        <v>1264</v>
      </c>
      <c r="AF176" s="26">
        <v>7664.75</v>
      </c>
      <c r="AG176" s="33">
        <f>AF176</f>
        <v>7664.75</v>
      </c>
      <c r="AH176" s="18"/>
      <c r="AI176" s="3"/>
      <c r="AJ176" s="3"/>
      <c r="AK176" s="3"/>
    </row>
    <row r="177" spans="1:37" x14ac:dyDescent="0.25">
      <c r="A177">
        <v>170</v>
      </c>
      <c r="B177" s="10" t="s">
        <v>879</v>
      </c>
      <c r="C177" s="10" t="s">
        <v>1120</v>
      </c>
      <c r="D177" s="3" t="s">
        <v>880</v>
      </c>
      <c r="E177" s="3" t="s">
        <v>880</v>
      </c>
      <c r="F177" s="3" t="s">
        <v>881</v>
      </c>
      <c r="G177" s="3" t="s">
        <v>882</v>
      </c>
      <c r="H177" s="3" t="s">
        <v>14</v>
      </c>
      <c r="I177" s="3" t="s">
        <v>6</v>
      </c>
      <c r="J177" s="3" t="s">
        <v>15</v>
      </c>
      <c r="K177" s="3" t="s">
        <v>883</v>
      </c>
      <c r="L177" s="3"/>
      <c r="M177" s="3"/>
      <c r="N177" s="3" t="s">
        <v>22</v>
      </c>
      <c r="O177" s="3"/>
      <c r="P177" s="3"/>
      <c r="Q177" s="4">
        <v>46081</v>
      </c>
      <c r="R177" s="5">
        <v>90.85</v>
      </c>
      <c r="S177" s="3">
        <v>175</v>
      </c>
      <c r="T177" s="3"/>
      <c r="U177" s="3">
        <v>0</v>
      </c>
      <c r="V177" s="3" t="s">
        <v>8</v>
      </c>
      <c r="W177" s="3">
        <v>0</v>
      </c>
      <c r="X177" s="3">
        <v>0</v>
      </c>
      <c r="Y177" s="3">
        <v>0</v>
      </c>
      <c r="Z177" s="3">
        <v>0</v>
      </c>
      <c r="AA177" s="5">
        <v>90.85</v>
      </c>
      <c r="AB177" s="5">
        <v>90.85</v>
      </c>
      <c r="AC177"/>
      <c r="AD177" s="25"/>
      <c r="AE177" s="25"/>
      <c r="AF177" s="25"/>
      <c r="AG177" s="32"/>
      <c r="AH177" s="18"/>
      <c r="AI177" s="3"/>
      <c r="AJ177" s="3"/>
      <c r="AK177" s="5"/>
    </row>
    <row r="178" spans="1:37" x14ac:dyDescent="0.25">
      <c r="A178">
        <v>171</v>
      </c>
      <c r="B178" s="10" t="s">
        <v>884</v>
      </c>
      <c r="C178" s="10"/>
      <c r="D178" s="3" t="s">
        <v>885</v>
      </c>
      <c r="E178" s="3" t="s">
        <v>885</v>
      </c>
      <c r="F178" s="3" t="s">
        <v>886</v>
      </c>
      <c r="G178" s="3" t="s">
        <v>887</v>
      </c>
      <c r="H178" s="3" t="s">
        <v>14</v>
      </c>
      <c r="I178" s="3" t="s">
        <v>6</v>
      </c>
      <c r="J178" s="3" t="s">
        <v>15</v>
      </c>
      <c r="K178" s="3" t="s">
        <v>888</v>
      </c>
      <c r="L178" s="3"/>
      <c r="M178" s="3"/>
      <c r="N178" s="3" t="s">
        <v>22</v>
      </c>
      <c r="O178" s="3"/>
      <c r="P178" s="3"/>
      <c r="Q178" s="4">
        <v>46060</v>
      </c>
      <c r="R178" s="5">
        <v>589.95000000000005</v>
      </c>
      <c r="S178" s="3">
        <v>200</v>
      </c>
      <c r="T178" s="3"/>
      <c r="U178" s="3">
        <v>0</v>
      </c>
      <c r="V178" s="3" t="s">
        <v>8</v>
      </c>
      <c r="W178" s="3">
        <v>0</v>
      </c>
      <c r="X178" s="5">
        <v>589.95000000000005</v>
      </c>
      <c r="Y178" s="3">
        <v>0</v>
      </c>
      <c r="Z178" s="3">
        <v>0</v>
      </c>
      <c r="AA178" s="3">
        <v>0</v>
      </c>
      <c r="AB178" s="5">
        <v>589.95000000000005</v>
      </c>
      <c r="AC178"/>
      <c r="AD178" s="25" t="s">
        <v>1151</v>
      </c>
      <c r="AE178" s="25" t="s">
        <v>885</v>
      </c>
      <c r="AF178" s="26">
        <v>589.95000000000005</v>
      </c>
      <c r="AG178" s="32"/>
      <c r="AH178" s="19">
        <f>AF178</f>
        <v>589.95000000000005</v>
      </c>
      <c r="AI178" s="3"/>
      <c r="AJ178" s="3"/>
      <c r="AK178" s="3"/>
    </row>
    <row r="179" spans="1:37" x14ac:dyDescent="0.25">
      <c r="A179">
        <v>172</v>
      </c>
      <c r="B179" s="10">
        <v>1067</v>
      </c>
      <c r="C179" s="10" t="s">
        <v>1121</v>
      </c>
      <c r="D179" s="3" t="s">
        <v>889</v>
      </c>
      <c r="E179" s="3" t="s">
        <v>890</v>
      </c>
      <c r="F179" s="6" t="s">
        <v>891</v>
      </c>
      <c r="G179" s="3" t="s">
        <v>892</v>
      </c>
      <c r="H179" s="3" t="s">
        <v>14</v>
      </c>
      <c r="I179" s="3" t="s">
        <v>6</v>
      </c>
      <c r="J179" s="3" t="s">
        <v>33</v>
      </c>
      <c r="K179" s="3" t="s">
        <v>893</v>
      </c>
      <c r="L179" s="3"/>
      <c r="M179" s="3"/>
      <c r="N179" s="3"/>
      <c r="O179" s="3">
        <v>1610</v>
      </c>
      <c r="P179" s="3"/>
      <c r="Q179" s="4">
        <v>46031</v>
      </c>
      <c r="R179" s="5">
        <v>893.55</v>
      </c>
      <c r="S179" s="3">
        <v>45</v>
      </c>
      <c r="T179" s="3"/>
      <c r="U179" s="3">
        <v>0</v>
      </c>
      <c r="V179" s="3" t="s">
        <v>8</v>
      </c>
      <c r="W179" s="5">
        <v>893.55</v>
      </c>
      <c r="X179" s="5">
        <v>893.55</v>
      </c>
      <c r="Y179" s="5">
        <v>893.55</v>
      </c>
      <c r="Z179" s="3">
        <v>0</v>
      </c>
      <c r="AA179" s="3">
        <v>0</v>
      </c>
      <c r="AB179" s="5">
        <v>2680.65</v>
      </c>
      <c r="AC179"/>
      <c r="AD179" s="25" t="s">
        <v>1152</v>
      </c>
      <c r="AE179" s="25" t="s">
        <v>1158</v>
      </c>
      <c r="AF179" s="26">
        <v>893.55</v>
      </c>
      <c r="AG179" s="32"/>
      <c r="AH179" s="19"/>
      <c r="AI179" s="5">
        <f>AF179</f>
        <v>893.55</v>
      </c>
      <c r="AJ179" s="3"/>
      <c r="AK179" s="3"/>
    </row>
    <row r="180" spans="1:37" x14ac:dyDescent="0.25">
      <c r="A180">
        <v>173</v>
      </c>
      <c r="B180" s="10" t="s">
        <v>894</v>
      </c>
      <c r="C180" s="10" t="s">
        <v>1122</v>
      </c>
      <c r="D180" s="3" t="s">
        <v>895</v>
      </c>
      <c r="E180" s="3" t="s">
        <v>896</v>
      </c>
      <c r="F180" s="3" t="s">
        <v>897</v>
      </c>
      <c r="G180" s="3" t="s">
        <v>898</v>
      </c>
      <c r="H180" s="3" t="s">
        <v>14</v>
      </c>
      <c r="I180" s="3" t="s">
        <v>6</v>
      </c>
      <c r="J180" s="3" t="s">
        <v>15</v>
      </c>
      <c r="K180" s="3" t="s">
        <v>899</v>
      </c>
      <c r="L180" s="3"/>
      <c r="M180" s="3"/>
      <c r="N180" s="3"/>
      <c r="O180" s="3">
        <v>1613</v>
      </c>
      <c r="P180" s="3"/>
      <c r="Q180" s="4">
        <v>46081</v>
      </c>
      <c r="R180" s="5">
        <v>1478.53</v>
      </c>
      <c r="S180" s="3">
        <v>227</v>
      </c>
      <c r="T180" s="3"/>
      <c r="U180" s="3">
        <v>0</v>
      </c>
      <c r="V180" s="3" t="s">
        <v>8</v>
      </c>
      <c r="W180" s="5">
        <v>1478.53</v>
      </c>
      <c r="X180" s="3">
        <v>0</v>
      </c>
      <c r="Y180" s="3">
        <v>0</v>
      </c>
      <c r="Z180" s="3">
        <v>0</v>
      </c>
      <c r="AA180" s="3">
        <v>0</v>
      </c>
      <c r="AB180" s="5">
        <v>1478.53</v>
      </c>
      <c r="AC180"/>
      <c r="AD180" s="25" t="s">
        <v>1201</v>
      </c>
      <c r="AE180" s="25" t="s">
        <v>1252</v>
      </c>
      <c r="AF180" s="26">
        <v>1478.53</v>
      </c>
      <c r="AG180" s="33">
        <f>AF180</f>
        <v>1478.53</v>
      </c>
      <c r="AH180" s="18"/>
      <c r="AI180" s="3"/>
      <c r="AJ180" s="3"/>
      <c r="AK180" s="3"/>
    </row>
    <row r="181" spans="1:37" x14ac:dyDescent="0.25">
      <c r="A181">
        <v>174</v>
      </c>
      <c r="B181" s="10" t="s">
        <v>900</v>
      </c>
      <c r="C181" s="10" t="s">
        <v>1123</v>
      </c>
      <c r="D181" s="3" t="s">
        <v>901</v>
      </c>
      <c r="E181" s="3"/>
      <c r="F181" s="3"/>
      <c r="G181" s="3"/>
      <c r="H181" s="3" t="s">
        <v>14</v>
      </c>
      <c r="I181" s="3"/>
      <c r="J181" s="3"/>
      <c r="K181" s="3" t="s">
        <v>902</v>
      </c>
      <c r="L181" s="3"/>
      <c r="M181" s="3"/>
      <c r="N181" s="3" t="s">
        <v>22</v>
      </c>
      <c r="O181" s="3"/>
      <c r="P181" s="3"/>
      <c r="Q181" s="3"/>
      <c r="R181" s="3">
        <v>0</v>
      </c>
      <c r="S181" s="3">
        <v>182</v>
      </c>
      <c r="T181" s="3"/>
      <c r="U181" s="3">
        <v>0</v>
      </c>
      <c r="V181" s="3" t="s">
        <v>8</v>
      </c>
      <c r="W181" s="5">
        <v>224.25</v>
      </c>
      <c r="X181" s="5">
        <v>224.25</v>
      </c>
      <c r="Y181" s="5">
        <v>224.25</v>
      </c>
      <c r="Z181" s="3">
        <v>0</v>
      </c>
      <c r="AA181" s="3">
        <v>0</v>
      </c>
      <c r="AB181" s="5">
        <v>672.75</v>
      </c>
      <c r="AC181"/>
      <c r="AD181" s="25"/>
      <c r="AE181" s="25"/>
      <c r="AF181" s="25"/>
      <c r="AG181" s="32"/>
      <c r="AH181" s="19"/>
      <c r="AI181" s="5"/>
      <c r="AJ181" s="3"/>
      <c r="AK181" s="3"/>
    </row>
    <row r="182" spans="1:37" x14ac:dyDescent="0.25">
      <c r="A182">
        <v>175</v>
      </c>
      <c r="B182" s="10" t="s">
        <v>903</v>
      </c>
      <c r="C182" s="10"/>
      <c r="D182" s="3" t="s">
        <v>904</v>
      </c>
      <c r="E182" s="3" t="s">
        <v>905</v>
      </c>
      <c r="F182" s="3" t="s">
        <v>906</v>
      </c>
      <c r="G182" s="3" t="s">
        <v>907</v>
      </c>
      <c r="H182" s="3" t="s">
        <v>14</v>
      </c>
      <c r="I182" s="3" t="s">
        <v>6</v>
      </c>
      <c r="J182" s="3" t="s">
        <v>33</v>
      </c>
      <c r="K182" s="3" t="s">
        <v>908</v>
      </c>
      <c r="L182" s="3"/>
      <c r="M182" s="3"/>
      <c r="N182" s="3"/>
      <c r="O182" s="3">
        <v>2055</v>
      </c>
      <c r="P182" s="3"/>
      <c r="Q182" s="4">
        <v>46008</v>
      </c>
      <c r="R182" s="5">
        <v>115</v>
      </c>
      <c r="S182" s="3">
        <v>602</v>
      </c>
      <c r="T182" s="3"/>
      <c r="U182" s="3">
        <v>0</v>
      </c>
      <c r="V182" s="3" t="s">
        <v>8</v>
      </c>
      <c r="W182" s="5">
        <v>115</v>
      </c>
      <c r="X182" s="5">
        <v>115</v>
      </c>
      <c r="Y182" s="5">
        <v>115</v>
      </c>
      <c r="Z182" s="3">
        <v>0</v>
      </c>
      <c r="AA182" s="3">
        <v>0</v>
      </c>
      <c r="AB182" s="5">
        <v>345</v>
      </c>
      <c r="AC182"/>
      <c r="AD182" s="25"/>
      <c r="AE182" s="25"/>
      <c r="AF182" s="25"/>
      <c r="AG182" s="32"/>
      <c r="AH182" s="19"/>
      <c r="AI182" s="5"/>
      <c r="AJ182" s="3"/>
      <c r="AK182" s="3"/>
    </row>
    <row r="183" spans="1:37" x14ac:dyDescent="0.25">
      <c r="A183">
        <v>176</v>
      </c>
      <c r="B183" s="10" t="s">
        <v>909</v>
      </c>
      <c r="C183" s="10" t="s">
        <v>1124</v>
      </c>
      <c r="D183" s="3" t="s">
        <v>910</v>
      </c>
      <c r="E183" s="3" t="s">
        <v>314</v>
      </c>
      <c r="F183" s="3" t="s">
        <v>911</v>
      </c>
      <c r="G183" s="3" t="s">
        <v>316</v>
      </c>
      <c r="H183" s="3" t="s">
        <v>14</v>
      </c>
      <c r="I183" s="3" t="s">
        <v>6</v>
      </c>
      <c r="J183" s="3" t="s">
        <v>33</v>
      </c>
      <c r="K183" s="3" t="s">
        <v>912</v>
      </c>
      <c r="L183" s="3"/>
      <c r="M183" s="3"/>
      <c r="N183" s="3"/>
      <c r="O183" s="3">
        <v>4000</v>
      </c>
      <c r="P183" s="3"/>
      <c r="Q183" s="4">
        <v>46081</v>
      </c>
      <c r="R183" s="5">
        <v>8547.09</v>
      </c>
      <c r="S183" s="3">
        <v>210</v>
      </c>
      <c r="T183" s="3"/>
      <c r="U183" s="3">
        <v>0</v>
      </c>
      <c r="V183" s="3" t="s">
        <v>8</v>
      </c>
      <c r="W183" s="5">
        <v>8547.09</v>
      </c>
      <c r="X183" s="3">
        <v>0</v>
      </c>
      <c r="Y183" s="3">
        <v>0</v>
      </c>
      <c r="Z183" s="3">
        <v>0</v>
      </c>
      <c r="AA183" s="3">
        <v>0</v>
      </c>
      <c r="AB183" s="5">
        <v>8547.09</v>
      </c>
      <c r="AC183"/>
      <c r="AD183" s="25"/>
      <c r="AE183" s="25"/>
      <c r="AF183" s="25"/>
      <c r="AG183" s="32"/>
      <c r="AH183" s="18"/>
      <c r="AI183" s="3"/>
      <c r="AJ183" s="3"/>
      <c r="AK183" s="3"/>
    </row>
    <row r="184" spans="1:37" x14ac:dyDescent="0.25">
      <c r="A184">
        <v>177</v>
      </c>
      <c r="B184" s="10" t="s">
        <v>913</v>
      </c>
      <c r="C184" s="10" t="s">
        <v>1125</v>
      </c>
      <c r="D184" s="3" t="s">
        <v>914</v>
      </c>
      <c r="E184" s="3" t="s">
        <v>314</v>
      </c>
      <c r="F184" s="3" t="s">
        <v>915</v>
      </c>
      <c r="G184" s="3" t="s">
        <v>316</v>
      </c>
      <c r="H184" s="3" t="s">
        <v>14</v>
      </c>
      <c r="I184" s="3" t="s">
        <v>6</v>
      </c>
      <c r="J184" s="3" t="s">
        <v>33</v>
      </c>
      <c r="K184" s="3" t="s">
        <v>916</v>
      </c>
      <c r="L184" s="3"/>
      <c r="M184" s="3"/>
      <c r="N184" s="3"/>
      <c r="O184" s="3">
        <v>1451</v>
      </c>
      <c r="P184" s="3"/>
      <c r="Q184" s="4">
        <v>46081</v>
      </c>
      <c r="R184" s="5">
        <v>14970.66</v>
      </c>
      <c r="S184" s="3">
        <v>280</v>
      </c>
      <c r="T184" s="3"/>
      <c r="U184" s="3">
        <v>0</v>
      </c>
      <c r="V184" s="3" t="s">
        <v>8</v>
      </c>
      <c r="W184" s="5">
        <v>14970.65</v>
      </c>
      <c r="X184" s="3">
        <v>0</v>
      </c>
      <c r="Y184" s="3">
        <v>0</v>
      </c>
      <c r="Z184" s="3">
        <v>0</v>
      </c>
      <c r="AA184" s="3">
        <v>0</v>
      </c>
      <c r="AB184" s="5">
        <v>14970.65</v>
      </c>
      <c r="AC184"/>
      <c r="AD184" s="25"/>
      <c r="AE184" s="25"/>
      <c r="AF184" s="25"/>
      <c r="AG184" s="32"/>
      <c r="AH184" s="18"/>
      <c r="AI184" s="3"/>
      <c r="AJ184" s="3"/>
      <c r="AK184" s="3"/>
    </row>
    <row r="185" spans="1:37" x14ac:dyDescent="0.25">
      <c r="A185">
        <v>178</v>
      </c>
      <c r="B185" s="10" t="s">
        <v>917</v>
      </c>
      <c r="C185" s="10" t="s">
        <v>1126</v>
      </c>
      <c r="D185" s="3" t="s">
        <v>918</v>
      </c>
      <c r="E185" s="3" t="s">
        <v>314</v>
      </c>
      <c r="F185" s="3" t="s">
        <v>919</v>
      </c>
      <c r="G185" s="3" t="s">
        <v>316</v>
      </c>
      <c r="H185" s="3" t="s">
        <v>14</v>
      </c>
      <c r="I185" s="3" t="s">
        <v>6</v>
      </c>
      <c r="J185" s="3" t="s">
        <v>33</v>
      </c>
      <c r="K185" s="3" t="s">
        <v>920</v>
      </c>
      <c r="L185" s="3"/>
      <c r="M185" s="3"/>
      <c r="N185" s="3"/>
      <c r="O185" s="3">
        <v>8466</v>
      </c>
      <c r="P185" s="3"/>
      <c r="Q185" s="4">
        <v>46081</v>
      </c>
      <c r="R185" s="5">
        <v>6746.73</v>
      </c>
      <c r="S185" s="3">
        <v>213</v>
      </c>
      <c r="T185" s="3"/>
      <c r="U185" s="3">
        <v>0</v>
      </c>
      <c r="V185" s="3" t="s">
        <v>8</v>
      </c>
      <c r="W185" s="5">
        <v>6746.73</v>
      </c>
      <c r="X185" s="3">
        <v>0</v>
      </c>
      <c r="Y185" s="3">
        <v>0</v>
      </c>
      <c r="Z185" s="3">
        <v>0</v>
      </c>
      <c r="AA185" s="3">
        <v>0</v>
      </c>
      <c r="AB185" s="5">
        <v>6746.73</v>
      </c>
      <c r="AC185"/>
      <c r="AD185" s="25"/>
      <c r="AE185" s="25"/>
      <c r="AF185" s="25"/>
      <c r="AG185" s="32"/>
      <c r="AH185" s="18"/>
      <c r="AI185" s="3"/>
      <c r="AJ185" s="3"/>
      <c r="AK185" s="3"/>
    </row>
    <row r="186" spans="1:37" x14ac:dyDescent="0.25">
      <c r="A186">
        <v>179</v>
      </c>
      <c r="B186" s="10" t="s">
        <v>921</v>
      </c>
      <c r="C186" s="10" t="s">
        <v>1127</v>
      </c>
      <c r="D186" s="3" t="s">
        <v>922</v>
      </c>
      <c r="E186" s="3" t="s">
        <v>314</v>
      </c>
      <c r="F186" s="3" t="s">
        <v>923</v>
      </c>
      <c r="G186" s="3" t="s">
        <v>316</v>
      </c>
      <c r="H186" s="3" t="s">
        <v>14</v>
      </c>
      <c r="I186" s="3" t="s">
        <v>6</v>
      </c>
      <c r="J186" s="3" t="s">
        <v>33</v>
      </c>
      <c r="K186" s="3" t="s">
        <v>924</v>
      </c>
      <c r="L186" s="3"/>
      <c r="M186" s="3"/>
      <c r="N186" s="3"/>
      <c r="O186" s="3">
        <v>2570</v>
      </c>
      <c r="P186" s="3"/>
      <c r="Q186" s="4">
        <v>46081</v>
      </c>
      <c r="R186" s="5">
        <v>7011.14</v>
      </c>
      <c r="S186" s="3">
        <v>294</v>
      </c>
      <c r="T186" s="3"/>
      <c r="U186" s="3">
        <v>0</v>
      </c>
      <c r="V186" s="3" t="s">
        <v>8</v>
      </c>
      <c r="W186" s="5">
        <v>8368.25</v>
      </c>
      <c r="X186" s="3">
        <v>0</v>
      </c>
      <c r="Y186" s="3">
        <v>0</v>
      </c>
      <c r="Z186" s="3">
        <v>0</v>
      </c>
      <c r="AA186" s="5">
        <v>-7.0000000000000007E-2</v>
      </c>
      <c r="AB186" s="5">
        <v>8368.18</v>
      </c>
      <c r="AC186"/>
      <c r="AD186" s="25"/>
      <c r="AE186" s="25"/>
      <c r="AF186" s="25"/>
      <c r="AG186" s="32"/>
      <c r="AH186" s="18"/>
      <c r="AI186" s="3"/>
      <c r="AJ186" s="3"/>
      <c r="AK186" s="5"/>
    </row>
    <row r="187" spans="1:37" x14ac:dyDescent="0.25">
      <c r="A187">
        <v>180</v>
      </c>
      <c r="B187" s="10" t="s">
        <v>925</v>
      </c>
      <c r="C187" s="10" t="s">
        <v>1128</v>
      </c>
      <c r="D187" s="3" t="s">
        <v>926</v>
      </c>
      <c r="E187" s="3" t="s">
        <v>314</v>
      </c>
      <c r="F187" s="3" t="s">
        <v>927</v>
      </c>
      <c r="G187" s="3" t="s">
        <v>316</v>
      </c>
      <c r="H187" s="3" t="s">
        <v>14</v>
      </c>
      <c r="I187" s="3" t="s">
        <v>6</v>
      </c>
      <c r="J187" s="3" t="s">
        <v>33</v>
      </c>
      <c r="K187" s="3" t="s">
        <v>928</v>
      </c>
      <c r="L187" s="3"/>
      <c r="M187" s="3"/>
      <c r="N187" s="3"/>
      <c r="O187" s="3">
        <v>6056</v>
      </c>
      <c r="P187" s="3"/>
      <c r="Q187" s="4">
        <v>46081</v>
      </c>
      <c r="R187" s="5">
        <v>2070.63</v>
      </c>
      <c r="S187" s="3">
        <v>61</v>
      </c>
      <c r="T187" s="3" t="s">
        <v>929</v>
      </c>
      <c r="U187" s="3">
        <v>0</v>
      </c>
      <c r="V187" s="3" t="s">
        <v>8</v>
      </c>
      <c r="W187" s="5">
        <v>2070.63</v>
      </c>
      <c r="X187" s="3">
        <v>0</v>
      </c>
      <c r="Y187" s="3">
        <v>0</v>
      </c>
      <c r="Z187" s="3">
        <v>0</v>
      </c>
      <c r="AA187" s="3">
        <v>0</v>
      </c>
      <c r="AB187" s="5">
        <v>2070.63</v>
      </c>
      <c r="AC187"/>
      <c r="AD187" s="25"/>
      <c r="AE187" s="25"/>
      <c r="AF187" s="25"/>
      <c r="AG187" s="32"/>
      <c r="AH187" s="18"/>
      <c r="AI187" s="3"/>
      <c r="AJ187" s="3"/>
      <c r="AK187" s="3"/>
    </row>
    <row r="188" spans="1:37" x14ac:dyDescent="0.25">
      <c r="A188">
        <v>181</v>
      </c>
      <c r="B188" s="10" t="s">
        <v>930</v>
      </c>
      <c r="C188" s="10" t="s">
        <v>1129</v>
      </c>
      <c r="D188" s="3" t="s">
        <v>931</v>
      </c>
      <c r="E188" s="3" t="s">
        <v>314</v>
      </c>
      <c r="F188" s="3" t="s">
        <v>932</v>
      </c>
      <c r="G188" s="3" t="s">
        <v>316</v>
      </c>
      <c r="H188" s="3" t="s">
        <v>14</v>
      </c>
      <c r="I188" s="3" t="s">
        <v>6</v>
      </c>
      <c r="J188" s="3" t="s">
        <v>33</v>
      </c>
      <c r="K188" s="3" t="s">
        <v>933</v>
      </c>
      <c r="L188" s="3"/>
      <c r="M188" s="3"/>
      <c r="N188" s="3"/>
      <c r="O188" s="6" t="s">
        <v>399</v>
      </c>
      <c r="P188" s="3"/>
      <c r="Q188" s="4">
        <v>46081</v>
      </c>
      <c r="R188" s="5">
        <v>7546.12</v>
      </c>
      <c r="S188" s="3">
        <v>317</v>
      </c>
      <c r="T188" s="3"/>
      <c r="U188" s="3">
        <v>0</v>
      </c>
      <c r="V188" s="3" t="s">
        <v>8</v>
      </c>
      <c r="W188" s="5">
        <v>8563.8700000000008</v>
      </c>
      <c r="X188" s="3">
        <v>0</v>
      </c>
      <c r="Y188" s="3">
        <v>0</v>
      </c>
      <c r="Z188" s="3">
        <v>0</v>
      </c>
      <c r="AA188" s="3">
        <v>0</v>
      </c>
      <c r="AB188" s="5">
        <v>8563.8700000000008</v>
      </c>
      <c r="AC188"/>
      <c r="AD188" s="25"/>
      <c r="AE188" s="25"/>
      <c r="AF188" s="25"/>
      <c r="AG188" s="32"/>
      <c r="AH188" s="18"/>
      <c r="AI188" s="3"/>
      <c r="AJ188" s="3"/>
      <c r="AK188" s="3"/>
    </row>
    <row r="189" spans="1:37" x14ac:dyDescent="0.25">
      <c r="A189">
        <v>182</v>
      </c>
      <c r="B189" s="10" t="s">
        <v>934</v>
      </c>
      <c r="C189" s="10" t="s">
        <v>1130</v>
      </c>
      <c r="D189" s="3" t="s">
        <v>935</v>
      </c>
      <c r="E189" s="3" t="s">
        <v>314</v>
      </c>
      <c r="F189" s="3" t="s">
        <v>936</v>
      </c>
      <c r="G189" s="3" t="s">
        <v>316</v>
      </c>
      <c r="H189" s="3" t="s">
        <v>14</v>
      </c>
      <c r="I189" s="3" t="s">
        <v>6</v>
      </c>
      <c r="J189" s="3" t="s">
        <v>33</v>
      </c>
      <c r="K189" s="3" t="s">
        <v>937</v>
      </c>
      <c r="L189" s="3"/>
      <c r="M189" s="3"/>
      <c r="N189" s="3"/>
      <c r="O189" s="3">
        <v>8240</v>
      </c>
      <c r="P189" s="3"/>
      <c r="Q189" s="4">
        <v>46081</v>
      </c>
      <c r="R189" s="5">
        <v>2748.44</v>
      </c>
      <c r="S189" s="3">
        <v>66</v>
      </c>
      <c r="T189" s="3"/>
      <c r="U189" s="3">
        <v>0</v>
      </c>
      <c r="V189" s="3" t="s">
        <v>8</v>
      </c>
      <c r="W189" s="5">
        <v>2748.44</v>
      </c>
      <c r="X189" s="3">
        <v>0</v>
      </c>
      <c r="Y189" s="3">
        <v>0</v>
      </c>
      <c r="Z189" s="3">
        <v>0</v>
      </c>
      <c r="AA189" s="3">
        <v>0</v>
      </c>
      <c r="AB189" s="5">
        <v>2748.44</v>
      </c>
      <c r="AC189"/>
      <c r="AD189" s="25"/>
      <c r="AE189" s="25"/>
      <c r="AF189" s="25"/>
      <c r="AG189" s="32"/>
      <c r="AH189" s="18"/>
      <c r="AI189" s="3"/>
      <c r="AJ189" s="3"/>
      <c r="AK189" s="3"/>
    </row>
    <row r="190" spans="1:37" x14ac:dyDescent="0.25">
      <c r="A190">
        <v>183</v>
      </c>
      <c r="B190" s="10" t="s">
        <v>938</v>
      </c>
      <c r="C190" s="10" t="s">
        <v>1131</v>
      </c>
      <c r="D190" s="3" t="s">
        <v>939</v>
      </c>
      <c r="E190" s="3" t="s">
        <v>314</v>
      </c>
      <c r="F190" s="3" t="s">
        <v>940</v>
      </c>
      <c r="G190" s="3" t="s">
        <v>316</v>
      </c>
      <c r="H190" s="3" t="s">
        <v>14</v>
      </c>
      <c r="I190" s="3" t="s">
        <v>6</v>
      </c>
      <c r="J190" s="3" t="s">
        <v>33</v>
      </c>
      <c r="K190" s="3" t="s">
        <v>941</v>
      </c>
      <c r="L190" s="3"/>
      <c r="M190" s="3"/>
      <c r="N190" s="3"/>
      <c r="O190" s="3">
        <v>7532</v>
      </c>
      <c r="P190" s="3"/>
      <c r="Q190" s="4">
        <v>46081</v>
      </c>
      <c r="R190" s="5">
        <v>7334.45</v>
      </c>
      <c r="S190" s="3">
        <v>109</v>
      </c>
      <c r="T190" s="3"/>
      <c r="U190" s="3">
        <v>0</v>
      </c>
      <c r="V190" s="3" t="s">
        <v>8</v>
      </c>
      <c r="W190" s="5">
        <v>7334.45</v>
      </c>
      <c r="X190" s="3">
        <v>0</v>
      </c>
      <c r="Y190" s="3">
        <v>0</v>
      </c>
      <c r="Z190" s="3">
        <v>0</v>
      </c>
      <c r="AA190" s="3">
        <v>0</v>
      </c>
      <c r="AB190" s="5">
        <v>7334.45</v>
      </c>
      <c r="AC190"/>
      <c r="AD190" s="25"/>
      <c r="AE190" s="25"/>
      <c r="AF190" s="25"/>
      <c r="AG190" s="32"/>
      <c r="AH190" s="18"/>
      <c r="AI190" s="3"/>
      <c r="AJ190" s="3"/>
      <c r="AK190" s="3"/>
    </row>
    <row r="191" spans="1:37" x14ac:dyDescent="0.25">
      <c r="A191">
        <v>184</v>
      </c>
      <c r="B191" s="10" t="s">
        <v>942</v>
      </c>
      <c r="C191" s="10" t="s">
        <v>1132</v>
      </c>
      <c r="D191" s="3" t="s">
        <v>943</v>
      </c>
      <c r="E191" s="3" t="s">
        <v>314</v>
      </c>
      <c r="F191" s="3" t="s">
        <v>944</v>
      </c>
      <c r="G191" s="3" t="s">
        <v>316</v>
      </c>
      <c r="H191" s="3" t="s">
        <v>14</v>
      </c>
      <c r="I191" s="3" t="s">
        <v>6</v>
      </c>
      <c r="J191" s="3" t="s">
        <v>33</v>
      </c>
      <c r="K191" s="3" t="s">
        <v>945</v>
      </c>
      <c r="L191" s="3"/>
      <c r="M191" s="3"/>
      <c r="N191" s="3"/>
      <c r="O191" s="3">
        <v>1035</v>
      </c>
      <c r="P191" s="3"/>
      <c r="Q191" s="4">
        <v>46081</v>
      </c>
      <c r="R191" s="5">
        <v>6243.43</v>
      </c>
      <c r="S191" s="3">
        <v>181</v>
      </c>
      <c r="T191" s="3"/>
      <c r="U191" s="3">
        <v>0</v>
      </c>
      <c r="V191" s="3" t="s">
        <v>8</v>
      </c>
      <c r="W191" s="5">
        <v>6243.39</v>
      </c>
      <c r="X191" s="3">
        <v>0</v>
      </c>
      <c r="Y191" s="3">
        <v>0</v>
      </c>
      <c r="Z191" s="3">
        <v>0</v>
      </c>
      <c r="AA191" s="3">
        <v>0</v>
      </c>
      <c r="AB191" s="5">
        <v>6243.39</v>
      </c>
      <c r="AC191"/>
      <c r="AD191" s="25"/>
      <c r="AE191" s="25"/>
      <c r="AF191" s="25"/>
      <c r="AG191" s="32"/>
      <c r="AH191" s="18"/>
      <c r="AI191" s="3"/>
      <c r="AJ191" s="3"/>
      <c r="AK191" s="3"/>
    </row>
    <row r="192" spans="1:37" x14ac:dyDescent="0.25">
      <c r="A192">
        <v>185</v>
      </c>
      <c r="B192" s="10">
        <v>2271</v>
      </c>
      <c r="C192" s="10" t="s">
        <v>1133</v>
      </c>
      <c r="D192" s="3" t="s">
        <v>946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>
        <v>0</v>
      </c>
      <c r="S192" s="3">
        <v>31</v>
      </c>
      <c r="T192" s="3"/>
      <c r="U192" s="3">
        <v>0</v>
      </c>
      <c r="V192" s="3" t="s">
        <v>8</v>
      </c>
      <c r="W192" s="5">
        <v>26148.7</v>
      </c>
      <c r="X192" s="3">
        <v>0</v>
      </c>
      <c r="Y192" s="3">
        <v>0</v>
      </c>
      <c r="Z192" s="3">
        <v>0</v>
      </c>
      <c r="AA192" s="3">
        <v>0</v>
      </c>
      <c r="AB192" s="5">
        <v>26148.7</v>
      </c>
      <c r="AC192"/>
      <c r="AD192" s="25"/>
      <c r="AE192" s="25"/>
      <c r="AF192" s="25"/>
      <c r="AG192" s="32"/>
      <c r="AH192" s="18"/>
      <c r="AI192" s="3"/>
      <c r="AJ192" s="3"/>
      <c r="AK192" s="3"/>
    </row>
    <row r="193" spans="1:37" x14ac:dyDescent="0.25">
      <c r="A193">
        <v>186</v>
      </c>
      <c r="B193" s="10">
        <v>1162</v>
      </c>
      <c r="C193" s="10" t="s">
        <v>1134</v>
      </c>
      <c r="D193" s="3" t="s">
        <v>947</v>
      </c>
      <c r="E193" s="3" t="s">
        <v>948</v>
      </c>
      <c r="F193" s="3" t="s">
        <v>949</v>
      </c>
      <c r="G193" s="3" t="s">
        <v>950</v>
      </c>
      <c r="H193" s="3" t="s">
        <v>14</v>
      </c>
      <c r="I193" s="3" t="s">
        <v>6</v>
      </c>
      <c r="J193" s="3" t="s">
        <v>33</v>
      </c>
      <c r="K193" s="3" t="s">
        <v>951</v>
      </c>
      <c r="L193" s="3"/>
      <c r="M193" s="3"/>
      <c r="N193" s="3"/>
      <c r="O193" s="3"/>
      <c r="P193" s="3"/>
      <c r="Q193" s="4">
        <v>46063</v>
      </c>
      <c r="R193" s="5">
        <v>147380.65</v>
      </c>
      <c r="S193" s="3">
        <v>460</v>
      </c>
      <c r="T193" s="3"/>
      <c r="U193" s="3">
        <v>0</v>
      </c>
      <c r="V193" s="3" t="s">
        <v>8</v>
      </c>
      <c r="W193" s="5">
        <v>187171.36</v>
      </c>
      <c r="X193" s="5">
        <v>135453.88</v>
      </c>
      <c r="Y193" s="5">
        <v>4340.17</v>
      </c>
      <c r="Z193" s="3">
        <v>0</v>
      </c>
      <c r="AA193" s="5">
        <v>-371.36</v>
      </c>
      <c r="AB193" s="5">
        <v>326594.05</v>
      </c>
      <c r="AC193"/>
      <c r="AD193" s="25" t="s">
        <v>1183</v>
      </c>
      <c r="AE193" s="25" t="s">
        <v>1193</v>
      </c>
      <c r="AF193" s="26">
        <v>134422.32999999999</v>
      </c>
      <c r="AG193" s="32"/>
      <c r="AH193" s="19">
        <f>AF193</f>
        <v>134422.32999999999</v>
      </c>
      <c r="AI193" s="5"/>
      <c r="AJ193" s="3"/>
      <c r="AK193" s="5"/>
    </row>
    <row r="194" spans="1:37" x14ac:dyDescent="0.25">
      <c r="A194">
        <v>187</v>
      </c>
      <c r="B194" s="10" t="s">
        <v>952</v>
      </c>
      <c r="C194" s="10" t="s">
        <v>1135</v>
      </c>
      <c r="D194" s="3" t="s">
        <v>953</v>
      </c>
      <c r="E194" s="3" t="s">
        <v>953</v>
      </c>
      <c r="F194" s="3"/>
      <c r="G194" s="3" t="s">
        <v>954</v>
      </c>
      <c r="H194" s="3" t="s">
        <v>14</v>
      </c>
      <c r="I194" s="3" t="s">
        <v>6</v>
      </c>
      <c r="J194" s="3"/>
      <c r="K194" s="3" t="s">
        <v>955</v>
      </c>
      <c r="L194" s="3"/>
      <c r="M194" s="3"/>
      <c r="N194" s="3" t="s">
        <v>22</v>
      </c>
      <c r="O194" s="3"/>
      <c r="P194" s="3"/>
      <c r="Q194" s="4">
        <v>46081</v>
      </c>
      <c r="R194" s="5">
        <v>79.349999999999994</v>
      </c>
      <c r="S194" s="3">
        <v>72</v>
      </c>
      <c r="T194" s="3"/>
      <c r="U194" s="3">
        <v>0</v>
      </c>
      <c r="V194" s="3" t="s">
        <v>8</v>
      </c>
      <c r="W194" s="5">
        <v>79.349999999999994</v>
      </c>
      <c r="X194" s="3">
        <v>0</v>
      </c>
      <c r="Y194" s="3">
        <v>0</v>
      </c>
      <c r="Z194" s="3">
        <v>0</v>
      </c>
      <c r="AA194" s="3">
        <v>0</v>
      </c>
      <c r="AB194" s="5">
        <v>79.349999999999994</v>
      </c>
      <c r="AC194"/>
      <c r="AD194" s="25"/>
      <c r="AE194" s="25"/>
      <c r="AF194" s="25"/>
      <c r="AG194" s="32"/>
      <c r="AH194" s="18"/>
      <c r="AI194" s="3"/>
      <c r="AJ194" s="3"/>
      <c r="AK194" s="3"/>
    </row>
    <row r="195" spans="1:37" x14ac:dyDescent="0.25">
      <c r="A195">
        <v>188</v>
      </c>
      <c r="B195" s="10" t="s">
        <v>956</v>
      </c>
      <c r="C195" s="10" t="s">
        <v>1136</v>
      </c>
      <c r="D195" s="3" t="s">
        <v>957</v>
      </c>
      <c r="E195" s="3" t="s">
        <v>958</v>
      </c>
      <c r="F195" s="6" t="s">
        <v>959</v>
      </c>
      <c r="G195" s="3" t="s">
        <v>960</v>
      </c>
      <c r="H195" s="3" t="s">
        <v>14</v>
      </c>
      <c r="I195" s="3" t="s">
        <v>6</v>
      </c>
      <c r="J195" s="3"/>
      <c r="K195" s="3" t="s">
        <v>961</v>
      </c>
      <c r="L195" s="3"/>
      <c r="M195" s="3"/>
      <c r="N195" s="3" t="s">
        <v>22</v>
      </c>
      <c r="O195" s="3">
        <v>2191</v>
      </c>
      <c r="P195" s="3"/>
      <c r="Q195" s="4">
        <v>46081</v>
      </c>
      <c r="R195" s="5">
        <v>4400.6099999999997</v>
      </c>
      <c r="S195" s="3">
        <v>278</v>
      </c>
      <c r="T195" s="3"/>
      <c r="U195" s="3">
        <v>0</v>
      </c>
      <c r="V195" s="3" t="s">
        <v>8</v>
      </c>
      <c r="W195" s="5">
        <v>4400.6099999999997</v>
      </c>
      <c r="X195" s="5">
        <v>4400.6099999999997</v>
      </c>
      <c r="Y195" s="3">
        <v>0</v>
      </c>
      <c r="Z195" s="3">
        <v>0</v>
      </c>
      <c r="AA195" s="3">
        <v>0</v>
      </c>
      <c r="AB195" s="5">
        <v>8801.2199999999993</v>
      </c>
      <c r="AC195"/>
      <c r="AD195" s="25" t="s">
        <v>1201</v>
      </c>
      <c r="AE195" s="25" t="s">
        <v>1263</v>
      </c>
      <c r="AF195" s="26">
        <v>4400.6099999999997</v>
      </c>
      <c r="AG195" s="32"/>
      <c r="AH195" s="19">
        <f>AF195</f>
        <v>4400.6099999999997</v>
      </c>
      <c r="AI195" s="3"/>
      <c r="AJ195" s="3"/>
      <c r="AK195" s="3"/>
    </row>
    <row r="196" spans="1:37" x14ac:dyDescent="0.25">
      <c r="D196" s="63" t="s">
        <v>1270</v>
      </c>
      <c r="AC196"/>
      <c r="AF196" s="66">
        <f>SUM(AF8:AF195)</f>
        <v>1991370.8900000004</v>
      </c>
      <c r="AG196" s="66">
        <f t="shared" ref="AG196:AK196" si="0">SUM(AG8:AG195)</f>
        <v>973036.43</v>
      </c>
      <c r="AH196" s="66">
        <f t="shared" si="0"/>
        <v>838492.58</v>
      </c>
      <c r="AI196" s="66">
        <f t="shared" si="0"/>
        <v>9192.83</v>
      </c>
      <c r="AJ196" s="66">
        <f t="shared" si="0"/>
        <v>155649.04999999999</v>
      </c>
      <c r="AK196" s="66">
        <f t="shared" si="0"/>
        <v>15000</v>
      </c>
    </row>
    <row r="197" spans="1:37" x14ac:dyDescent="0.25">
      <c r="B197" s="11" t="s">
        <v>992</v>
      </c>
      <c r="C197" s="11"/>
      <c r="AK197" s="36"/>
    </row>
    <row r="198" spans="1:37" x14ac:dyDescent="0.25">
      <c r="B198" s="11" t="s">
        <v>993</v>
      </c>
      <c r="C198" s="11"/>
      <c r="AK198" s="36"/>
    </row>
  </sheetData>
  <mergeCells count="2">
    <mergeCell ref="B5:AB6"/>
    <mergeCell ref="AG5:A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nedbank receipts</vt:lpstr>
      <vt:lpstr>Claud capture</vt:lpstr>
      <vt:lpstr>Sheet4</vt:lpstr>
      <vt:lpstr>Sheet1</vt:lpstr>
      <vt:lpstr>Sheet2</vt:lpstr>
      <vt:lpstr>working doc </vt:lpstr>
      <vt:lpstr>Sheet3</vt:lpstr>
      <vt:lpstr>CREATE</vt:lpstr>
      <vt:lpstr>Amended Debtors age anal</vt:lpstr>
      <vt:lpstr>March Receipts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 Butale</dc:creator>
  <cp:lastModifiedBy>Finquest Accounting Services</cp:lastModifiedBy>
  <cp:lastPrinted>2026-03-31T10:25:23Z</cp:lastPrinted>
  <dcterms:created xsi:type="dcterms:W3CDTF">2026-03-31T08:58:12Z</dcterms:created>
  <dcterms:modified xsi:type="dcterms:W3CDTF">2026-04-10T12:34:14Z</dcterms:modified>
</cp:coreProperties>
</file>